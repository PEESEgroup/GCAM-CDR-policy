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tha\PycharmProjects\GCAM-CDR-policy\building_xml\inputs\"/>
    </mc:Choice>
  </mc:AlternateContent>
  <xr:revisionPtr revIDLastSave="0" documentId="13_ncr:1_{99210123-89D5-4D8E-AB4C-C94CB0833A38}" xr6:coauthVersionLast="47" xr6:coauthVersionMax="47" xr10:uidLastSave="{00000000-0000-0000-0000-000000000000}"/>
  <bookViews>
    <workbookView xWindow="-120" yWindow="-120" windowWidth="29040" windowHeight="17520" activeTab="1" xr2:uid="{F2BF76F2-E65A-4D69-A9C6-53A903C378B8}"/>
  </bookViews>
  <sheets>
    <sheet name="DeliveredRetired" sheetId="1" r:id="rId1"/>
    <sheet name="AllCDRCodes" sheetId="2" r:id="rId2"/>
  </sheets>
  <calcPr calcId="191029"/>
  <pivotCaches>
    <pivotCache cacheId="3" r:id="rId3"/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2" l="1"/>
  <c r="F19" i="2"/>
  <c r="F18" i="2"/>
  <c r="F21" i="2"/>
  <c r="F17" i="2"/>
</calcChain>
</file>

<file path=xl/sharedStrings.xml><?xml version="1.0" encoding="utf-8"?>
<sst xmlns="http://schemas.openxmlformats.org/spreadsheetml/2006/main" count="201" uniqueCount="14">
  <si>
    <t>Method</t>
  </si>
  <si>
    <t>Amount (t)</t>
  </si>
  <si>
    <t>EW</t>
  </si>
  <si>
    <t>DACS</t>
  </si>
  <si>
    <t>Last 12 months from 6/2/26</t>
  </si>
  <si>
    <t>BECCS</t>
  </si>
  <si>
    <t>Row Labels</t>
  </si>
  <si>
    <t>Grand Total</t>
  </si>
  <si>
    <t>Sum of Amount (t)</t>
  </si>
  <si>
    <t>Amount</t>
  </si>
  <si>
    <t>OEW</t>
  </si>
  <si>
    <t>Reduces small records that won't be included at the Mt scale</t>
  </si>
  <si>
    <t>Sum of Amount</t>
  </si>
  <si>
    <t>In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</si>
</sst>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20</xdr:col>
      <xdr:colOff>163054</xdr:colOff>
      <xdr:row>11</xdr:row>
      <xdr:rowOff>105082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7C57E-84BF-CD75-053F-EF3508D7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0"/>
          <a:ext cx="8087854" cy="2200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0</xdr:rowOff>
    </xdr:from>
    <xdr:to>
      <xdr:col>25</xdr:col>
      <xdr:colOff>1377</xdr:colOff>
      <xdr:row>11</xdr:row>
      <xdr:rowOff>71129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2E8C42-0D7E-5A52-A1B3-7C65786E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5" y="0"/>
          <a:ext cx="8907252" cy="21666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" refreshedDate="46175.375450347223" createdVersion="8" refreshedVersion="8" minRefreshableVersion="3" recordCount="77" xr:uid="{B73E070C-C428-460C-9C6D-3D0161A010D6}">
  <cacheSource type="worksheet">
    <worksheetSource ref="A1:B78" sheet="DeliveredRetired"/>
  </cacheSource>
  <cacheFields count="2">
    <cacheField name="Method" numFmtId="0">
      <sharedItems count="3">
        <s v="EW"/>
        <s v="DACS"/>
        <s v="BECCS"/>
      </sharedItems>
    </cacheField>
    <cacheField name="Amount (t)" numFmtId="0">
      <sharedItems containsSemiMixedTypes="0" containsString="0" containsNumber="1" minValue="0.03" maxValue="20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" refreshedDate="46175.382066087965" createdVersion="8" refreshedVersion="8" minRefreshableVersion="3" recordCount="104" xr:uid="{9F47FACE-232B-48D3-AFFC-669793E5072B}">
  <cacheSource type="worksheet">
    <worksheetSource ref="A1:B105" sheet="AllCDRCodes"/>
  </cacheSource>
  <cacheFields count="2">
    <cacheField name="Method" numFmtId="0">
      <sharedItems count="4">
        <s v="OEW"/>
        <s v="BECCS"/>
        <s v="DACS"/>
        <s v="EW"/>
      </sharedItems>
    </cacheField>
    <cacheField name="Amount" numFmtId="0">
      <sharedItems containsSemiMixedTypes="0" containsString="0" containsNumber="1" minValue="100" maxValue="3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6509"/>
  </r>
  <r>
    <x v="0"/>
    <n v="17.899999999999999"/>
  </r>
  <r>
    <x v="0"/>
    <n v="5.8"/>
  </r>
  <r>
    <x v="0"/>
    <n v="73.599999999999994"/>
  </r>
  <r>
    <x v="0"/>
    <n v="2.6"/>
  </r>
  <r>
    <x v="0"/>
    <n v="25.5"/>
  </r>
  <r>
    <x v="0"/>
    <n v="3.3"/>
  </r>
  <r>
    <x v="0"/>
    <n v="20.6"/>
  </r>
  <r>
    <x v="0"/>
    <n v="3.1"/>
  </r>
  <r>
    <x v="0"/>
    <n v="12.5"/>
  </r>
  <r>
    <x v="0"/>
    <n v="2.2999999999999998"/>
  </r>
  <r>
    <x v="0"/>
    <n v="2283.08"/>
  </r>
  <r>
    <x v="0"/>
    <n v="2283.08"/>
  </r>
  <r>
    <x v="0"/>
    <n v="120"/>
  </r>
  <r>
    <x v="0"/>
    <n v="90"/>
  </r>
  <r>
    <x v="0"/>
    <n v="200"/>
  </r>
  <r>
    <x v="0"/>
    <n v="439"/>
  </r>
  <r>
    <x v="0"/>
    <n v="670"/>
  </r>
  <r>
    <x v="0"/>
    <n v="1002"/>
  </r>
  <r>
    <x v="0"/>
    <n v="498"/>
  </r>
  <r>
    <x v="0"/>
    <n v="975"/>
  </r>
  <r>
    <x v="0"/>
    <n v="20"/>
  </r>
  <r>
    <x v="0"/>
    <n v="1"/>
  </r>
  <r>
    <x v="0"/>
    <n v="10"/>
  </r>
  <r>
    <x v="0"/>
    <n v="161"/>
  </r>
  <r>
    <x v="0"/>
    <n v="648"/>
  </r>
  <r>
    <x v="0"/>
    <n v="964"/>
  </r>
  <r>
    <x v="0"/>
    <n v="355"/>
  </r>
  <r>
    <x v="0"/>
    <n v="651"/>
  </r>
  <r>
    <x v="0"/>
    <n v="200"/>
  </r>
  <r>
    <x v="0"/>
    <n v="15"/>
  </r>
  <r>
    <x v="0"/>
    <n v="15"/>
  </r>
  <r>
    <x v="0"/>
    <n v="0.03"/>
  </r>
  <r>
    <x v="0"/>
    <n v="11910"/>
  </r>
  <r>
    <x v="1"/>
    <n v="250"/>
  </r>
  <r>
    <x v="1"/>
    <n v="9"/>
  </r>
  <r>
    <x v="1"/>
    <n v="15"/>
  </r>
  <r>
    <x v="1"/>
    <n v="62"/>
  </r>
  <r>
    <x v="1"/>
    <n v="85"/>
  </r>
  <r>
    <x v="1"/>
    <n v="20"/>
  </r>
  <r>
    <x v="1"/>
    <n v="10"/>
  </r>
  <r>
    <x v="1"/>
    <n v="100"/>
  </r>
  <r>
    <x v="1"/>
    <n v="181"/>
  </r>
  <r>
    <x v="1"/>
    <n v="40"/>
  </r>
  <r>
    <x v="1"/>
    <n v="5"/>
  </r>
  <r>
    <x v="1"/>
    <n v="20"/>
  </r>
  <r>
    <x v="1"/>
    <n v="4"/>
  </r>
  <r>
    <x v="1"/>
    <n v="19"/>
  </r>
  <r>
    <x v="1"/>
    <n v="15"/>
  </r>
  <r>
    <x v="1"/>
    <n v="12"/>
  </r>
  <r>
    <x v="1"/>
    <n v="15"/>
  </r>
  <r>
    <x v="1"/>
    <n v="8"/>
  </r>
  <r>
    <x v="1"/>
    <n v="1"/>
  </r>
  <r>
    <x v="1"/>
    <n v="1"/>
  </r>
  <r>
    <x v="1"/>
    <n v="4"/>
  </r>
  <r>
    <x v="1"/>
    <n v="50"/>
  </r>
  <r>
    <x v="1"/>
    <n v="48"/>
  </r>
  <r>
    <x v="1"/>
    <n v="2"/>
  </r>
  <r>
    <x v="2"/>
    <n v="130"/>
  </r>
  <r>
    <x v="2"/>
    <n v="500"/>
  </r>
  <r>
    <x v="2"/>
    <n v="6000"/>
  </r>
  <r>
    <x v="2"/>
    <n v="275"/>
  </r>
  <r>
    <x v="2"/>
    <n v="20697"/>
  </r>
  <r>
    <x v="2"/>
    <n v="1"/>
  </r>
  <r>
    <x v="2"/>
    <n v="2"/>
  </r>
  <r>
    <x v="2"/>
    <n v="500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29"/>
  </r>
  <r>
    <x v="2"/>
    <n v="20"/>
  </r>
  <r>
    <x v="2"/>
    <n v="42"/>
  </r>
  <r>
    <x v="2"/>
    <n v="480"/>
  </r>
  <r>
    <x v="2"/>
    <n v="8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n v="333"/>
  </r>
  <r>
    <x v="0"/>
    <n v="223"/>
  </r>
  <r>
    <x v="0"/>
    <n v="510"/>
  </r>
  <r>
    <x v="0"/>
    <n v="132"/>
  </r>
  <r>
    <x v="0"/>
    <n v="204"/>
  </r>
  <r>
    <x v="0"/>
    <n v="330"/>
  </r>
  <r>
    <x v="0"/>
    <n v="107"/>
  </r>
  <r>
    <x v="1"/>
    <n v="750000"/>
  </r>
  <r>
    <x v="1"/>
    <n v="650000"/>
  </r>
  <r>
    <x v="1"/>
    <n v="626000"/>
  </r>
  <r>
    <x v="1"/>
    <n v="156"/>
  </r>
  <r>
    <x v="1"/>
    <n v="347"/>
  </r>
  <r>
    <x v="1"/>
    <n v="130"/>
  </r>
  <r>
    <x v="1"/>
    <n v="5127"/>
  </r>
  <r>
    <x v="1"/>
    <n v="500"/>
  </r>
  <r>
    <x v="1"/>
    <n v="40000"/>
  </r>
  <r>
    <x v="1"/>
    <n v="436"/>
  </r>
  <r>
    <x v="1"/>
    <n v="350"/>
  </r>
  <r>
    <x v="1"/>
    <n v="377"/>
  </r>
  <r>
    <x v="1"/>
    <n v="900"/>
  </r>
  <r>
    <x v="1"/>
    <n v="6000"/>
  </r>
  <r>
    <x v="1"/>
    <n v="275"/>
  </r>
  <r>
    <x v="1"/>
    <n v="1760"/>
  </r>
  <r>
    <x v="1"/>
    <n v="20697"/>
  </r>
  <r>
    <x v="1"/>
    <n v="3600000"/>
  </r>
  <r>
    <x v="1"/>
    <n v="23671"/>
  </r>
  <r>
    <x v="1"/>
    <n v="96000"/>
  </r>
  <r>
    <x v="1"/>
    <n v="500"/>
  </r>
  <r>
    <x v="1"/>
    <n v="374"/>
  </r>
  <r>
    <x v="1"/>
    <n v="3000"/>
  </r>
  <r>
    <x v="1"/>
    <n v="480"/>
  </r>
  <r>
    <x v="1"/>
    <n v="8500"/>
  </r>
  <r>
    <x v="1"/>
    <n v="4002"/>
  </r>
  <r>
    <x v="1"/>
    <n v="116000"/>
  </r>
  <r>
    <x v="1"/>
    <n v="30130"/>
  </r>
  <r>
    <x v="1"/>
    <n v="2950000"/>
  </r>
  <r>
    <x v="1"/>
    <n v="1100000"/>
  </r>
  <r>
    <x v="1"/>
    <n v="180"/>
  </r>
  <r>
    <x v="2"/>
    <n v="250"/>
  </r>
  <r>
    <x v="2"/>
    <n v="124"/>
  </r>
  <r>
    <x v="2"/>
    <n v="1000"/>
  </r>
  <r>
    <x v="2"/>
    <n v="2950"/>
  </r>
  <r>
    <x v="2"/>
    <n v="9000"/>
  </r>
  <r>
    <x v="2"/>
    <n v="396"/>
  </r>
  <r>
    <x v="2"/>
    <n v="250"/>
  </r>
  <r>
    <x v="2"/>
    <n v="290"/>
  </r>
  <r>
    <x v="2"/>
    <n v="292"/>
  </r>
  <r>
    <x v="2"/>
    <n v="125"/>
  </r>
  <r>
    <x v="2"/>
    <n v="100"/>
  </r>
  <r>
    <x v="2"/>
    <n v="6446"/>
  </r>
  <r>
    <x v="2"/>
    <n v="202"/>
  </r>
  <r>
    <x v="2"/>
    <n v="100"/>
  </r>
  <r>
    <x v="2"/>
    <n v="1200"/>
  </r>
  <r>
    <x v="2"/>
    <n v="181"/>
  </r>
  <r>
    <x v="2"/>
    <n v="311"/>
  </r>
  <r>
    <x v="2"/>
    <n v="330"/>
  </r>
  <r>
    <x v="2"/>
    <n v="25000"/>
  </r>
  <r>
    <x v="2"/>
    <n v="500"/>
  </r>
  <r>
    <x v="2"/>
    <n v="100"/>
  </r>
  <r>
    <x v="2"/>
    <n v="10000"/>
  </r>
  <r>
    <x v="2"/>
    <n v="125"/>
  </r>
  <r>
    <x v="2"/>
    <n v="100"/>
  </r>
  <r>
    <x v="2"/>
    <n v="10000"/>
  </r>
  <r>
    <x v="2"/>
    <n v="1115"/>
  </r>
  <r>
    <x v="2"/>
    <n v="150"/>
  </r>
  <r>
    <x v="2"/>
    <n v="50000"/>
  </r>
  <r>
    <x v="2"/>
    <n v="504"/>
  </r>
  <r>
    <x v="2"/>
    <n v="285"/>
  </r>
  <r>
    <x v="3"/>
    <n v="6509"/>
  </r>
  <r>
    <x v="3"/>
    <n v="2283.08"/>
  </r>
  <r>
    <x v="3"/>
    <n v="2283.08"/>
  </r>
  <r>
    <x v="3"/>
    <n v="120"/>
  </r>
  <r>
    <x v="3"/>
    <n v="200"/>
  </r>
  <r>
    <x v="3"/>
    <n v="439"/>
  </r>
  <r>
    <x v="3"/>
    <n v="670"/>
  </r>
  <r>
    <x v="3"/>
    <n v="689"/>
  </r>
  <r>
    <x v="3"/>
    <n v="854"/>
  </r>
  <r>
    <x v="3"/>
    <n v="180"/>
  </r>
  <r>
    <x v="3"/>
    <n v="6076"/>
  </r>
  <r>
    <x v="3"/>
    <n v="340"/>
  </r>
  <r>
    <x v="3"/>
    <n v="894"/>
  </r>
  <r>
    <x v="3"/>
    <n v="3900"/>
  </r>
  <r>
    <x v="3"/>
    <n v="286"/>
  </r>
  <r>
    <x v="3"/>
    <n v="4600"/>
  </r>
  <r>
    <x v="3"/>
    <n v="28569"/>
  </r>
  <r>
    <x v="3"/>
    <n v="1002"/>
  </r>
  <r>
    <x v="3"/>
    <n v="498"/>
  </r>
  <r>
    <x v="3"/>
    <n v="975"/>
  </r>
  <r>
    <x v="3"/>
    <n v="161"/>
  </r>
  <r>
    <x v="3"/>
    <n v="648"/>
  </r>
  <r>
    <x v="3"/>
    <n v="964"/>
  </r>
  <r>
    <x v="3"/>
    <n v="355"/>
  </r>
  <r>
    <x v="3"/>
    <n v="651"/>
  </r>
  <r>
    <x v="3"/>
    <n v="200"/>
  </r>
  <r>
    <x v="3"/>
    <n v="28900"/>
  </r>
  <r>
    <x v="3"/>
    <n v="800"/>
  </r>
  <r>
    <x v="3"/>
    <n v="6538"/>
  </r>
  <r>
    <x v="3"/>
    <n v="3000"/>
  </r>
  <r>
    <x v="3"/>
    <n v="5000"/>
  </r>
  <r>
    <x v="3"/>
    <n v="148"/>
  </r>
  <r>
    <x v="3"/>
    <n v="500"/>
  </r>
  <r>
    <x v="3"/>
    <n v="127"/>
  </r>
  <r>
    <x v="3"/>
    <n v="859"/>
  </r>
  <r>
    <x v="3"/>
    <n v="119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1882A-B1CF-4BA8-A619-A931A6C5BB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0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 (t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0401D-CF07-46A8-A049-0C620A0995E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1" firstHeaderRow="1" firstDataRow="1" firstDataCol="1"/>
  <pivotFields count="2">
    <pivotField axis="axisRow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03A7-19FC-42E5-9E9F-B0ED502322AD}">
  <dimension ref="A1:H78"/>
  <sheetViews>
    <sheetView workbookViewId="0">
      <selection activeCell="D16" sqref="D16"/>
    </sheetView>
  </sheetViews>
  <sheetFormatPr defaultRowHeight="15" x14ac:dyDescent="0.25"/>
  <cols>
    <col min="4" max="4" width="13.140625" bestFit="1" customWidth="1"/>
    <col min="5" max="5" width="17.57031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>
        <v>6509</v>
      </c>
    </row>
    <row r="3" spans="1:8" x14ac:dyDescent="0.25">
      <c r="A3" t="s">
        <v>2</v>
      </c>
      <c r="B3">
        <v>17.899999999999999</v>
      </c>
    </row>
    <row r="4" spans="1:8" x14ac:dyDescent="0.25">
      <c r="A4" t="s">
        <v>2</v>
      </c>
      <c r="B4">
        <v>5.8</v>
      </c>
    </row>
    <row r="5" spans="1:8" x14ac:dyDescent="0.25">
      <c r="A5" t="s">
        <v>2</v>
      </c>
      <c r="B5">
        <v>73.599999999999994</v>
      </c>
    </row>
    <row r="6" spans="1:8" x14ac:dyDescent="0.25">
      <c r="A6" t="s">
        <v>2</v>
      </c>
      <c r="B6">
        <v>2.6</v>
      </c>
    </row>
    <row r="7" spans="1:8" x14ac:dyDescent="0.25">
      <c r="A7" t="s">
        <v>2</v>
      </c>
      <c r="B7">
        <v>25.5</v>
      </c>
    </row>
    <row r="8" spans="1:8" x14ac:dyDescent="0.25">
      <c r="A8" t="s">
        <v>2</v>
      </c>
      <c r="B8">
        <v>3.3</v>
      </c>
    </row>
    <row r="9" spans="1:8" x14ac:dyDescent="0.25">
      <c r="A9" t="s">
        <v>2</v>
      </c>
      <c r="B9">
        <v>20.6</v>
      </c>
    </row>
    <row r="10" spans="1:8" x14ac:dyDescent="0.25">
      <c r="A10" t="s">
        <v>2</v>
      </c>
      <c r="B10">
        <v>3.1</v>
      </c>
    </row>
    <row r="11" spans="1:8" x14ac:dyDescent="0.25">
      <c r="A11" t="s">
        <v>2</v>
      </c>
      <c r="B11">
        <v>12.5</v>
      </c>
    </row>
    <row r="12" spans="1:8" x14ac:dyDescent="0.25">
      <c r="A12" t="s">
        <v>2</v>
      </c>
      <c r="B12">
        <v>2.2999999999999998</v>
      </c>
    </row>
    <row r="13" spans="1:8" x14ac:dyDescent="0.25">
      <c r="A13" t="s">
        <v>2</v>
      </c>
      <c r="B13">
        <v>2283.08</v>
      </c>
      <c r="H13" t="s">
        <v>4</v>
      </c>
    </row>
    <row r="14" spans="1:8" x14ac:dyDescent="0.25">
      <c r="A14" t="s">
        <v>2</v>
      </c>
      <c r="B14">
        <v>2283.08</v>
      </c>
    </row>
    <row r="15" spans="1:8" x14ac:dyDescent="0.25">
      <c r="A15" t="s">
        <v>2</v>
      </c>
      <c r="B15">
        <v>120</v>
      </c>
    </row>
    <row r="16" spans="1:8" x14ac:dyDescent="0.25">
      <c r="A16" t="s">
        <v>2</v>
      </c>
      <c r="B16">
        <v>90</v>
      </c>
      <c r="D16" s="1" t="s">
        <v>6</v>
      </c>
      <c r="E16" t="s">
        <v>8</v>
      </c>
    </row>
    <row r="17" spans="1:5" x14ac:dyDescent="0.25">
      <c r="A17" t="s">
        <v>2</v>
      </c>
      <c r="B17">
        <v>200</v>
      </c>
      <c r="D17" s="2" t="s">
        <v>5</v>
      </c>
      <c r="E17" s="3">
        <v>37182</v>
      </c>
    </row>
    <row r="18" spans="1:5" x14ac:dyDescent="0.25">
      <c r="A18" t="s">
        <v>2</v>
      </c>
      <c r="B18">
        <v>439</v>
      </c>
      <c r="D18" s="2" t="s">
        <v>3</v>
      </c>
      <c r="E18" s="3">
        <v>976</v>
      </c>
    </row>
    <row r="19" spans="1:5" x14ac:dyDescent="0.25">
      <c r="A19" t="s">
        <v>2</v>
      </c>
      <c r="B19">
        <v>670</v>
      </c>
      <c r="D19" s="2" t="s">
        <v>2</v>
      </c>
      <c r="E19" s="3">
        <v>30186.39</v>
      </c>
    </row>
    <row r="20" spans="1:5" x14ac:dyDescent="0.25">
      <c r="A20" t="s">
        <v>2</v>
      </c>
      <c r="B20">
        <v>1002</v>
      </c>
      <c r="D20" s="2" t="s">
        <v>7</v>
      </c>
      <c r="E20" s="3">
        <v>68344.39</v>
      </c>
    </row>
    <row r="21" spans="1:5" x14ac:dyDescent="0.25">
      <c r="A21" t="s">
        <v>2</v>
      </c>
      <c r="B21">
        <v>498</v>
      </c>
    </row>
    <row r="22" spans="1:5" x14ac:dyDescent="0.25">
      <c r="A22" t="s">
        <v>2</v>
      </c>
      <c r="B22">
        <v>975</v>
      </c>
    </row>
    <row r="23" spans="1:5" x14ac:dyDescent="0.25">
      <c r="A23" t="s">
        <v>2</v>
      </c>
      <c r="B23">
        <v>20</v>
      </c>
    </row>
    <row r="24" spans="1:5" x14ac:dyDescent="0.25">
      <c r="A24" t="s">
        <v>2</v>
      </c>
      <c r="B24">
        <v>1</v>
      </c>
    </row>
    <row r="25" spans="1:5" x14ac:dyDescent="0.25">
      <c r="A25" t="s">
        <v>2</v>
      </c>
      <c r="B25">
        <v>10</v>
      </c>
    </row>
    <row r="26" spans="1:5" x14ac:dyDescent="0.25">
      <c r="A26" t="s">
        <v>2</v>
      </c>
      <c r="B26">
        <v>161</v>
      </c>
    </row>
    <row r="27" spans="1:5" x14ac:dyDescent="0.25">
      <c r="A27" t="s">
        <v>2</v>
      </c>
      <c r="B27">
        <v>648</v>
      </c>
    </row>
    <row r="28" spans="1:5" x14ac:dyDescent="0.25">
      <c r="A28" t="s">
        <v>2</v>
      </c>
      <c r="B28">
        <v>964</v>
      </c>
    </row>
    <row r="29" spans="1:5" x14ac:dyDescent="0.25">
      <c r="A29" t="s">
        <v>2</v>
      </c>
      <c r="B29">
        <v>355</v>
      </c>
    </row>
    <row r="30" spans="1:5" x14ac:dyDescent="0.25">
      <c r="A30" t="s">
        <v>2</v>
      </c>
      <c r="B30">
        <v>651</v>
      </c>
    </row>
    <row r="31" spans="1:5" x14ac:dyDescent="0.25">
      <c r="A31" t="s">
        <v>2</v>
      </c>
      <c r="B31">
        <v>200</v>
      </c>
    </row>
    <row r="32" spans="1:5" x14ac:dyDescent="0.25">
      <c r="A32" t="s">
        <v>2</v>
      </c>
      <c r="B32">
        <v>15</v>
      </c>
    </row>
    <row r="33" spans="1:2" x14ac:dyDescent="0.25">
      <c r="A33" t="s">
        <v>2</v>
      </c>
      <c r="B33">
        <v>15</v>
      </c>
    </row>
    <row r="34" spans="1:2" x14ac:dyDescent="0.25">
      <c r="A34" t="s">
        <v>2</v>
      </c>
      <c r="B34">
        <v>0.03</v>
      </c>
    </row>
    <row r="35" spans="1:2" x14ac:dyDescent="0.25">
      <c r="A35" t="s">
        <v>2</v>
      </c>
      <c r="B35">
        <v>11910</v>
      </c>
    </row>
    <row r="36" spans="1:2" x14ac:dyDescent="0.25">
      <c r="A36" t="s">
        <v>3</v>
      </c>
      <c r="B36">
        <v>250</v>
      </c>
    </row>
    <row r="37" spans="1:2" x14ac:dyDescent="0.25">
      <c r="A37" t="s">
        <v>3</v>
      </c>
      <c r="B37">
        <v>9</v>
      </c>
    </row>
    <row r="38" spans="1:2" x14ac:dyDescent="0.25">
      <c r="A38" t="s">
        <v>3</v>
      </c>
      <c r="B38">
        <v>15</v>
      </c>
    </row>
    <row r="39" spans="1:2" x14ac:dyDescent="0.25">
      <c r="A39" t="s">
        <v>3</v>
      </c>
      <c r="B39">
        <v>62</v>
      </c>
    </row>
    <row r="40" spans="1:2" x14ac:dyDescent="0.25">
      <c r="A40" t="s">
        <v>3</v>
      </c>
      <c r="B40">
        <v>85</v>
      </c>
    </row>
    <row r="41" spans="1:2" x14ac:dyDescent="0.25">
      <c r="A41" t="s">
        <v>3</v>
      </c>
      <c r="B41">
        <v>20</v>
      </c>
    </row>
    <row r="42" spans="1:2" x14ac:dyDescent="0.25">
      <c r="A42" t="s">
        <v>3</v>
      </c>
      <c r="B42">
        <v>10</v>
      </c>
    </row>
    <row r="43" spans="1:2" x14ac:dyDescent="0.25">
      <c r="A43" t="s">
        <v>3</v>
      </c>
      <c r="B43">
        <v>100</v>
      </c>
    </row>
    <row r="44" spans="1:2" x14ac:dyDescent="0.25">
      <c r="A44" t="s">
        <v>3</v>
      </c>
      <c r="B44">
        <v>181</v>
      </c>
    </row>
    <row r="45" spans="1:2" x14ac:dyDescent="0.25">
      <c r="A45" t="s">
        <v>3</v>
      </c>
      <c r="B45">
        <v>40</v>
      </c>
    </row>
    <row r="46" spans="1:2" x14ac:dyDescent="0.25">
      <c r="A46" t="s">
        <v>3</v>
      </c>
      <c r="B46">
        <v>5</v>
      </c>
    </row>
    <row r="47" spans="1:2" x14ac:dyDescent="0.25">
      <c r="A47" t="s">
        <v>3</v>
      </c>
      <c r="B47">
        <v>20</v>
      </c>
    </row>
    <row r="48" spans="1:2" x14ac:dyDescent="0.25">
      <c r="A48" t="s">
        <v>3</v>
      </c>
      <c r="B48">
        <v>4</v>
      </c>
    </row>
    <row r="49" spans="1:2" x14ac:dyDescent="0.25">
      <c r="A49" t="s">
        <v>3</v>
      </c>
      <c r="B49">
        <v>19</v>
      </c>
    </row>
    <row r="50" spans="1:2" x14ac:dyDescent="0.25">
      <c r="A50" t="s">
        <v>3</v>
      </c>
      <c r="B50">
        <v>15</v>
      </c>
    </row>
    <row r="51" spans="1:2" x14ac:dyDescent="0.25">
      <c r="A51" t="s">
        <v>3</v>
      </c>
      <c r="B51">
        <v>12</v>
      </c>
    </row>
    <row r="52" spans="1:2" x14ac:dyDescent="0.25">
      <c r="A52" t="s">
        <v>3</v>
      </c>
      <c r="B52">
        <v>15</v>
      </c>
    </row>
    <row r="53" spans="1:2" x14ac:dyDescent="0.25">
      <c r="A53" t="s">
        <v>3</v>
      </c>
      <c r="B53">
        <v>8</v>
      </c>
    </row>
    <row r="54" spans="1:2" x14ac:dyDescent="0.25">
      <c r="A54" t="s">
        <v>3</v>
      </c>
      <c r="B54">
        <v>1</v>
      </c>
    </row>
    <row r="55" spans="1:2" x14ac:dyDescent="0.25">
      <c r="A55" t="s">
        <v>3</v>
      </c>
      <c r="B55">
        <v>1</v>
      </c>
    </row>
    <row r="56" spans="1:2" x14ac:dyDescent="0.25">
      <c r="A56" t="s">
        <v>3</v>
      </c>
      <c r="B56">
        <v>4</v>
      </c>
    </row>
    <row r="57" spans="1:2" x14ac:dyDescent="0.25">
      <c r="A57" t="s">
        <v>3</v>
      </c>
      <c r="B57">
        <v>50</v>
      </c>
    </row>
    <row r="58" spans="1:2" x14ac:dyDescent="0.25">
      <c r="A58" t="s">
        <v>3</v>
      </c>
      <c r="B58">
        <v>48</v>
      </c>
    </row>
    <row r="59" spans="1:2" x14ac:dyDescent="0.25">
      <c r="A59" t="s">
        <v>3</v>
      </c>
      <c r="B59">
        <v>2</v>
      </c>
    </row>
    <row r="60" spans="1:2" x14ac:dyDescent="0.25">
      <c r="A60" t="s">
        <v>5</v>
      </c>
      <c r="B60">
        <v>130</v>
      </c>
    </row>
    <row r="61" spans="1:2" x14ac:dyDescent="0.25">
      <c r="A61" t="s">
        <v>5</v>
      </c>
      <c r="B61">
        <v>500</v>
      </c>
    </row>
    <row r="62" spans="1:2" x14ac:dyDescent="0.25">
      <c r="A62" t="s">
        <v>5</v>
      </c>
      <c r="B62">
        <v>6000</v>
      </c>
    </row>
    <row r="63" spans="1:2" x14ac:dyDescent="0.25">
      <c r="A63" t="s">
        <v>5</v>
      </c>
      <c r="B63">
        <v>275</v>
      </c>
    </row>
    <row r="64" spans="1:2" x14ac:dyDescent="0.25">
      <c r="A64" t="s">
        <v>5</v>
      </c>
      <c r="B64">
        <v>20697</v>
      </c>
    </row>
    <row r="65" spans="1:2" x14ac:dyDescent="0.25">
      <c r="A65" t="s">
        <v>5</v>
      </c>
      <c r="B65">
        <v>1</v>
      </c>
    </row>
    <row r="66" spans="1:2" x14ac:dyDescent="0.25">
      <c r="A66" t="s">
        <v>5</v>
      </c>
      <c r="B66">
        <v>2</v>
      </c>
    </row>
    <row r="67" spans="1:2" x14ac:dyDescent="0.25">
      <c r="A67" t="s">
        <v>5</v>
      </c>
      <c r="B67">
        <v>500</v>
      </c>
    </row>
    <row r="68" spans="1:2" x14ac:dyDescent="0.25">
      <c r="A68" t="s">
        <v>5</v>
      </c>
      <c r="B68">
        <v>1</v>
      </c>
    </row>
    <row r="69" spans="1:2" x14ac:dyDescent="0.25">
      <c r="A69" t="s">
        <v>5</v>
      </c>
      <c r="B69">
        <v>1</v>
      </c>
    </row>
    <row r="70" spans="1:2" x14ac:dyDescent="0.25">
      <c r="A70" t="s">
        <v>5</v>
      </c>
      <c r="B70">
        <v>1</v>
      </c>
    </row>
    <row r="71" spans="1:2" x14ac:dyDescent="0.25">
      <c r="A71" t="s">
        <v>5</v>
      </c>
      <c r="B71">
        <v>1</v>
      </c>
    </row>
    <row r="72" spans="1:2" x14ac:dyDescent="0.25">
      <c r="A72" t="s">
        <v>5</v>
      </c>
      <c r="B72">
        <v>1</v>
      </c>
    </row>
    <row r="73" spans="1:2" x14ac:dyDescent="0.25">
      <c r="A73" t="s">
        <v>5</v>
      </c>
      <c r="B73">
        <v>1</v>
      </c>
    </row>
    <row r="74" spans="1:2" x14ac:dyDescent="0.25">
      <c r="A74" t="s">
        <v>5</v>
      </c>
      <c r="B74">
        <v>29</v>
      </c>
    </row>
    <row r="75" spans="1:2" x14ac:dyDescent="0.25">
      <c r="A75" t="s">
        <v>5</v>
      </c>
      <c r="B75">
        <v>20</v>
      </c>
    </row>
    <row r="76" spans="1:2" x14ac:dyDescent="0.25">
      <c r="A76" t="s">
        <v>5</v>
      </c>
      <c r="B76">
        <v>42</v>
      </c>
    </row>
    <row r="77" spans="1:2" x14ac:dyDescent="0.25">
      <c r="A77" t="s">
        <v>5</v>
      </c>
      <c r="B77">
        <v>480</v>
      </c>
    </row>
    <row r="78" spans="1:2" x14ac:dyDescent="0.25">
      <c r="A78" t="s">
        <v>5</v>
      </c>
      <c r="B78">
        <v>8500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E93A-2959-402B-BB5C-1AD67D18EC51}">
  <dimension ref="A1:J105"/>
  <sheetViews>
    <sheetView tabSelected="1" workbookViewId="0">
      <selection activeCell="I16" sqref="I16"/>
    </sheetView>
  </sheetViews>
  <sheetFormatPr defaultRowHeight="15" x14ac:dyDescent="0.25"/>
  <cols>
    <col min="4" max="4" width="13.140625" bestFit="1" customWidth="1"/>
    <col min="5" max="5" width="14.85546875" bestFit="1" customWidth="1"/>
  </cols>
  <sheetData>
    <row r="1" spans="1:10" x14ac:dyDescent="0.25">
      <c r="A1" t="s">
        <v>0</v>
      </c>
      <c r="B1" t="s">
        <v>9</v>
      </c>
    </row>
    <row r="2" spans="1:10" x14ac:dyDescent="0.25">
      <c r="A2" t="s">
        <v>10</v>
      </c>
      <c r="B2">
        <v>333</v>
      </c>
    </row>
    <row r="3" spans="1:10" x14ac:dyDescent="0.25">
      <c r="A3" t="s">
        <v>10</v>
      </c>
      <c r="B3">
        <v>223</v>
      </c>
    </row>
    <row r="4" spans="1:10" x14ac:dyDescent="0.25">
      <c r="A4" t="s">
        <v>10</v>
      </c>
      <c r="B4">
        <v>510</v>
      </c>
    </row>
    <row r="5" spans="1:10" x14ac:dyDescent="0.25">
      <c r="A5" t="s">
        <v>10</v>
      </c>
      <c r="B5">
        <v>132</v>
      </c>
    </row>
    <row r="6" spans="1:10" x14ac:dyDescent="0.25">
      <c r="A6" t="s">
        <v>10</v>
      </c>
      <c r="B6">
        <v>204</v>
      </c>
    </row>
    <row r="7" spans="1:10" x14ac:dyDescent="0.25">
      <c r="A7" t="s">
        <v>10</v>
      </c>
      <c r="B7">
        <v>330</v>
      </c>
    </row>
    <row r="8" spans="1:10" x14ac:dyDescent="0.25">
      <c r="A8" t="s">
        <v>10</v>
      </c>
      <c r="B8">
        <v>107</v>
      </c>
    </row>
    <row r="9" spans="1:10" x14ac:dyDescent="0.25">
      <c r="A9" t="s">
        <v>5</v>
      </c>
      <c r="B9">
        <v>750000</v>
      </c>
    </row>
    <row r="10" spans="1:10" x14ac:dyDescent="0.25">
      <c r="A10" t="s">
        <v>5</v>
      </c>
      <c r="B10">
        <v>650000</v>
      </c>
    </row>
    <row r="11" spans="1:10" x14ac:dyDescent="0.25">
      <c r="A11" t="s">
        <v>5</v>
      </c>
      <c r="B11">
        <v>626000</v>
      </c>
      <c r="J11" s="4">
        <v>46175</v>
      </c>
    </row>
    <row r="12" spans="1:10" x14ac:dyDescent="0.25">
      <c r="A12" t="s">
        <v>5</v>
      </c>
      <c r="B12">
        <v>156</v>
      </c>
      <c r="J12" t="s">
        <v>11</v>
      </c>
    </row>
    <row r="13" spans="1:10" x14ac:dyDescent="0.25">
      <c r="A13" t="s">
        <v>5</v>
      </c>
      <c r="B13">
        <v>347</v>
      </c>
    </row>
    <row r="14" spans="1:10" x14ac:dyDescent="0.25">
      <c r="A14" t="s">
        <v>5</v>
      </c>
      <c r="B14">
        <v>130</v>
      </c>
    </row>
    <row r="15" spans="1:10" x14ac:dyDescent="0.25">
      <c r="A15" t="s">
        <v>5</v>
      </c>
      <c r="B15">
        <v>5127</v>
      </c>
    </row>
    <row r="16" spans="1:10" x14ac:dyDescent="0.25">
      <c r="A16" t="s">
        <v>5</v>
      </c>
      <c r="B16">
        <v>500</v>
      </c>
      <c r="D16" s="1" t="s">
        <v>6</v>
      </c>
      <c r="E16" t="s">
        <v>12</v>
      </c>
      <c r="F16" t="s">
        <v>13</v>
      </c>
    </row>
    <row r="17" spans="1:6" x14ac:dyDescent="0.25">
      <c r="A17" t="s">
        <v>5</v>
      </c>
      <c r="B17">
        <v>40000</v>
      </c>
      <c r="D17" s="2" t="s">
        <v>5</v>
      </c>
      <c r="E17" s="3">
        <v>10035892</v>
      </c>
      <c r="F17" s="5">
        <f>GETPIVOTDATA("Amount",$D$16,"Method","BECCS")/1000000</f>
        <v>10.035892</v>
      </c>
    </row>
    <row r="18" spans="1:6" x14ac:dyDescent="0.25">
      <c r="A18" t="s">
        <v>5</v>
      </c>
      <c r="B18">
        <v>436</v>
      </c>
      <c r="D18" s="2" t="s">
        <v>3</v>
      </c>
      <c r="E18" s="3">
        <v>121426</v>
      </c>
      <c r="F18" s="5">
        <f>GETPIVOTDATA("Amount",$D$16,"Method","DACS")/1000000</f>
        <v>0.12142600000000001</v>
      </c>
    </row>
    <row r="19" spans="1:6" x14ac:dyDescent="0.25">
      <c r="A19" t="s">
        <v>5</v>
      </c>
      <c r="B19">
        <v>350</v>
      </c>
      <c r="D19" s="2" t="s">
        <v>2</v>
      </c>
      <c r="E19" s="3">
        <v>122128.16</v>
      </c>
      <c r="F19" s="5">
        <f>GETPIVOTDATA("Amount",$D$16,"Method","EW")/1000000</f>
        <v>0.12212816</v>
      </c>
    </row>
    <row r="20" spans="1:6" x14ac:dyDescent="0.25">
      <c r="A20" t="s">
        <v>5</v>
      </c>
      <c r="B20">
        <v>377</v>
      </c>
      <c r="D20" s="2" t="s">
        <v>10</v>
      </c>
      <c r="E20" s="3">
        <v>1839</v>
      </c>
      <c r="F20" s="5">
        <f>GETPIVOTDATA("Amount",$D$16,"Method","OeW")/1000000</f>
        <v>1.8389999999999999E-3</v>
      </c>
    </row>
    <row r="21" spans="1:6" x14ac:dyDescent="0.25">
      <c r="A21" t="s">
        <v>5</v>
      </c>
      <c r="B21">
        <v>900</v>
      </c>
      <c r="D21" s="2" t="s">
        <v>7</v>
      </c>
      <c r="E21" s="3">
        <v>10281285.16</v>
      </c>
      <c r="F21">
        <f t="shared" ref="F18:F21" si="0">GETPIVOTDATA("Amount",$D$16,"Method","BECCS")/1000000</f>
        <v>10.035892</v>
      </c>
    </row>
    <row r="22" spans="1:6" x14ac:dyDescent="0.25">
      <c r="A22" t="s">
        <v>5</v>
      </c>
      <c r="B22">
        <v>6000</v>
      </c>
    </row>
    <row r="23" spans="1:6" x14ac:dyDescent="0.25">
      <c r="A23" t="s">
        <v>5</v>
      </c>
      <c r="B23">
        <v>275</v>
      </c>
    </row>
    <row r="24" spans="1:6" x14ac:dyDescent="0.25">
      <c r="A24" t="s">
        <v>5</v>
      </c>
      <c r="B24">
        <v>1760</v>
      </c>
    </row>
    <row r="25" spans="1:6" x14ac:dyDescent="0.25">
      <c r="A25" t="s">
        <v>5</v>
      </c>
      <c r="B25">
        <v>20697</v>
      </c>
    </row>
    <row r="26" spans="1:6" x14ac:dyDescent="0.25">
      <c r="A26" t="s">
        <v>5</v>
      </c>
      <c r="B26">
        <v>3600000</v>
      </c>
    </row>
    <row r="27" spans="1:6" x14ac:dyDescent="0.25">
      <c r="A27" t="s">
        <v>5</v>
      </c>
      <c r="B27">
        <v>23671</v>
      </c>
    </row>
    <row r="28" spans="1:6" x14ac:dyDescent="0.25">
      <c r="A28" t="s">
        <v>5</v>
      </c>
      <c r="B28">
        <v>96000</v>
      </c>
    </row>
    <row r="29" spans="1:6" x14ac:dyDescent="0.25">
      <c r="A29" t="s">
        <v>5</v>
      </c>
      <c r="B29">
        <v>500</v>
      </c>
    </row>
    <row r="30" spans="1:6" x14ac:dyDescent="0.25">
      <c r="A30" t="s">
        <v>5</v>
      </c>
      <c r="B30">
        <v>374</v>
      </c>
    </row>
    <row r="31" spans="1:6" x14ac:dyDescent="0.25">
      <c r="A31" t="s">
        <v>5</v>
      </c>
      <c r="B31">
        <v>3000</v>
      </c>
    </row>
    <row r="32" spans="1:6" x14ac:dyDescent="0.25">
      <c r="A32" t="s">
        <v>5</v>
      </c>
      <c r="B32">
        <v>480</v>
      </c>
    </row>
    <row r="33" spans="1:2" x14ac:dyDescent="0.25">
      <c r="A33" t="s">
        <v>5</v>
      </c>
      <c r="B33">
        <v>8500</v>
      </c>
    </row>
    <row r="34" spans="1:2" x14ac:dyDescent="0.25">
      <c r="A34" t="s">
        <v>5</v>
      </c>
      <c r="B34">
        <v>4002</v>
      </c>
    </row>
    <row r="35" spans="1:2" x14ac:dyDescent="0.25">
      <c r="A35" t="s">
        <v>5</v>
      </c>
      <c r="B35">
        <v>116000</v>
      </c>
    </row>
    <row r="36" spans="1:2" x14ac:dyDescent="0.25">
      <c r="A36" t="s">
        <v>5</v>
      </c>
      <c r="B36">
        <v>30130</v>
      </c>
    </row>
    <row r="37" spans="1:2" x14ac:dyDescent="0.25">
      <c r="A37" t="s">
        <v>5</v>
      </c>
      <c r="B37">
        <v>2950000</v>
      </c>
    </row>
    <row r="38" spans="1:2" x14ac:dyDescent="0.25">
      <c r="A38" t="s">
        <v>5</v>
      </c>
      <c r="B38">
        <v>1100000</v>
      </c>
    </row>
    <row r="39" spans="1:2" x14ac:dyDescent="0.25">
      <c r="A39" t="s">
        <v>5</v>
      </c>
      <c r="B39">
        <v>180</v>
      </c>
    </row>
    <row r="40" spans="1:2" x14ac:dyDescent="0.25">
      <c r="A40" t="s">
        <v>3</v>
      </c>
      <c r="B40">
        <v>250</v>
      </c>
    </row>
    <row r="41" spans="1:2" x14ac:dyDescent="0.25">
      <c r="A41" t="s">
        <v>3</v>
      </c>
      <c r="B41">
        <v>124</v>
      </c>
    </row>
    <row r="42" spans="1:2" x14ac:dyDescent="0.25">
      <c r="A42" t="s">
        <v>3</v>
      </c>
      <c r="B42">
        <v>1000</v>
      </c>
    </row>
    <row r="43" spans="1:2" x14ac:dyDescent="0.25">
      <c r="A43" t="s">
        <v>3</v>
      </c>
      <c r="B43">
        <v>2950</v>
      </c>
    </row>
    <row r="44" spans="1:2" x14ac:dyDescent="0.25">
      <c r="A44" t="s">
        <v>3</v>
      </c>
      <c r="B44">
        <v>9000</v>
      </c>
    </row>
    <row r="45" spans="1:2" x14ac:dyDescent="0.25">
      <c r="A45" t="s">
        <v>3</v>
      </c>
      <c r="B45">
        <v>396</v>
      </c>
    </row>
    <row r="46" spans="1:2" x14ac:dyDescent="0.25">
      <c r="A46" t="s">
        <v>3</v>
      </c>
      <c r="B46">
        <v>250</v>
      </c>
    </row>
    <row r="47" spans="1:2" x14ac:dyDescent="0.25">
      <c r="A47" t="s">
        <v>3</v>
      </c>
      <c r="B47">
        <v>290</v>
      </c>
    </row>
    <row r="48" spans="1:2" x14ac:dyDescent="0.25">
      <c r="A48" t="s">
        <v>3</v>
      </c>
      <c r="B48">
        <v>292</v>
      </c>
    </row>
    <row r="49" spans="1:2" x14ac:dyDescent="0.25">
      <c r="A49" t="s">
        <v>3</v>
      </c>
      <c r="B49">
        <v>125</v>
      </c>
    </row>
    <row r="50" spans="1:2" x14ac:dyDescent="0.25">
      <c r="A50" t="s">
        <v>3</v>
      </c>
      <c r="B50">
        <v>100</v>
      </c>
    </row>
    <row r="51" spans="1:2" x14ac:dyDescent="0.25">
      <c r="A51" t="s">
        <v>3</v>
      </c>
      <c r="B51">
        <v>6446</v>
      </c>
    </row>
    <row r="52" spans="1:2" x14ac:dyDescent="0.25">
      <c r="A52" t="s">
        <v>3</v>
      </c>
      <c r="B52">
        <v>202</v>
      </c>
    </row>
    <row r="53" spans="1:2" x14ac:dyDescent="0.25">
      <c r="A53" t="s">
        <v>3</v>
      </c>
      <c r="B53">
        <v>100</v>
      </c>
    </row>
    <row r="54" spans="1:2" x14ac:dyDescent="0.25">
      <c r="A54" t="s">
        <v>3</v>
      </c>
      <c r="B54">
        <v>1200</v>
      </c>
    </row>
    <row r="55" spans="1:2" x14ac:dyDescent="0.25">
      <c r="A55" t="s">
        <v>3</v>
      </c>
      <c r="B55">
        <v>181</v>
      </c>
    </row>
    <row r="56" spans="1:2" x14ac:dyDescent="0.25">
      <c r="A56" t="s">
        <v>3</v>
      </c>
      <c r="B56">
        <v>311</v>
      </c>
    </row>
    <row r="57" spans="1:2" x14ac:dyDescent="0.25">
      <c r="A57" t="s">
        <v>3</v>
      </c>
      <c r="B57">
        <v>330</v>
      </c>
    </row>
    <row r="58" spans="1:2" x14ac:dyDescent="0.25">
      <c r="A58" t="s">
        <v>3</v>
      </c>
      <c r="B58">
        <v>25000</v>
      </c>
    </row>
    <row r="59" spans="1:2" x14ac:dyDescent="0.25">
      <c r="A59" t="s">
        <v>3</v>
      </c>
      <c r="B59">
        <v>500</v>
      </c>
    </row>
    <row r="60" spans="1:2" x14ac:dyDescent="0.25">
      <c r="A60" t="s">
        <v>3</v>
      </c>
      <c r="B60">
        <v>100</v>
      </c>
    </row>
    <row r="61" spans="1:2" x14ac:dyDescent="0.25">
      <c r="A61" t="s">
        <v>3</v>
      </c>
      <c r="B61">
        <v>10000</v>
      </c>
    </row>
    <row r="62" spans="1:2" x14ac:dyDescent="0.25">
      <c r="A62" t="s">
        <v>3</v>
      </c>
      <c r="B62">
        <v>125</v>
      </c>
    </row>
    <row r="63" spans="1:2" x14ac:dyDescent="0.25">
      <c r="A63" t="s">
        <v>3</v>
      </c>
      <c r="B63">
        <v>100</v>
      </c>
    </row>
    <row r="64" spans="1:2" x14ac:dyDescent="0.25">
      <c r="A64" t="s">
        <v>3</v>
      </c>
      <c r="B64">
        <v>10000</v>
      </c>
    </row>
    <row r="65" spans="1:2" x14ac:dyDescent="0.25">
      <c r="A65" t="s">
        <v>3</v>
      </c>
      <c r="B65">
        <v>1115</v>
      </c>
    </row>
    <row r="66" spans="1:2" x14ac:dyDescent="0.25">
      <c r="A66" t="s">
        <v>3</v>
      </c>
      <c r="B66">
        <v>150</v>
      </c>
    </row>
    <row r="67" spans="1:2" x14ac:dyDescent="0.25">
      <c r="A67" t="s">
        <v>3</v>
      </c>
      <c r="B67">
        <v>50000</v>
      </c>
    </row>
    <row r="68" spans="1:2" x14ac:dyDescent="0.25">
      <c r="A68" t="s">
        <v>3</v>
      </c>
      <c r="B68">
        <v>504</v>
      </c>
    </row>
    <row r="69" spans="1:2" x14ac:dyDescent="0.25">
      <c r="A69" t="s">
        <v>3</v>
      </c>
      <c r="B69">
        <v>285</v>
      </c>
    </row>
    <row r="70" spans="1:2" x14ac:dyDescent="0.25">
      <c r="A70" t="s">
        <v>2</v>
      </c>
      <c r="B70">
        <v>6509</v>
      </c>
    </row>
    <row r="71" spans="1:2" x14ac:dyDescent="0.25">
      <c r="A71" t="s">
        <v>2</v>
      </c>
      <c r="B71">
        <v>2283.08</v>
      </c>
    </row>
    <row r="72" spans="1:2" x14ac:dyDescent="0.25">
      <c r="A72" t="s">
        <v>2</v>
      </c>
      <c r="B72">
        <v>2283.08</v>
      </c>
    </row>
    <row r="73" spans="1:2" x14ac:dyDescent="0.25">
      <c r="A73" t="s">
        <v>2</v>
      </c>
      <c r="B73">
        <v>120</v>
      </c>
    </row>
    <row r="74" spans="1:2" x14ac:dyDescent="0.25">
      <c r="A74" t="s">
        <v>2</v>
      </c>
      <c r="B74">
        <v>200</v>
      </c>
    </row>
    <row r="75" spans="1:2" x14ac:dyDescent="0.25">
      <c r="A75" t="s">
        <v>2</v>
      </c>
      <c r="B75">
        <v>439</v>
      </c>
    </row>
    <row r="76" spans="1:2" x14ac:dyDescent="0.25">
      <c r="A76" t="s">
        <v>2</v>
      </c>
      <c r="B76">
        <v>670</v>
      </c>
    </row>
    <row r="77" spans="1:2" x14ac:dyDescent="0.25">
      <c r="A77" t="s">
        <v>2</v>
      </c>
      <c r="B77">
        <v>689</v>
      </c>
    </row>
    <row r="78" spans="1:2" x14ac:dyDescent="0.25">
      <c r="A78" t="s">
        <v>2</v>
      </c>
      <c r="B78">
        <v>854</v>
      </c>
    </row>
    <row r="79" spans="1:2" x14ac:dyDescent="0.25">
      <c r="A79" t="s">
        <v>2</v>
      </c>
      <c r="B79">
        <v>180</v>
      </c>
    </row>
    <row r="80" spans="1:2" x14ac:dyDescent="0.25">
      <c r="A80" t="s">
        <v>2</v>
      </c>
      <c r="B80">
        <v>6076</v>
      </c>
    </row>
    <row r="81" spans="1:2" x14ac:dyDescent="0.25">
      <c r="A81" t="s">
        <v>2</v>
      </c>
      <c r="B81">
        <v>340</v>
      </c>
    </row>
    <row r="82" spans="1:2" x14ac:dyDescent="0.25">
      <c r="A82" t="s">
        <v>2</v>
      </c>
      <c r="B82">
        <v>894</v>
      </c>
    </row>
    <row r="83" spans="1:2" x14ac:dyDescent="0.25">
      <c r="A83" t="s">
        <v>2</v>
      </c>
      <c r="B83">
        <v>3900</v>
      </c>
    </row>
    <row r="84" spans="1:2" x14ac:dyDescent="0.25">
      <c r="A84" t="s">
        <v>2</v>
      </c>
      <c r="B84">
        <v>286</v>
      </c>
    </row>
    <row r="85" spans="1:2" x14ac:dyDescent="0.25">
      <c r="A85" t="s">
        <v>2</v>
      </c>
      <c r="B85">
        <v>4600</v>
      </c>
    </row>
    <row r="86" spans="1:2" x14ac:dyDescent="0.25">
      <c r="A86" t="s">
        <v>2</v>
      </c>
      <c r="B86">
        <v>28569</v>
      </c>
    </row>
    <row r="87" spans="1:2" x14ac:dyDescent="0.25">
      <c r="A87" t="s">
        <v>2</v>
      </c>
      <c r="B87">
        <v>1002</v>
      </c>
    </row>
    <row r="88" spans="1:2" x14ac:dyDescent="0.25">
      <c r="A88" t="s">
        <v>2</v>
      </c>
      <c r="B88">
        <v>498</v>
      </c>
    </row>
    <row r="89" spans="1:2" x14ac:dyDescent="0.25">
      <c r="A89" t="s">
        <v>2</v>
      </c>
      <c r="B89">
        <v>975</v>
      </c>
    </row>
    <row r="90" spans="1:2" x14ac:dyDescent="0.25">
      <c r="A90" t="s">
        <v>2</v>
      </c>
      <c r="B90">
        <v>161</v>
      </c>
    </row>
    <row r="91" spans="1:2" x14ac:dyDescent="0.25">
      <c r="A91" t="s">
        <v>2</v>
      </c>
      <c r="B91">
        <v>648</v>
      </c>
    </row>
    <row r="92" spans="1:2" x14ac:dyDescent="0.25">
      <c r="A92" t="s">
        <v>2</v>
      </c>
      <c r="B92">
        <v>964</v>
      </c>
    </row>
    <row r="93" spans="1:2" x14ac:dyDescent="0.25">
      <c r="A93" t="s">
        <v>2</v>
      </c>
      <c r="B93">
        <v>355</v>
      </c>
    </row>
    <row r="94" spans="1:2" x14ac:dyDescent="0.25">
      <c r="A94" t="s">
        <v>2</v>
      </c>
      <c r="B94">
        <v>651</v>
      </c>
    </row>
    <row r="95" spans="1:2" x14ac:dyDescent="0.25">
      <c r="A95" t="s">
        <v>2</v>
      </c>
      <c r="B95">
        <v>200</v>
      </c>
    </row>
    <row r="96" spans="1:2" x14ac:dyDescent="0.25">
      <c r="A96" t="s">
        <v>2</v>
      </c>
      <c r="B96">
        <v>28900</v>
      </c>
    </row>
    <row r="97" spans="1:2" x14ac:dyDescent="0.25">
      <c r="A97" t="s">
        <v>2</v>
      </c>
      <c r="B97">
        <v>800</v>
      </c>
    </row>
    <row r="98" spans="1:2" x14ac:dyDescent="0.25">
      <c r="A98" t="s">
        <v>2</v>
      </c>
      <c r="B98">
        <v>6538</v>
      </c>
    </row>
    <row r="99" spans="1:2" x14ac:dyDescent="0.25">
      <c r="A99" t="s">
        <v>2</v>
      </c>
      <c r="B99">
        <v>3000</v>
      </c>
    </row>
    <row r="100" spans="1:2" x14ac:dyDescent="0.25">
      <c r="A100" t="s">
        <v>2</v>
      </c>
      <c r="B100">
        <v>5000</v>
      </c>
    </row>
    <row r="101" spans="1:2" x14ac:dyDescent="0.25">
      <c r="A101" t="s">
        <v>2</v>
      </c>
      <c r="B101">
        <v>148</v>
      </c>
    </row>
    <row r="102" spans="1:2" x14ac:dyDescent="0.25">
      <c r="A102" t="s">
        <v>2</v>
      </c>
      <c r="B102">
        <v>500</v>
      </c>
    </row>
    <row r="103" spans="1:2" x14ac:dyDescent="0.25">
      <c r="A103" t="s">
        <v>2</v>
      </c>
      <c r="B103">
        <v>127</v>
      </c>
    </row>
    <row r="104" spans="1:2" x14ac:dyDescent="0.25">
      <c r="A104" t="s">
        <v>2</v>
      </c>
      <c r="B104">
        <v>859</v>
      </c>
    </row>
    <row r="105" spans="1:2" x14ac:dyDescent="0.25">
      <c r="A105" t="s">
        <v>2</v>
      </c>
      <c r="B105">
        <v>11910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DeliveredRetired</vt:lpstr>
      <vt:lpstr>AllCDRCodes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2026-06-02T12:55:26Z</dcterms:created>
  <dcterms:modified xsi:type="dcterms:W3CDTF">2026-06-02T16:46:53Z</dcterms:modified>
</cp:coreProperties>
</file>