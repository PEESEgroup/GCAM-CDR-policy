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atha\PycharmProjects\GCAM-CDR-policy\building_xml\inputs\"/>
    </mc:Choice>
  </mc:AlternateContent>
  <xr:revisionPtr revIDLastSave="0" documentId="13_ncr:1_{D725B470-7CB3-4F48-8777-63CEC138394C}" xr6:coauthVersionLast="47" xr6:coauthVersionMax="47" xr10:uidLastSave="{00000000-0000-0000-0000-000000000000}"/>
  <bookViews>
    <workbookView xWindow="-120" yWindow="-120" windowWidth="29040" windowHeight="17520" activeTab="1" xr2:uid="{48B2FD56-5343-48F4-B77F-7F263F678783}"/>
  </bookViews>
  <sheets>
    <sheet name="Baseline Parameters" sheetId="1" r:id="rId1"/>
    <sheet name="Learning Rates" sheetId="5" r:id="rId2"/>
    <sheet name="S2" sheetId="2" r:id="rId3"/>
    <sheet name="verify-2025" sheetId="3" r:id="rId4"/>
    <sheet name="Procurement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7" i="5" l="1"/>
  <c r="N34" i="5" s="1"/>
  <c r="N43" i="5" s="1"/>
  <c r="U8" i="5"/>
  <c r="V8" i="5"/>
  <c r="U12" i="5"/>
  <c r="V12" i="5"/>
  <c r="Q9" i="5"/>
  <c r="Q10" i="5"/>
  <c r="Q7" i="5"/>
  <c r="I26" i="5"/>
  <c r="Q8" i="5" s="1"/>
  <c r="J26" i="5"/>
  <c r="K26" i="5"/>
  <c r="S8" i="5" s="1"/>
  <c r="L26" i="5"/>
  <c r="T8" i="5" s="1"/>
  <c r="M26" i="5"/>
  <c r="N26" i="5"/>
  <c r="I27" i="5"/>
  <c r="J27" i="5"/>
  <c r="K27" i="5"/>
  <c r="S9" i="5" s="1"/>
  <c r="L27" i="5"/>
  <c r="T9" i="5" s="1"/>
  <c r="M27" i="5"/>
  <c r="U9" i="5" s="1"/>
  <c r="N27" i="5"/>
  <c r="V9" i="5" s="1"/>
  <c r="I28" i="5"/>
  <c r="J28" i="5"/>
  <c r="R10" i="5" s="1"/>
  <c r="K28" i="5"/>
  <c r="S10" i="5" s="1"/>
  <c r="L28" i="5"/>
  <c r="T10" i="5" s="1"/>
  <c r="M28" i="5"/>
  <c r="U10" i="5" s="1"/>
  <c r="N28" i="5"/>
  <c r="V10" i="5" s="1"/>
  <c r="I29" i="5"/>
  <c r="Q11" i="5" s="1"/>
  <c r="J29" i="5"/>
  <c r="K29" i="5"/>
  <c r="S11" i="5" s="1"/>
  <c r="K38" i="5" s="1"/>
  <c r="K47" i="5" s="1"/>
  <c r="L29" i="5"/>
  <c r="T11" i="5" s="1"/>
  <c r="M29" i="5"/>
  <c r="U11" i="5" s="1"/>
  <c r="N29" i="5"/>
  <c r="V11" i="5" s="1"/>
  <c r="I30" i="5"/>
  <c r="Q12" i="5" s="1"/>
  <c r="J30" i="5"/>
  <c r="K30" i="5"/>
  <c r="L30" i="5"/>
  <c r="T12" i="5" s="1"/>
  <c r="M30" i="5"/>
  <c r="N30" i="5"/>
  <c r="N25" i="5"/>
  <c r="M25" i="5"/>
  <c r="L25" i="5"/>
  <c r="T7" i="5" s="1"/>
  <c r="K25" i="5"/>
  <c r="J25" i="5"/>
  <c r="R7" i="5" s="1"/>
  <c r="I25" i="5"/>
  <c r="J16" i="5"/>
  <c r="K16" i="5"/>
  <c r="K17" i="5" s="1"/>
  <c r="K18" i="5" s="1"/>
  <c r="K19" i="5" s="1"/>
  <c r="K20" i="5" s="1"/>
  <c r="K21" i="5" s="1"/>
  <c r="L16" i="5"/>
  <c r="L17" i="5" s="1"/>
  <c r="L18" i="5" s="1"/>
  <c r="L19" i="5" s="1"/>
  <c r="L20" i="5" s="1"/>
  <c r="L21" i="5" s="1"/>
  <c r="M16" i="5"/>
  <c r="M17" i="5" s="1"/>
  <c r="M18" i="5" s="1"/>
  <c r="M19" i="5" s="1"/>
  <c r="M20" i="5" s="1"/>
  <c r="M21" i="5" s="1"/>
  <c r="N16" i="5"/>
  <c r="N17" i="5" s="1"/>
  <c r="N18" i="5" s="1"/>
  <c r="N19" i="5" s="1"/>
  <c r="N20" i="5" s="1"/>
  <c r="N21" i="5" s="1"/>
  <c r="I16" i="5"/>
  <c r="I17" i="5" s="1"/>
  <c r="I18" i="5" s="1"/>
  <c r="I19" i="5" s="1"/>
  <c r="I20" i="5" s="1"/>
  <c r="I21" i="5" s="1"/>
  <c r="K2" i="5"/>
  <c r="L2" i="5"/>
  <c r="M2" i="5"/>
  <c r="N2" i="5"/>
  <c r="I2" i="5"/>
  <c r="C21" i="5"/>
  <c r="D21" i="5"/>
  <c r="E21" i="5"/>
  <c r="B21" i="5"/>
  <c r="E17" i="5"/>
  <c r="E15" i="5" s="1"/>
  <c r="E20" i="5" s="1"/>
  <c r="D17" i="5"/>
  <c r="D15" i="5" s="1"/>
  <c r="D20" i="5" s="1"/>
  <c r="C17" i="5"/>
  <c r="C15" i="5" s="1"/>
  <c r="C20" i="5" s="1"/>
  <c r="B17" i="5"/>
  <c r="B15" i="5" s="1"/>
  <c r="B20" i="5" s="1"/>
  <c r="B7" i="1"/>
  <c r="I19" i="4"/>
  <c r="D19" i="4"/>
  <c r="C19" i="4"/>
  <c r="L18" i="4"/>
  <c r="I18" i="4"/>
  <c r="D18" i="4"/>
  <c r="C18" i="4"/>
  <c r="I17" i="4"/>
  <c r="D17" i="4"/>
  <c r="C17" i="4"/>
  <c r="L16" i="4"/>
  <c r="I16" i="4"/>
  <c r="D16" i="4"/>
  <c r="C16" i="4"/>
  <c r="I15" i="4"/>
  <c r="D15" i="4"/>
  <c r="C15" i="4"/>
  <c r="I14" i="4"/>
  <c r="D14" i="4"/>
  <c r="C14" i="4"/>
  <c r="C4" i="4"/>
  <c r="D4" i="4"/>
  <c r="C5" i="4"/>
  <c r="D5" i="4"/>
  <c r="C6" i="4"/>
  <c r="D6" i="4"/>
  <c r="C7" i="4"/>
  <c r="D7" i="4"/>
  <c r="C8" i="4"/>
  <c r="D8" i="4"/>
  <c r="D3" i="4"/>
  <c r="L7" i="4"/>
  <c r="L5" i="4"/>
  <c r="C3" i="4"/>
  <c r="I4" i="4"/>
  <c r="I5" i="4"/>
  <c r="I6" i="4"/>
  <c r="I7" i="4"/>
  <c r="I8" i="4"/>
  <c r="I3" i="4"/>
  <c r="B3" i="2"/>
  <c r="E11" i="2"/>
  <c r="D11" i="2"/>
  <c r="D13" i="1"/>
  <c r="D10" i="2" s="1"/>
  <c r="D3" i="2" s="1"/>
  <c r="E10" i="2"/>
  <c r="E3" i="1"/>
  <c r="E14" i="1" s="1"/>
  <c r="E13" i="1" s="1"/>
  <c r="E7" i="1"/>
  <c r="I34" i="5" l="1"/>
  <c r="I43" i="5"/>
  <c r="K37" i="5"/>
  <c r="K36" i="5"/>
  <c r="K45" i="5" s="1"/>
  <c r="D22" i="5"/>
  <c r="U7" i="5"/>
  <c r="M34" i="5" s="1"/>
  <c r="M43" i="5" s="1"/>
  <c r="S12" i="5"/>
  <c r="K39" i="5" s="1"/>
  <c r="K48" i="5" s="1"/>
  <c r="S7" i="5"/>
  <c r="K34" i="5" s="1"/>
  <c r="K43" i="5" s="1"/>
  <c r="K35" i="5"/>
  <c r="K44" i="5" s="1"/>
  <c r="M39" i="5"/>
  <c r="M48" i="5" s="1"/>
  <c r="D23" i="5"/>
  <c r="E22" i="5"/>
  <c r="E23" i="5" s="1"/>
  <c r="C22" i="5"/>
  <c r="C23" i="5" s="1"/>
  <c r="K46" i="5"/>
  <c r="N39" i="5"/>
  <c r="N48" i="5" s="1"/>
  <c r="L39" i="5"/>
  <c r="L48" i="5" s="1"/>
  <c r="B22" i="5"/>
  <c r="B23" i="5" s="1"/>
  <c r="J34" i="5"/>
  <c r="J43" i="5" s="1"/>
  <c r="R9" i="5"/>
  <c r="R12" i="5"/>
  <c r="J2" i="5"/>
  <c r="R8" i="5"/>
  <c r="R11" i="5"/>
  <c r="N38" i="5"/>
  <c r="N47" i="5" s="1"/>
  <c r="N37" i="5"/>
  <c r="N46" i="5" s="1"/>
  <c r="N35" i="5"/>
  <c r="N44" i="5" s="1"/>
  <c r="N36" i="5"/>
  <c r="N45" i="5" s="1"/>
  <c r="M38" i="5"/>
  <c r="M47" i="5" s="1"/>
  <c r="M37" i="5"/>
  <c r="M46" i="5" s="1"/>
  <c r="M35" i="5"/>
  <c r="M44" i="5" s="1"/>
  <c r="M36" i="5"/>
  <c r="M45" i="5" s="1"/>
  <c r="L36" i="5"/>
  <c r="L45" i="5" s="1"/>
  <c r="L34" i="5"/>
  <c r="L43" i="5" s="1"/>
  <c r="L37" i="5"/>
  <c r="L46" i="5" s="1"/>
  <c r="L38" i="5"/>
  <c r="L47" i="5" s="1"/>
  <c r="L35" i="5"/>
  <c r="L44" i="5" s="1"/>
  <c r="J17" i="5"/>
  <c r="I37" i="5"/>
  <c r="I46" i="5" s="1"/>
  <c r="I36" i="5"/>
  <c r="I45" i="5" s="1"/>
  <c r="I39" i="5"/>
  <c r="I48" i="5" s="1"/>
  <c r="I38" i="5"/>
  <c r="I47" i="5" s="1"/>
  <c r="I35" i="5"/>
  <c r="I44" i="5" s="1"/>
  <c r="D2" i="2"/>
  <c r="D6" i="2"/>
  <c r="D5" i="2"/>
  <c r="D4" i="2"/>
  <c r="D7" i="2"/>
  <c r="E2" i="1"/>
  <c r="E4" i="1"/>
  <c r="E5" i="1"/>
  <c r="E6" i="1"/>
  <c r="J18" i="5" l="1"/>
  <c r="J19" i="5" s="1"/>
  <c r="J20" i="5" s="1"/>
  <c r="J21" i="5" s="1"/>
  <c r="J39" i="5" s="1"/>
  <c r="J48" i="5" s="1"/>
  <c r="J35" i="5"/>
  <c r="J44" i="5" s="1"/>
  <c r="L14" i="3"/>
  <c r="K14" i="3"/>
  <c r="J14" i="3"/>
  <c r="I14" i="3"/>
  <c r="F14" i="3"/>
  <c r="F13" i="3" s="1"/>
  <c r="E14" i="3"/>
  <c r="D14" i="3"/>
  <c r="C14" i="3"/>
  <c r="B14" i="3"/>
  <c r="L13" i="3"/>
  <c r="L6" i="3" s="1"/>
  <c r="K13" i="3"/>
  <c r="K6" i="3" s="1"/>
  <c r="J13" i="3"/>
  <c r="J6" i="3" s="1"/>
  <c r="I13" i="3"/>
  <c r="I6" i="3" s="1"/>
  <c r="E13" i="3"/>
  <c r="E6" i="3" s="1"/>
  <c r="D13" i="3"/>
  <c r="D2" i="3" s="1"/>
  <c r="C13" i="3"/>
  <c r="C5" i="3" s="1"/>
  <c r="B13" i="3"/>
  <c r="B5" i="3" s="1"/>
  <c r="C7" i="3"/>
  <c r="B7" i="3"/>
  <c r="L5" i="3"/>
  <c r="K5" i="3"/>
  <c r="J5" i="3"/>
  <c r="I5" i="3"/>
  <c r="E5" i="3"/>
  <c r="D5" i="3"/>
  <c r="L3" i="3"/>
  <c r="K3" i="3"/>
  <c r="J3" i="3"/>
  <c r="I3" i="3"/>
  <c r="G3" i="3"/>
  <c r="E3" i="3"/>
  <c r="C3" i="3"/>
  <c r="B3" i="3"/>
  <c r="G2" i="3"/>
  <c r="M14" i="1"/>
  <c r="M13" i="1" s="1"/>
  <c r="M5" i="1" s="1"/>
  <c r="C10" i="2"/>
  <c r="C5" i="2" s="1"/>
  <c r="F10" i="2"/>
  <c r="G10" i="2"/>
  <c r="C11" i="2"/>
  <c r="F11" i="2"/>
  <c r="F5" i="2" s="1"/>
  <c r="G11" i="2"/>
  <c r="G4" i="2" s="1"/>
  <c r="K14" i="1"/>
  <c r="K13" i="1" s="1"/>
  <c r="L14" i="1"/>
  <c r="L13" i="1" s="1"/>
  <c r="J14" i="1"/>
  <c r="J13" i="1" s="1"/>
  <c r="J3" i="1" s="1"/>
  <c r="D14" i="1"/>
  <c r="D2" i="1" s="1"/>
  <c r="H3" i="1"/>
  <c r="G14" i="1"/>
  <c r="G13" i="1" s="1"/>
  <c r="F14" i="1"/>
  <c r="F13" i="1" s="1"/>
  <c r="H2" i="1"/>
  <c r="C7" i="1"/>
  <c r="C14" i="1" s="1"/>
  <c r="C13" i="1" s="1"/>
  <c r="B14" i="1"/>
  <c r="B13" i="1" s="1"/>
  <c r="B4" i="1" s="1"/>
  <c r="J38" i="5" l="1"/>
  <c r="J47" i="5" s="1"/>
  <c r="J36" i="5"/>
  <c r="J45" i="5" s="1"/>
  <c r="J37" i="5"/>
  <c r="J46" i="5" s="1"/>
  <c r="G5" i="2"/>
  <c r="F7" i="2"/>
  <c r="C3" i="2"/>
  <c r="C2" i="2"/>
  <c r="F4" i="2"/>
  <c r="C4" i="2"/>
  <c r="G2" i="2"/>
  <c r="G7" i="2"/>
  <c r="G6" i="2"/>
  <c r="M4" i="1"/>
  <c r="F2" i="2"/>
  <c r="F6" i="2"/>
  <c r="M3" i="1"/>
  <c r="C7" i="2"/>
  <c r="B10" i="2"/>
  <c r="C6" i="2"/>
  <c r="G3" i="2"/>
  <c r="F3" i="2"/>
  <c r="M6" i="1"/>
  <c r="B11" i="2"/>
  <c r="F6" i="3"/>
  <c r="G6" i="3" s="1"/>
  <c r="F5" i="3"/>
  <c r="G5" i="3" s="1"/>
  <c r="F7" i="3"/>
  <c r="G7" i="3" s="1"/>
  <c r="B4" i="3"/>
  <c r="B6" i="3"/>
  <c r="C4" i="3"/>
  <c r="C6" i="3"/>
  <c r="D4" i="3"/>
  <c r="D6" i="3"/>
  <c r="E4" i="3"/>
  <c r="F4" i="3"/>
  <c r="G4" i="3" s="1"/>
  <c r="I4" i="3"/>
  <c r="J4" i="3"/>
  <c r="K4" i="3"/>
  <c r="L4" i="3"/>
  <c r="G7" i="1"/>
  <c r="H7" i="1" s="1"/>
  <c r="G6" i="1"/>
  <c r="H6" i="1" s="1"/>
  <c r="G5" i="1"/>
  <c r="H5" i="1" s="1"/>
  <c r="G4" i="1"/>
  <c r="H4" i="1" s="1"/>
  <c r="J4" i="1"/>
  <c r="L3" i="1"/>
  <c r="L4" i="1"/>
  <c r="L5" i="1"/>
  <c r="L6" i="1"/>
  <c r="K3" i="1"/>
  <c r="K6" i="1"/>
  <c r="K4" i="1"/>
  <c r="K5" i="1"/>
  <c r="J6" i="1"/>
  <c r="J5" i="1"/>
  <c r="F3" i="1"/>
  <c r="F4" i="1"/>
  <c r="F6" i="1"/>
  <c r="F5" i="1"/>
  <c r="C3" i="1"/>
  <c r="C5" i="1"/>
  <c r="C6" i="1"/>
  <c r="C4" i="1"/>
  <c r="B3" i="1"/>
  <c r="B5" i="1"/>
  <c r="B6" i="1"/>
  <c r="D4" i="1"/>
  <c r="D5" i="1"/>
  <c r="D6" i="1"/>
  <c r="E4" i="2" l="1"/>
  <c r="B4" i="2"/>
  <c r="B6" i="2"/>
  <c r="B7" i="2"/>
  <c r="B2" i="2"/>
  <c r="B5" i="2"/>
  <c r="E2" i="2"/>
  <c r="E7" i="2"/>
  <c r="E6" i="2"/>
  <c r="E3" i="2"/>
  <c r="E5" i="2"/>
</calcChain>
</file>

<file path=xl/sharedStrings.xml><?xml version="1.0" encoding="utf-8"?>
<sst xmlns="http://schemas.openxmlformats.org/spreadsheetml/2006/main" count="304" uniqueCount="95">
  <si>
    <t>Tech</t>
  </si>
  <si>
    <t>Page</t>
  </si>
  <si>
    <t>TEW</t>
  </si>
  <si>
    <t>OEW</t>
  </si>
  <si>
    <t>Rhodium 2024</t>
  </si>
  <si>
    <t>Source</t>
  </si>
  <si>
    <t>R2R</t>
  </si>
  <si>
    <t>Units</t>
  </si>
  <si>
    <t>DAC (solvent)</t>
  </si>
  <si>
    <t>DAC (sorbent)</t>
  </si>
  <si>
    <t>Ultimate reduction in cost</t>
  </si>
  <si>
    <t>Years</t>
  </si>
  <si>
    <t>7-11</t>
  </si>
  <si>
    <t>A</t>
  </si>
  <si>
    <t>B</t>
  </si>
  <si>
    <t>Notes</t>
  </si>
  <si>
    <t>Less heat and electric</t>
  </si>
  <si>
    <t>CDR Price Survey White Paper-Email.pdf</t>
  </si>
  <si>
    <t>https://www.nature.com/articles/s41586-024-08429-2.pdf</t>
  </si>
  <si>
    <t>Illinois 2030 and 2050</t>
  </si>
  <si>
    <t>https://iopscience.iop.org/article/10.1088/1748-9326/ad5192/pdf</t>
  </si>
  <si>
    <t>Fixed costs (low-carbon scenario</t>
  </si>
  <si>
    <t>Nothing</t>
  </si>
  <si>
    <t>Low</t>
  </si>
  <si>
    <t>High</t>
  </si>
  <si>
    <t>N/A</t>
  </si>
  <si>
    <t>2025$/t CO2-eq</t>
  </si>
  <si>
    <t>1975 USD/t C</t>
  </si>
  <si>
    <t>BECCS</t>
  </si>
  <si>
    <t>Mt CO2-eq</t>
  </si>
  <si>
    <t>2025 source</t>
  </si>
  <si>
    <t>R&amp;D Impact</t>
  </si>
  <si>
    <t>Pilot &amp; Demonstrations Impact</t>
  </si>
  <si>
    <t>Reduction in costs</t>
  </si>
  <si>
    <t>Hubs</t>
  </si>
  <si>
    <t>Number of years of acceleration for cost decreases</t>
  </si>
  <si>
    <t>Very High</t>
  </si>
  <si>
    <t>Illinois 2030 and 2050 from Figure 5c less costs (TEW worksheet)</t>
  </si>
  <si>
    <t>TEW (Nature Paper)</t>
  </si>
  <si>
    <t>TEW (Ours) - less input costs</t>
  </si>
  <si>
    <t>Year</t>
  </si>
  <si>
    <t>Scaling</t>
  </si>
  <si>
    <t>3B</t>
  </si>
  <si>
    <t>https://www.congress.gov/bill/118th-congress/senate-bill/3615/text</t>
  </si>
  <si>
    <t>CDR (Mt)</t>
  </si>
  <si>
    <t>Rhodium</t>
  </si>
  <si>
    <t>CDR (USD)</t>
  </si>
  <si>
    <t>LOW</t>
  </si>
  <si>
    <t>3B (Million USD)</t>
  </si>
  <si>
    <t>Rhodium (2024)</t>
  </si>
  <si>
    <t>EFI (2022)</t>
  </si>
  <si>
    <t>Rhodium (Million)</t>
  </si>
  <si>
    <t>Low baseline scenario</t>
  </si>
  <si>
    <t>Avg. Price CDR (Low scenario)</t>
  </si>
  <si>
    <t>HIGH</t>
  </si>
  <si>
    <t>Learning by research rates</t>
  </si>
  <si>
    <t>Comp</t>
  </si>
  <si>
    <t>Offshore wind</t>
  </si>
  <si>
    <t>thermal solar</t>
  </si>
  <si>
    <t>wind power</t>
  </si>
  <si>
    <t>waste to electricity</t>
  </si>
  <si>
    <t>https://journals.sagepub.com/doi/pdf/10.5547/ISSN0195-6574-EJ-Vol28-No3-4</t>
  </si>
  <si>
    <t>Learning by research (table 4 and 5)</t>
  </si>
  <si>
    <t>R&amp;D to early market formation</t>
  </si>
  <si>
    <t>Early market formation to full commercialization</t>
  </si>
  <si>
    <t>Table 2</t>
  </si>
  <si>
    <t>10-44%</t>
  </si>
  <si>
    <t>Wind</t>
  </si>
  <si>
    <t>3-14%</t>
  </si>
  <si>
    <t>Impacts of innovation on renewable energy technology cost reductions</t>
  </si>
  <si>
    <t>4-5%</t>
  </si>
  <si>
    <t>Solar</t>
  </si>
  <si>
    <t>Table 3</t>
  </si>
  <si>
    <t>c</t>
  </si>
  <si>
    <t>elasticity</t>
  </si>
  <si>
    <t>Elasticity</t>
  </si>
  <si>
    <t>Public R&amp;D</t>
  </si>
  <si>
    <t>alpha</t>
  </si>
  <si>
    <t>After 100 $ 100 mil in investment</t>
  </si>
  <si>
    <t>Learning Rate Verification</t>
  </si>
  <si>
    <t>All CDR</t>
  </si>
  <si>
    <t>DAC Sorbent</t>
  </si>
  <si>
    <t>DAC Solvent</t>
  </si>
  <si>
    <t>This Study</t>
  </si>
  <si>
    <t>Learning Rate</t>
  </si>
  <si>
    <t>Cumulative Public R&amp;D</t>
  </si>
  <si>
    <t>Learning Elasticity</t>
  </si>
  <si>
    <t>Alpha</t>
  </si>
  <si>
    <t>Data</t>
  </si>
  <si>
    <t>Testing Equations</t>
  </si>
  <si>
    <t>Additional R&amp;D Spending (2025 Million USD)</t>
  </si>
  <si>
    <t>Cumulative R&amp;D Spending (2025 Million USD)</t>
  </si>
  <si>
    <t>Baseline Costs (2025USD/t CDR)</t>
  </si>
  <si>
    <t>Updated Costs (2025USD/t CDR)</t>
  </si>
  <si>
    <t>Cost Savings (2025USD/t CDR)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</si>
</sst>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0.0%"/>
  </numFmts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2" fillId="0" borderId="0" applyNumberFormat="0" applyFill="0" applyBorder="0" applyAlignment="0" applyProtection="0"/>
    <xf numFmtId="44" fontId="4" fillId="0" borderId="0" applyFont="0" applyFill="0" applyBorder="0" applyAlignment="0" applyProtection="0"/>
    <xf numFmtId="9" fontId="4" fillId="0" borderId="0" applyFont="0" applyFill="0" applyBorder="0" applyAlignment="0" applyProtection="0"/>
  </cellStyleXfs>
  <cellXfs count="19">
    <xf numFmtId="0" fontId="0" fillId="0" borderId="0" xfId="0"/>
    <xf numFmtId="9" fontId="0" fillId="0" borderId="0" xfId="0" applyNumberFormat="1"/>
    <xf numFmtId="49" fontId="0" fillId="0" borderId="0" xfId="0" applyNumberFormat="1"/>
    <xf numFmtId="0" fontId="2" fillId="0" borderId="0" xfId="1"/>
    <xf numFmtId="0" fontId="1" fillId="0" borderId="0" xfId="0" applyFont="1"/>
    <xf numFmtId="2" fontId="0" fillId="0" borderId="0" xfId="0" applyNumberFormat="1"/>
    <xf numFmtId="164" fontId="0" fillId="0" borderId="0" xfId="0" applyNumberFormat="1"/>
    <xf numFmtId="10" fontId="0" fillId="0" borderId="0" xfId="0" applyNumberFormat="1"/>
    <xf numFmtId="0" fontId="5" fillId="0" borderId="0" xfId="0" applyFont="1"/>
    <xf numFmtId="0" fontId="0" fillId="2" borderId="0" xfId="0" applyFill="1"/>
    <xf numFmtId="9" fontId="0" fillId="0" borderId="0" xfId="3" applyFont="1"/>
    <xf numFmtId="0" fontId="5" fillId="0" borderId="0" xfId="0" applyFont="1" applyAlignment="1">
      <alignment horizontal="center"/>
    </xf>
    <xf numFmtId="44" fontId="0" fillId="0" borderId="0" xfId="2" applyFont="1"/>
    <xf numFmtId="44" fontId="5" fillId="0" borderId="0" xfId="2" applyFont="1" applyAlignment="1">
      <alignment horizontal="center"/>
    </xf>
    <xf numFmtId="1" fontId="6" fillId="0" borderId="0" xfId="0" applyNumberFormat="1" applyFont="1"/>
    <xf numFmtId="1" fontId="1" fillId="0" borderId="0" xfId="0" applyNumberFormat="1" applyFont="1"/>
    <xf numFmtId="1" fontId="0" fillId="0" borderId="0" xfId="0" applyNumberFormat="1"/>
    <xf numFmtId="1" fontId="0" fillId="2" borderId="0" xfId="0" applyNumberFormat="1" applyFont="1" applyFill="1"/>
    <xf numFmtId="1" fontId="0" fillId="0" borderId="0" xfId="2" applyNumberFormat="1" applyFont="1"/>
  </cellXfs>
  <cellStyles count="4">
    <cellStyle name="Currency" xfId="2" builtinId="4"/>
    <cellStyle name="Hyperlink" xfId="1" builtinId="8"/>
    <cellStyle name="Normal" xfId="0" builtinId="0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Non-input</a:t>
            </a:r>
            <a:r>
              <a:rPr lang="en-US" baseline="0"/>
              <a:t> cost of CDR Techs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'Baseline Parameters'!$B$1</c:f>
              <c:strCache>
                <c:ptCount val="1"/>
                <c:pt idx="0">
                  <c:v>DAC (sorbent)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'Baseline Parameters'!$A$2:$A$7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'Baseline Parameters'!$B$2:$B$7</c:f>
              <c:numCache>
                <c:formatCode>General</c:formatCode>
                <c:ptCount val="6"/>
                <c:pt idx="0">
                  <c:v>446</c:v>
                </c:pt>
                <c:pt idx="1">
                  <c:v>380.16957864810638</c:v>
                </c:pt>
                <c:pt idx="2">
                  <c:v>324.05584872080431</c:v>
                </c:pt>
                <c:pt idx="3">
                  <c:v>276.22460866960239</c:v>
                </c:pt>
                <c:pt idx="4">
                  <c:v>235.45334773578654</c:v>
                </c:pt>
                <c:pt idx="5">
                  <c:v>200.70000000000002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0A1-44F1-8D61-F40F66E0A654}"/>
            </c:ext>
          </c:extLst>
        </c:ser>
        <c:ser>
          <c:idx val="1"/>
          <c:order val="1"/>
          <c:tx>
            <c:strRef>
              <c:f>'Baseline Parameters'!$C$1</c:f>
              <c:strCache>
                <c:ptCount val="1"/>
                <c:pt idx="0">
                  <c:v>DAC (solvent)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'Baseline Parameters'!$A$2:$A$7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'Baseline Parameters'!$C$2:$C$7</c:f>
              <c:numCache>
                <c:formatCode>General</c:formatCode>
                <c:ptCount val="6"/>
                <c:pt idx="0">
                  <c:v>209</c:v>
                </c:pt>
                <c:pt idx="1">
                  <c:v>178.15121510639958</c:v>
                </c:pt>
                <c:pt idx="2">
                  <c:v>151.85576767409884</c:v>
                </c:pt>
                <c:pt idx="3">
                  <c:v>129.4415767084011</c:v>
                </c:pt>
                <c:pt idx="4">
                  <c:v>110.33576160712865</c:v>
                </c:pt>
                <c:pt idx="5">
                  <c:v>94.05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0A1-44F1-8D61-F40F66E0A654}"/>
            </c:ext>
          </c:extLst>
        </c:ser>
        <c:ser>
          <c:idx val="2"/>
          <c:order val="2"/>
          <c:tx>
            <c:strRef>
              <c:f>'Baseline Parameters'!$D$1</c:f>
              <c:strCache>
                <c:ptCount val="1"/>
                <c:pt idx="0">
                  <c:v>TEW (Nature Paper)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'Baseline Parameters'!$A$2:$A$7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'Baseline Parameters'!$D$2:$D$7</c:f>
              <c:numCache>
                <c:formatCode>General</c:formatCode>
                <c:ptCount val="6"/>
                <c:pt idx="0">
                  <c:v>316.03815554156989</c:v>
                </c:pt>
                <c:pt idx="1">
                  <c:v>265</c:v>
                </c:pt>
                <c:pt idx="2">
                  <c:v>222.20418252872307</c:v>
                </c:pt>
                <c:pt idx="3">
                  <c:v>186.3196178613513</c:v>
                </c:pt>
                <c:pt idx="4">
                  <c:v>156.23018255073828</c:v>
                </c:pt>
                <c:pt idx="5">
                  <c:v>131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0A1-44F1-8D61-F40F66E0A654}"/>
            </c:ext>
          </c:extLst>
        </c:ser>
        <c:ser>
          <c:idx val="3"/>
          <c:order val="3"/>
          <c:tx>
            <c:strRef>
              <c:f>'Baseline Parameters'!$F$1</c:f>
              <c:strCache>
                <c:ptCount val="1"/>
                <c:pt idx="0">
                  <c:v>OEW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'Baseline Parameters'!$A$2:$A$7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'Baseline Parameters'!$F$2:$F$7</c:f>
              <c:numCache>
                <c:formatCode>General</c:formatCode>
                <c:ptCount val="6"/>
                <c:pt idx="0">
                  <c:v>140</c:v>
                </c:pt>
                <c:pt idx="1">
                  <c:v>126.10085958575935</c:v>
                </c:pt>
                <c:pt idx="2">
                  <c:v>113.58161991619573</c:v>
                </c:pt>
                <c:pt idx="3">
                  <c:v>102.30528503268064</c:v>
                </c:pt>
                <c:pt idx="4">
                  <c:v>92.14845987705111</c:v>
                </c:pt>
                <c:pt idx="5">
                  <c:v>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0A1-44F1-8D61-F40F66E0A654}"/>
            </c:ext>
          </c:extLst>
        </c:ser>
        <c:ser>
          <c:idx val="4"/>
          <c:order val="4"/>
          <c:tx>
            <c:strRef>
              <c:f>'Baseline Parameters'!$G$1</c:f>
              <c:strCache>
                <c:ptCount val="1"/>
                <c:pt idx="0">
                  <c:v>BECCS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'Baseline Parameters'!$A$2:$A$7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'Baseline Parameters'!$G$2:$G$7</c:f>
              <c:numCache>
                <c:formatCode>General</c:formatCode>
                <c:ptCount val="6"/>
                <c:pt idx="0">
                  <c:v>232</c:v>
                </c:pt>
                <c:pt idx="1">
                  <c:v>212</c:v>
                </c:pt>
                <c:pt idx="2">
                  <c:v>193.72413793103445</c:v>
                </c:pt>
                <c:pt idx="3">
                  <c:v>177.02378121284181</c:v>
                </c:pt>
                <c:pt idx="4">
                  <c:v>161.7631104186313</c:v>
                </c:pt>
                <c:pt idx="5">
                  <c:v>147.8180146928872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0A1-44F1-8D61-F40F66E0A6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7297296"/>
        <c:axId val="37295376"/>
      </c:lineChart>
      <c:catAx>
        <c:axId val="372972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295376"/>
        <c:crosses val="autoZero"/>
        <c:auto val="1"/>
        <c:lblAlgn val="ctr"/>
        <c:lblOffset val="100"/>
        <c:noMultiLvlLbl val="0"/>
      </c:catAx>
      <c:valAx>
        <c:axId val="37295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2025USD/t CO2-eq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297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Non-input cost under innovation policy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'S2'!$B$1</c:f>
              <c:strCache>
                <c:ptCount val="1"/>
                <c:pt idx="0">
                  <c:v>DAC (sorbent)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'S2'!$A$2:$A$7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'S2'!$B$2:$B$7</c:f>
              <c:numCache>
                <c:formatCode>General</c:formatCode>
                <c:ptCount val="6"/>
                <c:pt idx="0">
                  <c:v>446.00000000000006</c:v>
                </c:pt>
                <c:pt idx="1">
                  <c:v>323.85932014785305</c:v>
                </c:pt>
                <c:pt idx="2">
                  <c:v>231.91484742105459</c:v>
                </c:pt>
                <c:pt idx="3">
                  <c:v>186.57431874175384</c:v>
                </c:pt>
                <c:pt idx="4">
                  <c:v>159.03560570091938</c:v>
                </c:pt>
                <c:pt idx="5">
                  <c:v>135.56165742010066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4B6-4FC6-913E-28DF2E67F4D4}"/>
            </c:ext>
          </c:extLst>
        </c:ser>
        <c:ser>
          <c:idx val="2"/>
          <c:order val="2"/>
          <c:tx>
            <c:strRef>
              <c:f>'S2'!$C$1</c:f>
              <c:strCache>
                <c:ptCount val="1"/>
                <c:pt idx="0">
                  <c:v>DAC (solvent)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'S2'!$A$2:$A$7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'S2'!$C$2:$C$7</c:f>
              <c:numCache>
                <c:formatCode>General</c:formatCode>
                <c:ptCount val="6"/>
                <c:pt idx="0">
                  <c:v>208.99999999999997</c:v>
                </c:pt>
                <c:pt idx="1">
                  <c:v>151.76367244596696</c:v>
                </c:pt>
                <c:pt idx="2">
                  <c:v>108.67758545067353</c:v>
                </c:pt>
                <c:pt idx="3">
                  <c:v>87.43056640588911</c:v>
                </c:pt>
                <c:pt idx="4">
                  <c:v>74.52565379258327</c:v>
                </c:pt>
                <c:pt idx="5">
                  <c:v>63.525530046639084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4B6-4FC6-913E-28DF2E67F4D4}"/>
            </c:ext>
          </c:extLst>
        </c:ser>
        <c:ser>
          <c:idx val="3"/>
          <c:order val="3"/>
          <c:tx>
            <c:strRef>
              <c:f>'S2'!$D$1</c:f>
              <c:strCache>
                <c:ptCount val="1"/>
                <c:pt idx="0">
                  <c:v>TEW (Nature Paper)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'S2'!$A$2:$A$7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'S2'!$D$2:$D$7</c:f>
              <c:numCache>
                <c:formatCode>General</c:formatCode>
                <c:ptCount val="6"/>
                <c:pt idx="0">
                  <c:v>316.03815554156989</c:v>
                </c:pt>
                <c:pt idx="1">
                  <c:v>230.55794999999995</c:v>
                </c:pt>
                <c:pt idx="2">
                  <c:v>165.92430717784811</c:v>
                </c:pt>
                <c:pt idx="3">
                  <c:v>134.15012486017295</c:v>
                </c:pt>
                <c:pt idx="4">
                  <c:v>112.48573143653158</c:v>
                </c:pt>
                <c:pt idx="5">
                  <c:v>94.319999999999965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4B6-4FC6-913E-28DF2E67F4D4}"/>
            </c:ext>
          </c:extLst>
        </c:ser>
        <c:ser>
          <c:idx val="4"/>
          <c:order val="4"/>
          <c:tx>
            <c:strRef>
              <c:f>'S2'!$E$1</c:f>
              <c:strCache>
                <c:ptCount val="1"/>
                <c:pt idx="0">
                  <c:v>TEW (Ours) - less input costs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'S2'!$A$2:$A$7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'S2'!$E$2:$E$7</c:f>
              <c:numCache>
                <c:formatCode>General</c:formatCode>
                <c:ptCount val="6"/>
                <c:pt idx="0">
                  <c:v>269.98072031209182</c:v>
                </c:pt>
                <c:pt idx="1">
                  <c:v>180.92669318181808</c:v>
                </c:pt>
                <c:pt idx="2">
                  <c:v>119.608451259473</c:v>
                </c:pt>
                <c:pt idx="3">
                  <c:v>88.832573878156737</c:v>
                </c:pt>
                <c:pt idx="4">
                  <c:v>68.423913755896564</c:v>
                </c:pt>
                <c:pt idx="5">
                  <c:v>52.703999999999972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4B6-4FC6-913E-28DF2E67F4D4}"/>
            </c:ext>
          </c:extLst>
        </c:ser>
        <c:ser>
          <c:idx val="5"/>
          <c:order val="5"/>
          <c:tx>
            <c:strRef>
              <c:f>'S2'!$F$1</c:f>
              <c:strCache>
                <c:ptCount val="1"/>
                <c:pt idx="0">
                  <c:v>OEW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'S2'!$A$2:$A$7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'S2'!$F$2:$F$7</c:f>
              <c:numCache>
                <c:formatCode>General</c:formatCode>
                <c:ptCount val="6"/>
                <c:pt idx="0">
                  <c:v>139.99999999999994</c:v>
                </c:pt>
                <c:pt idx="1">
                  <c:v>109.7115308653982</c:v>
                </c:pt>
                <c:pt idx="2">
                  <c:v>84.813667223821682</c:v>
                </c:pt>
                <c:pt idx="3">
                  <c:v>73.659805223530071</c:v>
                </c:pt>
                <c:pt idx="4">
                  <c:v>66.346891111476808</c:v>
                </c:pt>
                <c:pt idx="5">
                  <c:v>59.760000000000026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88B-4E2A-921E-865D173543CD}"/>
            </c:ext>
          </c:extLst>
        </c:ser>
        <c:ser>
          <c:idx val="6"/>
          <c:order val="6"/>
          <c:tx>
            <c:strRef>
              <c:f>'S2'!$G$1</c:f>
              <c:strCache>
                <c:ptCount val="1"/>
                <c:pt idx="0">
                  <c:v>BECCS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'S2'!$A$2:$A$7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'S2'!$G$2:$G$7</c:f>
              <c:numCache>
                <c:formatCode>General</c:formatCode>
                <c:ptCount val="6"/>
                <c:pt idx="0">
                  <c:v>231.99999999999997</c:v>
                </c:pt>
                <c:pt idx="1">
                  <c:v>184.44635999999997</c:v>
                </c:pt>
                <c:pt idx="2">
                  <c:v>144.65768827586206</c:v>
                </c:pt>
                <c:pt idx="3">
                  <c:v>127.45712247324612</c:v>
                </c:pt>
                <c:pt idx="4">
                  <c:v>116.46943950141454</c:v>
                </c:pt>
                <c:pt idx="5">
                  <c:v>106.42897057887879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88B-4E2A-921E-865D173543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62440576"/>
        <c:axId val="26244153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'S2'!$A$1</c15:sqref>
                        </c15:formulaRef>
                      </c:ext>
                    </c:extLst>
                    <c:strCache>
                      <c:ptCount val="1"/>
                      <c:pt idx="0">
                        <c:v>Tech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'S2'!$A$2:$A$7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2025</c:v>
                      </c:pt>
                      <c:pt idx="1">
                        <c:v>2030</c:v>
                      </c:pt>
                      <c:pt idx="2">
                        <c:v>2035</c:v>
                      </c:pt>
                      <c:pt idx="3">
                        <c:v>2040</c:v>
                      </c:pt>
                      <c:pt idx="4">
                        <c:v>2045</c:v>
                      </c:pt>
                      <c:pt idx="5">
                        <c:v>2050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'S2'!$A$2:$A$7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2025</c:v>
                      </c:pt>
                      <c:pt idx="1">
                        <c:v>2030</c:v>
                      </c:pt>
                      <c:pt idx="2">
                        <c:v>2035</c:v>
                      </c:pt>
                      <c:pt idx="3">
                        <c:v>2040</c:v>
                      </c:pt>
                      <c:pt idx="4">
                        <c:v>2045</c:v>
                      </c:pt>
                      <c:pt idx="5">
                        <c:v>2050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F4B6-4FC6-913E-28DF2E67F4D4}"/>
                  </c:ext>
                </c:extLst>
              </c15:ser>
            </c15:filteredLineSeries>
          </c:ext>
        </c:extLst>
      </c:lineChart>
      <c:catAx>
        <c:axId val="2624405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2441536"/>
        <c:crosses val="autoZero"/>
        <c:auto val="1"/>
        <c:lblAlgn val="ctr"/>
        <c:lblOffset val="100"/>
        <c:noMultiLvlLbl val="0"/>
      </c:catAx>
      <c:valAx>
        <c:axId val="262441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2025USD/t CO2-eq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24405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25</xdr:col>
      <xdr:colOff>0</xdr:colOff>
      <xdr:row>16</xdr:row>
      <xdr:rowOff>0</xdr:rowOff>
    </xdr:from>
    <xdr:to>
      <xdr:col>26</xdr:col>
      <xdr:colOff>485775</xdr:colOff>
      <xdr:row>17</xdr:row>
      <xdr:rowOff>0</xdr:rowOff>
    </xdr:to>
    <xdr:sp macro="" textlink="">
      <xdr:nvSpPr>
        <xdr:cNvPr id="1025" name="AutoShape 1" descr=" lny=lnA+Bx. ">
          <a:extLst>
            <a:ext uri="{FF2B5EF4-FFF2-40B4-BE49-F238E27FC236}">
              <a16:creationId xmlns:a16="http://schemas.microsoft.com/office/drawing/2014/main" id="{ADAE541F-E527-ECF2-7BB2-0FE193C30675}"/>
            </a:ext>
          </a:extLst>
        </xdr:cNvPr>
        <xdr:cNvSpPr>
          <a:spLocks noChangeAspect="1" noChangeArrowheads="1"/>
        </xdr:cNvSpPr>
      </xdr:nvSpPr>
      <xdr:spPr bwMode="auto">
        <a:xfrm>
          <a:off x="6096000" y="1524000"/>
          <a:ext cx="1095375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13</xdr:col>
      <xdr:colOff>542925</xdr:colOff>
      <xdr:row>5</xdr:row>
      <xdr:rowOff>128587</xdr:rowOff>
    </xdr:from>
    <xdr:to>
      <xdr:col>21</xdr:col>
      <xdr:colOff>238125</xdr:colOff>
      <xdr:row>20</xdr:row>
      <xdr:rowOff>14287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E6D51A6-9F1D-8C8F-5671-E52AAFB0EE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195262</xdr:colOff>
      <xdr:row>1</xdr:row>
      <xdr:rowOff>176212</xdr:rowOff>
    </xdr:from>
    <xdr:to>
      <xdr:col>17</xdr:col>
      <xdr:colOff>500062</xdr:colOff>
      <xdr:row>16</xdr:row>
      <xdr:rowOff>61912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4DD57AB-41EA-418C-5A28-26CB53F420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nature.com/articles/s41586-024-08429-2.pdf" TargetMode="External"/><Relationship Id="rId2" Type="http://schemas.openxmlformats.org/officeDocument/2006/relationships/hyperlink" Target="https://www.nature.com/articles/s41586-024-08429-2.pdf" TargetMode="External"/><Relationship Id="rId1" Type="http://schemas.openxmlformats.org/officeDocument/2006/relationships/hyperlink" Target="https://info.opisnet.com/hubfs/CDR%20Price%20Survey%20White%20Paper-Email.pdf" TargetMode="External"/><Relationship Id="rId5" Type="http://schemas.openxmlformats.org/officeDocument/2006/relationships/drawing" Target="../drawings/drawing1.xml"/><Relationship Id="rId4" Type="http://schemas.openxmlformats.org/officeDocument/2006/relationships/hyperlink" Target="https://iopscience.iop.org/article/10.1088/1748-9326/ad5192/pdf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journals.sagepub.com/doi/pdf/10.5547/ISSN0195-6574-EJ-Vol28-No3-4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s://info.opisnet.com/hubfs/CDR%20Price%20Survey%20White%20Paper-Email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C07AE-8A39-4CED-9C15-8283B0F8343C}">
  <dimension ref="A1:AA24"/>
  <sheetViews>
    <sheetView workbookViewId="0">
      <selection activeCell="G2" sqref="G2"/>
    </sheetView>
  </sheetViews>
  <sheetFormatPr defaultRowHeight="15" x14ac:dyDescent="0.25"/>
  <cols>
    <col min="2" max="2" width="11" bestFit="1" customWidth="1"/>
  </cols>
  <sheetData>
    <row r="1" spans="1:13" x14ac:dyDescent="0.25">
      <c r="A1" t="s">
        <v>0</v>
      </c>
      <c r="B1" t="s">
        <v>9</v>
      </c>
      <c r="C1" t="s">
        <v>8</v>
      </c>
      <c r="D1" t="s">
        <v>38</v>
      </c>
      <c r="E1" t="s">
        <v>39</v>
      </c>
      <c r="F1" t="s">
        <v>3</v>
      </c>
      <c r="G1" t="s">
        <v>28</v>
      </c>
      <c r="H1" t="s">
        <v>28</v>
      </c>
      <c r="J1" t="s">
        <v>22</v>
      </c>
      <c r="K1" t="s">
        <v>23</v>
      </c>
      <c r="L1" t="s">
        <v>24</v>
      </c>
      <c r="M1" t="s">
        <v>36</v>
      </c>
    </row>
    <row r="2" spans="1:13" x14ac:dyDescent="0.25">
      <c r="A2">
        <v>2025</v>
      </c>
      <c r="B2">
        <v>446</v>
      </c>
      <c r="C2">
        <v>209</v>
      </c>
      <c r="D2">
        <f>D$13*EXP(D$14*($A2-$A$3))</f>
        <v>316.03815554156989</v>
      </c>
      <c r="E2">
        <f>E$13*EXP(E$14*($A2-$A$3))</f>
        <v>269.98072031209182</v>
      </c>
      <c r="F2">
        <v>140</v>
      </c>
      <c r="G2">
        <v>232</v>
      </c>
      <c r="H2">
        <f>G2/6.1/1000*44/12</f>
        <v>0.13945355191256831</v>
      </c>
      <c r="J2">
        <v>13.5</v>
      </c>
      <c r="K2">
        <v>13.5</v>
      </c>
      <c r="L2">
        <v>13.5</v>
      </c>
      <c r="M2">
        <v>13.5</v>
      </c>
    </row>
    <row r="3" spans="1:13" x14ac:dyDescent="0.25">
      <c r="A3">
        <v>2030</v>
      </c>
      <c r="B3">
        <f t="shared" ref="B3:C6" si="0">B$13*EXP(B$14*($A3-$A$2))</f>
        <v>380.16957864810638</v>
      </c>
      <c r="C3">
        <f t="shared" si="0"/>
        <v>178.15121510639958</v>
      </c>
      <c r="D3">
        <v>265</v>
      </c>
      <c r="E3">
        <f>0.125*6.1*12/44*1000</f>
        <v>207.95454545454541</v>
      </c>
      <c r="F3">
        <f>F$13*EXP(F$14*($A3-$A$2))</f>
        <v>126.10085958575935</v>
      </c>
      <c r="G3">
        <v>212</v>
      </c>
      <c r="H3">
        <f t="shared" ref="H3:H7" si="1">G3/6.1/1000*44/12</f>
        <v>0.12743169398907103</v>
      </c>
      <c r="J3">
        <f t="shared" ref="J3:M6" si="2">J$13*EXP(J$14*($A3-$A$2))</f>
        <v>20.149627171231938</v>
      </c>
      <c r="K3">
        <f t="shared" si="2"/>
        <v>27.801038275533536</v>
      </c>
      <c r="L3">
        <f t="shared" si="2"/>
        <v>34.63261353326736</v>
      </c>
      <c r="M3">
        <f t="shared" si="2"/>
        <v>38.046022739216987</v>
      </c>
    </row>
    <row r="4" spans="1:13" x14ac:dyDescent="0.25">
      <c r="A4">
        <v>2035</v>
      </c>
      <c r="B4">
        <f t="shared" si="0"/>
        <v>324.05584872080431</v>
      </c>
      <c r="C4">
        <f t="shared" si="0"/>
        <v>151.85576767409884</v>
      </c>
      <c r="D4">
        <f t="shared" ref="D4:E6" si="3">D$13*EXP(D$14*($A4-$A$3))</f>
        <v>222.20418252872307</v>
      </c>
      <c r="E4">
        <f t="shared" si="3"/>
        <v>160.17844876188263</v>
      </c>
      <c r="F4">
        <f>F$13*EXP(F$14*($A4-$A$2))</f>
        <v>113.58161991619573</v>
      </c>
      <c r="G4">
        <f>G$13*EXP(G$14*($A4-$A$2))</f>
        <v>193.72413793103445</v>
      </c>
      <c r="H4">
        <f t="shared" si="1"/>
        <v>0.1164462031279442</v>
      </c>
      <c r="J4">
        <f t="shared" si="2"/>
        <v>30.074627788122108</v>
      </c>
      <c r="K4">
        <f t="shared" si="2"/>
        <v>57.251683644272632</v>
      </c>
      <c r="L4">
        <f t="shared" si="2"/>
        <v>88.845771862566906</v>
      </c>
      <c r="M4">
        <f t="shared" si="2"/>
        <v>107.22221083503824</v>
      </c>
    </row>
    <row r="5" spans="1:13" x14ac:dyDescent="0.25">
      <c r="A5">
        <v>2040</v>
      </c>
      <c r="B5">
        <f t="shared" si="0"/>
        <v>276.22460866960239</v>
      </c>
      <c r="C5">
        <f t="shared" si="0"/>
        <v>129.4415767084011</v>
      </c>
      <c r="D5">
        <f t="shared" si="3"/>
        <v>186.3196178613513</v>
      </c>
      <c r="E5">
        <f t="shared" si="3"/>
        <v>123.37857483077323</v>
      </c>
      <c r="F5">
        <f>F$13*EXP(F$14*($A5-$A$2))</f>
        <v>102.30528503268064</v>
      </c>
      <c r="G5">
        <f>G$13*EXP(G$14*($A5-$A$2))</f>
        <v>177.02378121284181</v>
      </c>
      <c r="H5">
        <f t="shared" si="1"/>
        <v>0.10640773734105245</v>
      </c>
      <c r="J5">
        <f t="shared" si="2"/>
        <v>44.888336092165353</v>
      </c>
      <c r="K5">
        <f t="shared" si="2"/>
        <v>117.90046283949337</v>
      </c>
      <c r="L5">
        <f t="shared" si="2"/>
        <v>227.9230578504532</v>
      </c>
      <c r="M5">
        <f t="shared" si="2"/>
        <v>302.17619789473957</v>
      </c>
    </row>
    <row r="6" spans="1:13" x14ac:dyDescent="0.25">
      <c r="A6">
        <v>2045</v>
      </c>
      <c r="B6">
        <f t="shared" si="0"/>
        <v>235.45334773578654</v>
      </c>
      <c r="C6">
        <f t="shared" si="0"/>
        <v>110.33576160712865</v>
      </c>
      <c r="D6">
        <f t="shared" si="3"/>
        <v>156.23018255073828</v>
      </c>
      <c r="E6">
        <f t="shared" si="3"/>
        <v>95.033213549856328</v>
      </c>
      <c r="F6">
        <f>F$13*EXP(F$14*($A6-$A$2))</f>
        <v>92.14845987705111</v>
      </c>
      <c r="G6">
        <f>G$13*EXP(G$14*($A6-$A$2))</f>
        <v>161.7631104186313</v>
      </c>
      <c r="H6">
        <f t="shared" si="1"/>
        <v>9.7234656535789318E-2</v>
      </c>
      <c r="J6">
        <f t="shared" si="2"/>
        <v>66.998758266228606</v>
      </c>
      <c r="K6">
        <f t="shared" si="2"/>
        <v>242.79668741510181</v>
      </c>
      <c r="L6">
        <f t="shared" si="2"/>
        <v>584.70897613742852</v>
      </c>
      <c r="M6">
        <f t="shared" si="2"/>
        <v>851.60018491506594</v>
      </c>
    </row>
    <row r="7" spans="1:13" x14ac:dyDescent="0.25">
      <c r="A7">
        <v>2050</v>
      </c>
      <c r="B7">
        <f>B2*B17</f>
        <v>200.70000000000002</v>
      </c>
      <c r="C7">
        <f>C2*C17</f>
        <v>94.05</v>
      </c>
      <c r="D7">
        <v>131</v>
      </c>
      <c r="E7">
        <f>0.044*6.1*12/44*1000</f>
        <v>73.199999999999989</v>
      </c>
      <c r="F7">
        <v>83</v>
      </c>
      <c r="G7">
        <f>G$13*EXP(G$14*($A7-$A$2))</f>
        <v>147.8180146928872</v>
      </c>
      <c r="H7">
        <f t="shared" si="1"/>
        <v>8.8852358558566089E-2</v>
      </c>
      <c r="J7">
        <v>100</v>
      </c>
      <c r="K7">
        <v>500</v>
      </c>
      <c r="L7">
        <v>1500</v>
      </c>
      <c r="M7">
        <v>2400</v>
      </c>
    </row>
    <row r="8" spans="1:13" x14ac:dyDescent="0.25">
      <c r="A8" t="s">
        <v>5</v>
      </c>
      <c r="B8" t="s">
        <v>6</v>
      </c>
      <c r="C8" t="s">
        <v>6</v>
      </c>
      <c r="D8" s="3" t="s">
        <v>18</v>
      </c>
      <c r="E8" s="3" t="s">
        <v>18</v>
      </c>
      <c r="F8" s="3" t="s">
        <v>20</v>
      </c>
      <c r="G8" s="3" t="s">
        <v>17</v>
      </c>
      <c r="J8" s="4" t="s">
        <v>25</v>
      </c>
      <c r="K8" s="4" t="s">
        <v>25</v>
      </c>
      <c r="L8" s="4" t="s">
        <v>25</v>
      </c>
      <c r="M8" s="4" t="s">
        <v>25</v>
      </c>
    </row>
    <row r="9" spans="1:13" x14ac:dyDescent="0.25">
      <c r="A9" t="s">
        <v>1</v>
      </c>
      <c r="B9" s="2" t="s">
        <v>12</v>
      </c>
      <c r="C9" s="2" t="s">
        <v>12</v>
      </c>
      <c r="D9">
        <v>432</v>
      </c>
      <c r="E9">
        <v>432</v>
      </c>
      <c r="F9">
        <v>8</v>
      </c>
      <c r="G9">
        <v>4</v>
      </c>
    </row>
    <row r="10" spans="1:13" x14ac:dyDescent="0.25">
      <c r="A10" t="s">
        <v>15</v>
      </c>
      <c r="B10" t="s">
        <v>16</v>
      </c>
      <c r="C10" t="s">
        <v>16</v>
      </c>
      <c r="D10" t="s">
        <v>37</v>
      </c>
      <c r="E10" t="s">
        <v>37</v>
      </c>
      <c r="F10" t="s">
        <v>21</v>
      </c>
    </row>
    <row r="11" spans="1:13" x14ac:dyDescent="0.25">
      <c r="A11" t="s">
        <v>7</v>
      </c>
      <c r="B11" t="s">
        <v>26</v>
      </c>
      <c r="C11" t="s">
        <v>26</v>
      </c>
      <c r="D11" t="s">
        <v>26</v>
      </c>
      <c r="E11" t="s">
        <v>26</v>
      </c>
      <c r="F11" t="s">
        <v>26</v>
      </c>
      <c r="G11" t="s">
        <v>26</v>
      </c>
      <c r="H11" t="s">
        <v>27</v>
      </c>
      <c r="J11" t="s">
        <v>29</v>
      </c>
      <c r="K11" t="s">
        <v>29</v>
      </c>
      <c r="L11" t="s">
        <v>29</v>
      </c>
    </row>
    <row r="13" spans="1:13" x14ac:dyDescent="0.25">
      <c r="A13" t="s">
        <v>13</v>
      </c>
      <c r="B13">
        <f>EXP(LN(B2)-B14*0)</f>
        <v>446.00000000000006</v>
      </c>
      <c r="C13">
        <f>EXP(LN(C2)-C14*0)</f>
        <v>208.99999999999997</v>
      </c>
      <c r="D13">
        <f>EXP(LN(D3)-D14*0)</f>
        <v>264.99999999999994</v>
      </c>
      <c r="E13">
        <f>EXP(LN(E3)-E14*0)</f>
        <v>207.95454545454535</v>
      </c>
      <c r="F13">
        <f t="shared" ref="F13:G13" si="4">EXP(LN(F2)-F14*0)</f>
        <v>139.99999999999994</v>
      </c>
      <c r="G13">
        <f t="shared" si="4"/>
        <v>231.99999999999997</v>
      </c>
      <c r="J13">
        <f t="shared" ref="J13" si="5">EXP(LN(J2)-J14*0)</f>
        <v>13.5</v>
      </c>
      <c r="K13">
        <f t="shared" ref="K13" si="6">EXP(LN(K2)-K14*0)</f>
        <v>13.5</v>
      </c>
      <c r="L13">
        <f t="shared" ref="L13:M13" si="7">EXP(LN(L2)-L14*0)</f>
        <v>13.5</v>
      </c>
      <c r="M13">
        <f t="shared" si="7"/>
        <v>13.5</v>
      </c>
    </row>
    <row r="14" spans="1:13" x14ac:dyDescent="0.25">
      <c r="A14" t="s">
        <v>14</v>
      </c>
      <c r="B14">
        <f>(LN(B2)-LN(B7))/($A2-$A7)</f>
        <v>-3.1940307848710853E-2</v>
      </c>
      <c r="C14">
        <f>(LN(C2)-LN(C7))/($A2-$A7)</f>
        <v>-3.1940307848710853E-2</v>
      </c>
      <c r="D14">
        <f>(LN(D3)-LN(D7))/($A3-$A7)</f>
        <v>-3.5226625139253544E-2</v>
      </c>
      <c r="E14">
        <f>(LN(E3)-LN(E7))/($A3-$A7)</f>
        <v>-5.2206205169202005E-2</v>
      </c>
      <c r="F14">
        <f>(LN(F2)-LN(F7))/($A2-$A7)</f>
        <v>-2.0912072592508223E-2</v>
      </c>
      <c r="G14">
        <f>(LN(G2)-LN(G3))/($A2-$A3)</f>
        <v>-1.8030219398859515E-2</v>
      </c>
      <c r="J14">
        <f>(LN(J2)-LN(J7))/($A2-$A7)</f>
        <v>8.0099220021748324E-2</v>
      </c>
      <c r="K14">
        <f t="shared" ref="K14:L14" si="8">(LN(K2)-LN(K7))/($A2-$A7)</f>
        <v>0.1444767365191123</v>
      </c>
      <c r="L14">
        <f t="shared" si="8"/>
        <v>0.18842122806583672</v>
      </c>
      <c r="M14">
        <f t="shared" ref="M14" si="9">(LN(M2)-LN(M7))/($A2-$A7)</f>
        <v>0.20722137323566614</v>
      </c>
    </row>
    <row r="17" spans="1:27" x14ac:dyDescent="0.25">
      <c r="A17" t="s">
        <v>10</v>
      </c>
      <c r="B17" s="1">
        <v>0.45</v>
      </c>
      <c r="C17" s="1">
        <v>0.45</v>
      </c>
      <c r="D17" s="1"/>
      <c r="I17" t="s">
        <v>30</v>
      </c>
      <c r="J17" t="s">
        <v>4</v>
      </c>
      <c r="K17" t="s">
        <v>4</v>
      </c>
      <c r="L17" t="s">
        <v>4</v>
      </c>
    </row>
    <row r="18" spans="1:27" x14ac:dyDescent="0.25">
      <c r="A18" t="s">
        <v>11</v>
      </c>
      <c r="B18">
        <v>25</v>
      </c>
      <c r="C18">
        <v>25</v>
      </c>
      <c r="I18" t="s">
        <v>1</v>
      </c>
      <c r="J18">
        <v>42</v>
      </c>
      <c r="K18">
        <v>42</v>
      </c>
      <c r="L18">
        <v>42</v>
      </c>
    </row>
    <row r="19" spans="1:27" x14ac:dyDescent="0.25">
      <c r="A19" t="s">
        <v>5</v>
      </c>
      <c r="B19" t="s">
        <v>4</v>
      </c>
      <c r="C19" t="s">
        <v>4</v>
      </c>
    </row>
    <row r="20" spans="1:27" x14ac:dyDescent="0.25">
      <c r="A20" t="s">
        <v>1</v>
      </c>
      <c r="B20">
        <v>44</v>
      </c>
      <c r="C20">
        <v>44</v>
      </c>
    </row>
    <row r="23" spans="1:27" x14ac:dyDescent="0.25">
      <c r="U23" s="2"/>
      <c r="AA23" s="1"/>
    </row>
    <row r="24" spans="1:27" x14ac:dyDescent="0.25">
      <c r="U24" s="2"/>
      <c r="AA24" s="1"/>
    </row>
  </sheetData>
  <phoneticPr fontId="3" type="noConversion"/>
  <hyperlinks>
    <hyperlink ref="G8" r:id="rId1" display="https://info.opisnet.com/hubfs/CDR Price Survey White Paper-Email.pdf" xr:uid="{CC158B7C-E4A0-48D9-9303-73D590522FCC}"/>
    <hyperlink ref="D8" r:id="rId2" xr:uid="{EFC78798-2563-4766-9FAD-EF08B1A29709}"/>
    <hyperlink ref="E8" r:id="rId3" xr:uid="{5DABCDEF-5B5D-4B35-9C6F-0E02DE3477A2}"/>
    <hyperlink ref="F8" r:id="rId4" xr:uid="{EE1C265B-61F3-4F37-850F-40A9D6842C42}"/>
  </hyperlinks>
  <pageMargins left="0.7" right="0.7" top="0.75" bottom="0.75" header="0.3" footer="0.3"/>
  <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31749-67AB-462A-BE29-983F9537704D}">
  <dimension ref="A1:V48"/>
  <sheetViews>
    <sheetView tabSelected="1" workbookViewId="0">
      <selection activeCell="D35" sqref="D35"/>
    </sheetView>
  </sheetViews>
  <sheetFormatPr defaultRowHeight="15" x14ac:dyDescent="0.25"/>
  <cols>
    <col min="1" max="1" width="24.42578125" bestFit="1" customWidth="1"/>
    <col min="2" max="2" width="24.42578125" customWidth="1"/>
    <col min="3" max="3" width="17.42578125" bestFit="1" customWidth="1"/>
    <col min="4" max="4" width="23.85546875" customWidth="1"/>
    <col min="5" max="5" width="18.140625" bestFit="1" customWidth="1"/>
    <col min="6" max="6" width="17.7109375" bestFit="1" customWidth="1"/>
    <col min="8" max="8" width="21.5703125" style="16" bestFit="1" customWidth="1"/>
    <col min="9" max="9" width="9" bestFit="1" customWidth="1"/>
    <col min="10" max="10" width="13.28515625" bestFit="1" customWidth="1"/>
    <col min="11" max="11" width="12.7109375" bestFit="1" customWidth="1"/>
    <col min="12" max="14" width="10.5703125" bestFit="1" customWidth="1"/>
  </cols>
  <sheetData>
    <row r="1" spans="1:22" ht="21" x14ac:dyDescent="0.35">
      <c r="A1" s="4" t="s">
        <v>88</v>
      </c>
      <c r="H1" s="14" t="s">
        <v>83</v>
      </c>
      <c r="I1" t="s">
        <v>28</v>
      </c>
      <c r="J1" t="s">
        <v>81</v>
      </c>
      <c r="K1" t="s">
        <v>82</v>
      </c>
      <c r="L1" t="s">
        <v>2</v>
      </c>
      <c r="M1" t="s">
        <v>3</v>
      </c>
      <c r="N1" t="s">
        <v>80</v>
      </c>
    </row>
    <row r="2" spans="1:22" x14ac:dyDescent="0.25">
      <c r="A2" t="s">
        <v>55</v>
      </c>
      <c r="B2" t="s">
        <v>75</v>
      </c>
      <c r="C2" t="s">
        <v>56</v>
      </c>
      <c r="D2" t="s">
        <v>5</v>
      </c>
      <c r="H2" s="15" t="s">
        <v>84</v>
      </c>
      <c r="I2" s="10">
        <f>1-2^I3</f>
        <v>4.9999617125113915E-2</v>
      </c>
      <c r="J2" s="10">
        <f t="shared" ref="J2:N2" si="0">1-2^J3</f>
        <v>4.9999617125113915E-2</v>
      </c>
      <c r="K2" s="10">
        <f t="shared" si="0"/>
        <v>4.9999617125113915E-2</v>
      </c>
      <c r="L2" s="10">
        <f t="shared" si="0"/>
        <v>4.9999617125113915E-2</v>
      </c>
      <c r="M2" s="10">
        <f t="shared" si="0"/>
        <v>4.9999617125113915E-2</v>
      </c>
      <c r="N2" s="10">
        <f t="shared" si="0"/>
        <v>4.9999617125113915E-2</v>
      </c>
    </row>
    <row r="3" spans="1:22" x14ac:dyDescent="0.25">
      <c r="A3" s="7">
        <v>4.9000000000000002E-2</v>
      </c>
      <c r="B3" s="5">
        <v>-7.1999999999999995E-2</v>
      </c>
      <c r="C3" t="s">
        <v>57</v>
      </c>
      <c r="D3" s="3" t="s">
        <v>61</v>
      </c>
      <c r="E3" t="s">
        <v>62</v>
      </c>
      <c r="H3" s="16" t="s">
        <v>86</v>
      </c>
      <c r="I3">
        <v>-7.3999999999999996E-2</v>
      </c>
      <c r="J3">
        <v>-7.3999999999999996E-2</v>
      </c>
      <c r="K3">
        <v>-7.3999999999999996E-2</v>
      </c>
      <c r="L3">
        <v>-7.3999999999999996E-2</v>
      </c>
      <c r="M3">
        <v>-7.3999999999999996E-2</v>
      </c>
      <c r="N3">
        <v>-7.3999999999999996E-2</v>
      </c>
    </row>
    <row r="4" spans="1:22" x14ac:dyDescent="0.25">
      <c r="A4" s="7">
        <v>5.2999999999999999E-2</v>
      </c>
      <c r="B4" s="5">
        <v>-7.8E-2</v>
      </c>
      <c r="C4" t="s">
        <v>58</v>
      </c>
      <c r="D4" t="s">
        <v>61</v>
      </c>
      <c r="E4" t="s">
        <v>62</v>
      </c>
      <c r="H4" s="17" t="s">
        <v>85</v>
      </c>
      <c r="I4" s="9">
        <v>500</v>
      </c>
      <c r="J4" s="9">
        <v>500</v>
      </c>
      <c r="K4" s="9">
        <v>500</v>
      </c>
      <c r="L4" s="9">
        <v>500</v>
      </c>
      <c r="M4" s="9">
        <v>500</v>
      </c>
      <c r="N4" s="9">
        <v>500</v>
      </c>
    </row>
    <row r="5" spans="1:22" x14ac:dyDescent="0.25">
      <c r="A5" s="7">
        <v>0.26800000000000002</v>
      </c>
      <c r="B5" s="5">
        <v>-0.45</v>
      </c>
      <c r="C5" t="s">
        <v>59</v>
      </c>
      <c r="D5" t="s">
        <v>61</v>
      </c>
      <c r="E5" t="s">
        <v>62</v>
      </c>
      <c r="H5" s="11" t="s">
        <v>90</v>
      </c>
      <c r="I5" s="11"/>
      <c r="J5" s="11"/>
      <c r="K5" s="11"/>
      <c r="L5" s="11"/>
      <c r="M5" s="11"/>
      <c r="N5" s="11"/>
      <c r="P5" s="11" t="s">
        <v>87</v>
      </c>
      <c r="Q5" s="11"/>
      <c r="R5" s="11"/>
      <c r="S5" s="11"/>
      <c r="T5" s="11"/>
      <c r="U5" s="11"/>
      <c r="V5" s="11"/>
    </row>
    <row r="6" spans="1:22" x14ac:dyDescent="0.25">
      <c r="A6" s="7">
        <v>0.437</v>
      </c>
      <c r="B6" s="5">
        <v>-0.82899999999999996</v>
      </c>
      <c r="C6" t="s">
        <v>60</v>
      </c>
      <c r="D6" t="s">
        <v>61</v>
      </c>
      <c r="E6" t="s">
        <v>62</v>
      </c>
      <c r="H6" s="16" t="s">
        <v>40</v>
      </c>
      <c r="I6" t="s">
        <v>28</v>
      </c>
      <c r="J6" t="s">
        <v>81</v>
      </c>
      <c r="K6" t="s">
        <v>82</v>
      </c>
      <c r="L6" t="s">
        <v>2</v>
      </c>
      <c r="M6" t="s">
        <v>3</v>
      </c>
      <c r="N6" t="s">
        <v>80</v>
      </c>
      <c r="P6" t="s">
        <v>40</v>
      </c>
      <c r="Q6" t="s">
        <v>28</v>
      </c>
      <c r="R6" t="s">
        <v>81</v>
      </c>
      <c r="S6" t="s">
        <v>82</v>
      </c>
      <c r="T6" t="s">
        <v>2</v>
      </c>
      <c r="U6" t="s">
        <v>3</v>
      </c>
      <c r="V6" t="s">
        <v>80</v>
      </c>
    </row>
    <row r="7" spans="1:22" x14ac:dyDescent="0.25">
      <c r="H7" s="16">
        <v>2025</v>
      </c>
      <c r="I7" s="12">
        <v>100</v>
      </c>
      <c r="J7" s="12">
        <v>0</v>
      </c>
      <c r="K7" s="12">
        <v>100</v>
      </c>
      <c r="L7" s="12">
        <v>600</v>
      </c>
      <c r="M7" s="12">
        <v>100</v>
      </c>
      <c r="N7" s="12">
        <v>400</v>
      </c>
      <c r="P7">
        <v>2025</v>
      </c>
      <c r="Q7">
        <f>I25/(I$4^I$3)</f>
        <v>367.46143374277835</v>
      </c>
      <c r="R7">
        <f t="shared" ref="R7:V12" si="1">J25/(J$4^J$3)</f>
        <v>706.41292866068591</v>
      </c>
      <c r="S7">
        <f t="shared" si="1"/>
        <v>331.03206746655462</v>
      </c>
      <c r="T7">
        <f t="shared" si="1"/>
        <v>427.61854555512627</v>
      </c>
      <c r="U7">
        <f t="shared" si="1"/>
        <v>221.74396863788348</v>
      </c>
      <c r="V7">
        <f t="shared" si="1"/>
        <v>570.9988924675697</v>
      </c>
    </row>
    <row r="8" spans="1:22" x14ac:dyDescent="0.25">
      <c r="A8" t="s">
        <v>63</v>
      </c>
      <c r="C8" t="s">
        <v>64</v>
      </c>
      <c r="D8" t="s">
        <v>56</v>
      </c>
      <c r="E8" t="s">
        <v>5</v>
      </c>
      <c r="H8" s="16">
        <v>2030</v>
      </c>
      <c r="I8" s="12">
        <v>0</v>
      </c>
      <c r="J8" s="12">
        <v>300</v>
      </c>
      <c r="K8" s="12">
        <v>200</v>
      </c>
      <c r="L8" s="12">
        <v>500</v>
      </c>
      <c r="M8" s="12">
        <v>100</v>
      </c>
      <c r="N8" s="12">
        <v>400</v>
      </c>
      <c r="P8">
        <v>2030</v>
      </c>
      <c r="Q8">
        <f t="shared" ref="Q8:Q11" si="2">I26/(I$4^I$3)</f>
        <v>335.7837239373664</v>
      </c>
      <c r="R8">
        <f t="shared" si="1"/>
        <v>602.14507946302194</v>
      </c>
      <c r="S8">
        <f t="shared" si="1"/>
        <v>282.17112468110213</v>
      </c>
      <c r="T8">
        <f t="shared" si="1"/>
        <v>329.37618718127163</v>
      </c>
      <c r="U8">
        <f t="shared" si="1"/>
        <v>199.72932180853405</v>
      </c>
      <c r="V8">
        <f t="shared" si="1"/>
        <v>470.12342359151938</v>
      </c>
    </row>
    <row r="9" spans="1:22" x14ac:dyDescent="0.25">
      <c r="A9" t="s">
        <v>66</v>
      </c>
      <c r="C9" s="1">
        <v>0.03</v>
      </c>
      <c r="D9" t="s">
        <v>67</v>
      </c>
      <c r="E9" t="s">
        <v>69</v>
      </c>
      <c r="F9" t="s">
        <v>65</v>
      </c>
      <c r="H9" s="16">
        <v>2035</v>
      </c>
      <c r="I9" s="12">
        <v>0</v>
      </c>
      <c r="J9" s="12">
        <v>300</v>
      </c>
      <c r="K9" s="12">
        <v>300</v>
      </c>
      <c r="L9" s="12">
        <v>400</v>
      </c>
      <c r="M9" s="12">
        <v>100</v>
      </c>
      <c r="N9" s="12">
        <v>400</v>
      </c>
      <c r="P9">
        <v>2035</v>
      </c>
      <c r="Q9">
        <f t="shared" si="2"/>
        <v>306.83685118414513</v>
      </c>
      <c r="R9">
        <f t="shared" si="1"/>
        <v>513.26735682620529</v>
      </c>
      <c r="S9">
        <f t="shared" si="1"/>
        <v>240.52214703290781</v>
      </c>
      <c r="T9">
        <f t="shared" si="1"/>
        <v>253.70432084799805</v>
      </c>
      <c r="U9">
        <f t="shared" si="1"/>
        <v>179.90027974669221</v>
      </c>
      <c r="V9">
        <f t="shared" si="1"/>
        <v>349.73608590241867</v>
      </c>
    </row>
    <row r="10" spans="1:22" x14ac:dyDescent="0.25">
      <c r="A10" t="s">
        <v>68</v>
      </c>
      <c r="D10" t="s">
        <v>67</v>
      </c>
      <c r="E10" t="s">
        <v>69</v>
      </c>
      <c r="F10" t="s">
        <v>65</v>
      </c>
      <c r="H10" s="16">
        <v>2040</v>
      </c>
      <c r="I10" s="12">
        <v>0</v>
      </c>
      <c r="J10" s="12">
        <v>0</v>
      </c>
      <c r="K10" s="12">
        <v>400</v>
      </c>
      <c r="L10" s="12">
        <v>300</v>
      </c>
      <c r="M10" s="12">
        <v>100</v>
      </c>
      <c r="N10" s="12">
        <v>400</v>
      </c>
      <c r="P10">
        <v>2040</v>
      </c>
      <c r="Q10">
        <f t="shared" si="2"/>
        <v>280.38539849585669</v>
      </c>
      <c r="R10">
        <f t="shared" si="1"/>
        <v>437.50814972745678</v>
      </c>
      <c r="S10">
        <f t="shared" si="1"/>
        <v>205.02063518618488</v>
      </c>
      <c r="T10">
        <f t="shared" si="1"/>
        <v>195.4175344847267</v>
      </c>
      <c r="U10">
        <f t="shared" si="1"/>
        <v>162.03985654126046</v>
      </c>
      <c r="V10">
        <f t="shared" si="1"/>
        <v>320.74548223230937</v>
      </c>
    </row>
    <row r="11" spans="1:22" x14ac:dyDescent="0.25">
      <c r="C11" t="s">
        <v>70</v>
      </c>
      <c r="D11" t="s">
        <v>67</v>
      </c>
      <c r="E11" t="s">
        <v>69</v>
      </c>
      <c r="F11" t="s">
        <v>72</v>
      </c>
      <c r="H11" s="16">
        <v>2045</v>
      </c>
      <c r="I11" s="12">
        <v>0</v>
      </c>
      <c r="J11" s="12">
        <v>0</v>
      </c>
      <c r="K11" s="12">
        <v>500</v>
      </c>
      <c r="L11" s="12">
        <v>200</v>
      </c>
      <c r="M11" s="12">
        <v>100</v>
      </c>
      <c r="N11" s="12">
        <v>400</v>
      </c>
      <c r="P11">
        <v>2045</v>
      </c>
      <c r="Q11">
        <f t="shared" si="2"/>
        <v>256.21424345311044</v>
      </c>
      <c r="R11">
        <f t="shared" si="1"/>
        <v>372.93114111434943</v>
      </c>
      <c r="S11">
        <f t="shared" si="1"/>
        <v>174.75921186748658</v>
      </c>
      <c r="T11">
        <f t="shared" si="1"/>
        <v>150.52172803540446</v>
      </c>
      <c r="U11">
        <f t="shared" si="1"/>
        <v>145.95260855004346</v>
      </c>
      <c r="V11">
        <f t="shared" si="1"/>
        <v>292.46623032033017</v>
      </c>
    </row>
    <row r="12" spans="1:22" x14ac:dyDescent="0.25">
      <c r="C12" s="1">
        <v>0.05</v>
      </c>
      <c r="D12" t="s">
        <v>71</v>
      </c>
      <c r="E12" t="s">
        <v>69</v>
      </c>
      <c r="F12" t="s">
        <v>72</v>
      </c>
      <c r="H12" s="16">
        <v>2050</v>
      </c>
      <c r="I12" s="12">
        <v>0</v>
      </c>
      <c r="J12" s="12">
        <v>0</v>
      </c>
      <c r="K12" s="12">
        <v>600</v>
      </c>
      <c r="L12" s="12">
        <v>100</v>
      </c>
      <c r="M12" s="12">
        <v>100</v>
      </c>
      <c r="N12" s="12">
        <v>400</v>
      </c>
      <c r="P12">
        <v>2050</v>
      </c>
      <c r="Q12">
        <f>I30/(I$4^I$3)</f>
        <v>234.12680867266985</v>
      </c>
      <c r="R12">
        <f t="shared" si="1"/>
        <v>317.8858178973087</v>
      </c>
      <c r="S12">
        <f t="shared" si="1"/>
        <v>148.96443035994957</v>
      </c>
      <c r="T12">
        <f t="shared" si="1"/>
        <v>115.94041788780763</v>
      </c>
      <c r="U12">
        <f t="shared" si="1"/>
        <v>131.4624956924595</v>
      </c>
      <c r="V12">
        <f t="shared" si="1"/>
        <v>273.90733431991526</v>
      </c>
    </row>
    <row r="13" spans="1:22" x14ac:dyDescent="0.25">
      <c r="A13" s="8" t="s">
        <v>89</v>
      </c>
    </row>
    <row r="14" spans="1:22" x14ac:dyDescent="0.25">
      <c r="A14" s="4" t="s">
        <v>79</v>
      </c>
      <c r="B14" t="s">
        <v>57</v>
      </c>
      <c r="C14" t="s">
        <v>58</v>
      </c>
      <c r="D14" t="s">
        <v>59</v>
      </c>
      <c r="E14" t="s">
        <v>60</v>
      </c>
      <c r="H14" s="11" t="s">
        <v>91</v>
      </c>
      <c r="I14" s="11"/>
      <c r="J14" s="11"/>
      <c r="K14" s="11"/>
      <c r="L14" s="11"/>
      <c r="M14" s="11"/>
      <c r="N14" s="11"/>
    </row>
    <row r="15" spans="1:22" x14ac:dyDescent="0.25">
      <c r="A15" t="s">
        <v>77</v>
      </c>
      <c r="B15">
        <f>B18/(B16^B17)</f>
        <v>3084.0998748711568</v>
      </c>
      <c r="C15">
        <f t="shared" ref="C15:E15" si="3">C18/(C16^C17)</f>
        <v>9616.9213175821751</v>
      </c>
      <c r="D15">
        <f t="shared" si="3"/>
        <v>113244.05359147559</v>
      </c>
      <c r="E15">
        <f t="shared" si="3"/>
        <v>12395053.207512364</v>
      </c>
      <c r="H15" s="16" t="s">
        <v>40</v>
      </c>
      <c r="I15" t="s">
        <v>28</v>
      </c>
      <c r="J15" t="s">
        <v>81</v>
      </c>
      <c r="K15" t="s">
        <v>82</v>
      </c>
      <c r="L15" t="s">
        <v>2</v>
      </c>
      <c r="M15" t="s">
        <v>3</v>
      </c>
      <c r="N15" t="s">
        <v>80</v>
      </c>
    </row>
    <row r="16" spans="1:22" x14ac:dyDescent="0.25">
      <c r="A16" t="s">
        <v>76</v>
      </c>
      <c r="B16">
        <v>261</v>
      </c>
      <c r="C16">
        <v>4498</v>
      </c>
      <c r="D16">
        <v>7099</v>
      </c>
      <c r="E16">
        <v>18928</v>
      </c>
      <c r="H16" s="18">
        <v>2025</v>
      </c>
      <c r="I16" s="12">
        <f>I4+I7</f>
        <v>600</v>
      </c>
      <c r="J16" s="12">
        <f t="shared" ref="J16:N16" si="4">J4+J7</f>
        <v>500</v>
      </c>
      <c r="K16" s="12">
        <f t="shared" si="4"/>
        <v>600</v>
      </c>
      <c r="L16" s="12">
        <f t="shared" si="4"/>
        <v>1100</v>
      </c>
      <c r="M16" s="12">
        <f t="shared" si="4"/>
        <v>600</v>
      </c>
      <c r="N16" s="12">
        <f t="shared" si="4"/>
        <v>900</v>
      </c>
    </row>
    <row r="17" spans="1:14" x14ac:dyDescent="0.25">
      <c r="A17" t="s">
        <v>74</v>
      </c>
      <c r="B17" s="5">
        <f>B3</f>
        <v>-7.1999999999999995E-2</v>
      </c>
      <c r="C17" s="5">
        <f>B4</f>
        <v>-7.8E-2</v>
      </c>
      <c r="D17" s="5">
        <f>B5</f>
        <v>-0.45</v>
      </c>
      <c r="E17" s="5">
        <f>B6</f>
        <v>-0.82899999999999996</v>
      </c>
      <c r="H17" s="18">
        <v>2030</v>
      </c>
      <c r="I17" s="12">
        <f>I16+I8</f>
        <v>600</v>
      </c>
      <c r="J17" s="12">
        <f t="shared" ref="J17:N20" si="5">J16+J8</f>
        <v>800</v>
      </c>
      <c r="K17" s="12">
        <f t="shared" si="5"/>
        <v>800</v>
      </c>
      <c r="L17" s="12">
        <f t="shared" si="5"/>
        <v>1600</v>
      </c>
      <c r="M17" s="12">
        <f t="shared" si="5"/>
        <v>700</v>
      </c>
      <c r="N17" s="12">
        <f t="shared" si="5"/>
        <v>1300</v>
      </c>
    </row>
    <row r="18" spans="1:14" x14ac:dyDescent="0.25">
      <c r="A18" t="s">
        <v>73</v>
      </c>
      <c r="B18">
        <v>2066</v>
      </c>
      <c r="C18">
        <v>4990</v>
      </c>
      <c r="D18">
        <v>2094</v>
      </c>
      <c r="E18">
        <v>3528</v>
      </c>
      <c r="H18" s="18">
        <v>2035</v>
      </c>
      <c r="I18" s="12">
        <f t="shared" ref="I18:I20" si="6">I17+I9</f>
        <v>600</v>
      </c>
      <c r="J18" s="12">
        <f t="shared" si="5"/>
        <v>1100</v>
      </c>
      <c r="K18" s="12">
        <f t="shared" si="5"/>
        <v>1100</v>
      </c>
      <c r="L18" s="12">
        <f t="shared" si="5"/>
        <v>2000</v>
      </c>
      <c r="M18" s="12">
        <f t="shared" si="5"/>
        <v>800</v>
      </c>
      <c r="N18" s="12">
        <f t="shared" si="5"/>
        <v>1700</v>
      </c>
    </row>
    <row r="19" spans="1:14" x14ac:dyDescent="0.25">
      <c r="A19" s="4" t="s">
        <v>78</v>
      </c>
      <c r="H19" s="18">
        <v>2040</v>
      </c>
      <c r="I19" s="12">
        <f t="shared" si="6"/>
        <v>600</v>
      </c>
      <c r="J19" s="12">
        <f t="shared" si="5"/>
        <v>1100</v>
      </c>
      <c r="K19" s="12">
        <f t="shared" si="5"/>
        <v>1500</v>
      </c>
      <c r="L19" s="12">
        <f t="shared" si="5"/>
        <v>2300</v>
      </c>
      <c r="M19" s="12">
        <f t="shared" si="5"/>
        <v>900</v>
      </c>
      <c r="N19" s="12">
        <f t="shared" si="5"/>
        <v>2100</v>
      </c>
    </row>
    <row r="20" spans="1:14" x14ac:dyDescent="0.25">
      <c r="A20" t="s">
        <v>77</v>
      </c>
      <c r="B20">
        <f>B15</f>
        <v>3084.0998748711568</v>
      </c>
      <c r="C20">
        <f t="shared" ref="C20:E20" si="7">C15</f>
        <v>9616.9213175821751</v>
      </c>
      <c r="D20">
        <f t="shared" si="7"/>
        <v>113244.05359147559</v>
      </c>
      <c r="E20">
        <f t="shared" si="7"/>
        <v>12395053.207512364</v>
      </c>
      <c r="H20" s="18">
        <v>2045</v>
      </c>
      <c r="I20" s="12">
        <f t="shared" si="6"/>
        <v>600</v>
      </c>
      <c r="J20" s="12">
        <f t="shared" si="5"/>
        <v>1100</v>
      </c>
      <c r="K20" s="12">
        <f t="shared" si="5"/>
        <v>2000</v>
      </c>
      <c r="L20" s="12">
        <f t="shared" si="5"/>
        <v>2500</v>
      </c>
      <c r="M20" s="12">
        <f t="shared" si="5"/>
        <v>1000</v>
      </c>
      <c r="N20" s="12">
        <f t="shared" si="5"/>
        <v>2500</v>
      </c>
    </row>
    <row r="21" spans="1:14" x14ac:dyDescent="0.25">
      <c r="A21" t="s">
        <v>76</v>
      </c>
      <c r="B21">
        <f>B16+100</f>
        <v>361</v>
      </c>
      <c r="C21">
        <f t="shared" ref="C21:E21" si="8">C16+100</f>
        <v>4598</v>
      </c>
      <c r="D21">
        <f t="shared" si="8"/>
        <v>7199</v>
      </c>
      <c r="E21">
        <f t="shared" si="8"/>
        <v>19028</v>
      </c>
      <c r="H21" s="18">
        <v>2050</v>
      </c>
      <c r="I21" s="12">
        <f>I20+I12</f>
        <v>600</v>
      </c>
      <c r="J21" s="12">
        <f t="shared" ref="J21:N21" si="9">J20+J12</f>
        <v>1100</v>
      </c>
      <c r="K21" s="12">
        <f t="shared" si="9"/>
        <v>2600</v>
      </c>
      <c r="L21" s="12">
        <f t="shared" si="9"/>
        <v>2600</v>
      </c>
      <c r="M21" s="12">
        <f t="shared" si="9"/>
        <v>1100</v>
      </c>
      <c r="N21" s="12">
        <f t="shared" si="9"/>
        <v>2900</v>
      </c>
    </row>
    <row r="22" spans="1:14" x14ac:dyDescent="0.25">
      <c r="A22" t="s">
        <v>74</v>
      </c>
      <c r="B22" s="5">
        <f>B17</f>
        <v>-7.1999999999999995E-2</v>
      </c>
      <c r="C22" s="5">
        <f t="shared" ref="C22:E22" si="10">C17</f>
        <v>-7.8E-2</v>
      </c>
      <c r="D22" s="5">
        <f t="shared" si="10"/>
        <v>-0.45</v>
      </c>
      <c r="E22" s="5">
        <f t="shared" si="10"/>
        <v>-0.82899999999999996</v>
      </c>
      <c r="H22" s="18"/>
      <c r="I22" s="12"/>
      <c r="J22" s="12"/>
      <c r="K22" s="12"/>
      <c r="L22" s="12"/>
      <c r="M22" s="12"/>
      <c r="N22" s="12"/>
    </row>
    <row r="23" spans="1:14" x14ac:dyDescent="0.25">
      <c r="A23" t="s">
        <v>73</v>
      </c>
      <c r="B23">
        <f>B20*(B21^B22)</f>
        <v>2018.3102007173761</v>
      </c>
      <c r="C23">
        <f t="shared" ref="C23:E23" si="11">C20*(C21^C22)</f>
        <v>4981.4489427856479</v>
      </c>
      <c r="D23">
        <f t="shared" si="11"/>
        <v>2080.8603191100246</v>
      </c>
      <c r="E23">
        <f t="shared" si="11"/>
        <v>3512.6225095265308</v>
      </c>
      <c r="H23" s="13" t="s">
        <v>92</v>
      </c>
      <c r="I23" s="13"/>
      <c r="J23" s="13"/>
      <c r="K23" s="13"/>
      <c r="L23" s="13"/>
      <c r="M23" s="13"/>
      <c r="N23" s="13"/>
    </row>
    <row r="24" spans="1:14" x14ac:dyDescent="0.25">
      <c r="H24" s="18" t="s">
        <v>40</v>
      </c>
      <c r="I24" s="12" t="s">
        <v>28</v>
      </c>
      <c r="J24" s="12" t="s">
        <v>81</v>
      </c>
      <c r="K24" s="12" t="s">
        <v>82</v>
      </c>
      <c r="L24" s="12" t="s">
        <v>2</v>
      </c>
      <c r="M24" s="12" t="s">
        <v>3</v>
      </c>
      <c r="N24" s="12" t="s">
        <v>80</v>
      </c>
    </row>
    <row r="25" spans="1:14" x14ac:dyDescent="0.25">
      <c r="H25" s="18">
        <v>2025</v>
      </c>
      <c r="I25" s="12">
        <f>'Baseline Parameters'!G2</f>
        <v>232</v>
      </c>
      <c r="J25" s="12">
        <f>'Baseline Parameters'!B2</f>
        <v>446</v>
      </c>
      <c r="K25" s="12">
        <f>'Baseline Parameters'!C2</f>
        <v>209</v>
      </c>
      <c r="L25" s="12">
        <f>'Baseline Parameters'!E2</f>
        <v>269.98072031209182</v>
      </c>
      <c r="M25" s="12">
        <f>'Baseline Parameters'!F2</f>
        <v>140</v>
      </c>
      <c r="N25" s="12">
        <f>Procurement!J3</f>
        <v>360.50516023732143</v>
      </c>
    </row>
    <row r="26" spans="1:14" x14ac:dyDescent="0.25">
      <c r="H26" s="18">
        <v>2030</v>
      </c>
      <c r="I26" s="12">
        <f>'Baseline Parameters'!G3</f>
        <v>212</v>
      </c>
      <c r="J26" s="12">
        <f>'Baseline Parameters'!B3</f>
        <v>380.16957864810638</v>
      </c>
      <c r="K26" s="12">
        <f>'Baseline Parameters'!C3</f>
        <v>178.15121510639958</v>
      </c>
      <c r="L26" s="12">
        <f>'Baseline Parameters'!E3</f>
        <v>207.95454545454541</v>
      </c>
      <c r="M26" s="12">
        <f>'Baseline Parameters'!F3</f>
        <v>126.10085958575935</v>
      </c>
      <c r="N26" s="12">
        <f>Procurement!J4</f>
        <v>296.81654796345282</v>
      </c>
    </row>
    <row r="27" spans="1:14" x14ac:dyDescent="0.25">
      <c r="H27" s="18">
        <v>2035</v>
      </c>
      <c r="I27" s="12">
        <f>'Baseline Parameters'!G4</f>
        <v>193.72413793103445</v>
      </c>
      <c r="J27" s="12">
        <f>'Baseline Parameters'!B4</f>
        <v>324.05584872080431</v>
      </c>
      <c r="K27" s="12">
        <f>'Baseline Parameters'!C4</f>
        <v>151.85576767409884</v>
      </c>
      <c r="L27" s="12">
        <f>'Baseline Parameters'!E4</f>
        <v>160.17844876188263</v>
      </c>
      <c r="M27" s="12">
        <f>'Baseline Parameters'!F4</f>
        <v>113.58161991619573</v>
      </c>
      <c r="N27" s="12">
        <f>Procurement!J5</f>
        <v>220.8089461332641</v>
      </c>
    </row>
    <row r="28" spans="1:14" x14ac:dyDescent="0.25">
      <c r="H28" s="18">
        <v>2040</v>
      </c>
      <c r="I28" s="12">
        <f>'Baseline Parameters'!G5</f>
        <v>177.02378121284181</v>
      </c>
      <c r="J28" s="12">
        <f>'Baseline Parameters'!B5</f>
        <v>276.22460866960239</v>
      </c>
      <c r="K28" s="12">
        <f>'Baseline Parameters'!C5</f>
        <v>129.4415767084011</v>
      </c>
      <c r="L28" s="12">
        <f>'Baseline Parameters'!E5</f>
        <v>123.37857483077323</v>
      </c>
      <c r="M28" s="12">
        <f>'Baseline Parameters'!F5</f>
        <v>102.30528503268064</v>
      </c>
      <c r="N28" s="12">
        <f>Procurement!J6</f>
        <v>202.50547416626196</v>
      </c>
    </row>
    <row r="29" spans="1:14" x14ac:dyDescent="0.25">
      <c r="H29" s="18">
        <v>2045</v>
      </c>
      <c r="I29" s="12">
        <f>'Baseline Parameters'!G6</f>
        <v>161.7631104186313</v>
      </c>
      <c r="J29" s="12">
        <f>'Baseline Parameters'!B6</f>
        <v>235.45334773578654</v>
      </c>
      <c r="K29" s="12">
        <f>'Baseline Parameters'!C6</f>
        <v>110.33576160712865</v>
      </c>
      <c r="L29" s="12">
        <f>'Baseline Parameters'!E6</f>
        <v>95.033213549856328</v>
      </c>
      <c r="M29" s="12">
        <f>'Baseline Parameters'!F6</f>
        <v>92.14845987705111</v>
      </c>
      <c r="N29" s="12">
        <f>Procurement!J7</f>
        <v>184.65112037257458</v>
      </c>
    </row>
    <row r="30" spans="1:14" x14ac:dyDescent="0.25">
      <c r="H30" s="18">
        <v>2050</v>
      </c>
      <c r="I30" s="12">
        <f>'Baseline Parameters'!G7</f>
        <v>147.8180146928872</v>
      </c>
      <c r="J30" s="12">
        <f>'Baseline Parameters'!B7</f>
        <v>200.70000000000002</v>
      </c>
      <c r="K30" s="12">
        <f>'Baseline Parameters'!C7</f>
        <v>94.05</v>
      </c>
      <c r="L30" s="12">
        <f>'Baseline Parameters'!E7</f>
        <v>73.199999999999989</v>
      </c>
      <c r="M30" s="12">
        <f>'Baseline Parameters'!F7</f>
        <v>83</v>
      </c>
      <c r="N30" s="12">
        <f>Procurement!J8</f>
        <v>172.93379856211703</v>
      </c>
    </row>
    <row r="31" spans="1:14" x14ac:dyDescent="0.25">
      <c r="H31" s="18"/>
      <c r="I31" s="12"/>
      <c r="J31" s="12"/>
      <c r="K31" s="12"/>
      <c r="L31" s="12"/>
      <c r="M31" s="12"/>
      <c r="N31" s="12"/>
    </row>
    <row r="32" spans="1:14" x14ac:dyDescent="0.25">
      <c r="H32" s="13" t="s">
        <v>93</v>
      </c>
      <c r="I32" s="13"/>
      <c r="J32" s="13"/>
      <c r="K32" s="13"/>
      <c r="L32" s="13"/>
      <c r="M32" s="13"/>
      <c r="N32" s="13"/>
    </row>
    <row r="33" spans="8:14" x14ac:dyDescent="0.25">
      <c r="H33" s="18" t="s">
        <v>40</v>
      </c>
      <c r="I33" s="12" t="s">
        <v>28</v>
      </c>
      <c r="J33" s="12" t="s">
        <v>81</v>
      </c>
      <c r="K33" s="12" t="s">
        <v>82</v>
      </c>
      <c r="L33" s="12" t="s">
        <v>2</v>
      </c>
      <c r="M33" s="12" t="s">
        <v>3</v>
      </c>
      <c r="N33" s="12" t="s">
        <v>80</v>
      </c>
    </row>
    <row r="34" spans="8:14" x14ac:dyDescent="0.25">
      <c r="H34" s="18">
        <v>2025</v>
      </c>
      <c r="I34" s="12">
        <f>Q7*I16^I$3</f>
        <v>228.8909241816344</v>
      </c>
      <c r="J34" s="12">
        <f t="shared" ref="J34:N39" si="12">R7*J16^J$3</f>
        <v>446</v>
      </c>
      <c r="K34" s="12">
        <f t="shared" si="12"/>
        <v>206.19915152569649</v>
      </c>
      <c r="L34" s="12">
        <f t="shared" si="12"/>
        <v>254.67919785643252</v>
      </c>
      <c r="M34" s="12">
        <f t="shared" si="12"/>
        <v>138.12383355788282</v>
      </c>
      <c r="N34" s="12">
        <f t="shared" si="12"/>
        <v>345.16068338004146</v>
      </c>
    </row>
    <row r="35" spans="8:14" x14ac:dyDescent="0.25">
      <c r="H35" s="18">
        <v>2030</v>
      </c>
      <c r="I35" s="12">
        <f t="shared" ref="I35:I39" si="13">Q8*I17^I$3</f>
        <v>209.15894795907971</v>
      </c>
      <c r="J35" s="12">
        <f t="shared" si="12"/>
        <v>367.17447515029585</v>
      </c>
      <c r="K35" s="12">
        <f t="shared" si="12"/>
        <v>172.0615814045108</v>
      </c>
      <c r="L35" s="12">
        <f t="shared" si="12"/>
        <v>190.80393155301951</v>
      </c>
      <c r="M35" s="12">
        <f t="shared" si="12"/>
        <v>122.99984732811295</v>
      </c>
      <c r="N35" s="12">
        <f t="shared" si="12"/>
        <v>276.55408770473178</v>
      </c>
    </row>
    <row r="36" spans="8:14" x14ac:dyDescent="0.25">
      <c r="H36" s="18">
        <v>2035</v>
      </c>
      <c r="I36" s="12">
        <f t="shared" si="13"/>
        <v>191.12800416950384</v>
      </c>
      <c r="J36" s="12">
        <f t="shared" si="12"/>
        <v>305.68954522936554</v>
      </c>
      <c r="K36" s="12">
        <f t="shared" si="12"/>
        <v>143.24913666577888</v>
      </c>
      <c r="L36" s="12">
        <f t="shared" si="12"/>
        <v>144.56116653140265</v>
      </c>
      <c r="M36" s="12">
        <f t="shared" si="12"/>
        <v>109.69912907747937</v>
      </c>
      <c r="N36" s="12">
        <f t="shared" si="12"/>
        <v>201.69132781051039</v>
      </c>
    </row>
    <row r="37" spans="8:14" x14ac:dyDescent="0.25">
      <c r="H37" s="18">
        <v>2040</v>
      </c>
      <c r="I37" s="12">
        <f t="shared" si="13"/>
        <v>174.65145208592588</v>
      </c>
      <c r="J37" s="12">
        <f t="shared" si="12"/>
        <v>260.56920539681425</v>
      </c>
      <c r="K37" s="12">
        <f t="shared" si="12"/>
        <v>119.33472084678709</v>
      </c>
      <c r="L37" s="12">
        <f t="shared" si="12"/>
        <v>110.20357158277476</v>
      </c>
      <c r="M37" s="12">
        <f t="shared" si="12"/>
        <v>97.950781264889969</v>
      </c>
      <c r="N37" s="12">
        <f t="shared" si="12"/>
        <v>182.1026727916458</v>
      </c>
    </row>
    <row r="38" spans="8:14" x14ac:dyDescent="0.25">
      <c r="H38" s="18">
        <v>2045</v>
      </c>
      <c r="I38" s="12">
        <f t="shared" si="13"/>
        <v>159.59529242334608</v>
      </c>
      <c r="J38" s="12">
        <f t="shared" si="12"/>
        <v>222.10871081699267</v>
      </c>
      <c r="K38" s="12">
        <f t="shared" si="12"/>
        <v>99.578105115554848</v>
      </c>
      <c r="L38" s="12">
        <f t="shared" si="12"/>
        <v>84.362926134929509</v>
      </c>
      <c r="M38" s="12">
        <f t="shared" si="12"/>
        <v>87.541072164529638</v>
      </c>
      <c r="N38" s="12">
        <f t="shared" si="12"/>
        <v>163.91857380000212</v>
      </c>
    </row>
    <row r="39" spans="8:14" x14ac:dyDescent="0.25">
      <c r="H39" s="18">
        <v>2050</v>
      </c>
      <c r="I39" s="12">
        <f t="shared" si="13"/>
        <v>145.83707755926449</v>
      </c>
      <c r="J39" s="12">
        <f t="shared" si="12"/>
        <v>189.32505606585244</v>
      </c>
      <c r="K39" s="12">
        <f t="shared" si="12"/>
        <v>83.24814259608965</v>
      </c>
      <c r="L39" s="12">
        <f t="shared" si="12"/>
        <v>64.792812738264345</v>
      </c>
      <c r="M39" s="12">
        <f t="shared" si="12"/>
        <v>78.295862747711766</v>
      </c>
      <c r="N39" s="12">
        <f t="shared" si="12"/>
        <v>151.84000504571642</v>
      </c>
    </row>
    <row r="40" spans="8:14" x14ac:dyDescent="0.25">
      <c r="H40" s="18"/>
      <c r="I40" s="12"/>
      <c r="J40" s="12"/>
      <c r="K40" s="12"/>
      <c r="L40" s="12"/>
      <c r="M40" s="12"/>
      <c r="N40" s="12"/>
    </row>
    <row r="41" spans="8:14" x14ac:dyDescent="0.25">
      <c r="H41" s="13" t="s">
        <v>94</v>
      </c>
      <c r="I41" s="13"/>
      <c r="J41" s="13"/>
      <c r="K41" s="13"/>
      <c r="L41" s="13"/>
      <c r="M41" s="13"/>
      <c r="N41" s="13"/>
    </row>
    <row r="42" spans="8:14" x14ac:dyDescent="0.25">
      <c r="H42" s="18" t="s">
        <v>40</v>
      </c>
      <c r="I42" s="12" t="s">
        <v>28</v>
      </c>
      <c r="J42" s="12" t="s">
        <v>81</v>
      </c>
      <c r="K42" s="12" t="s">
        <v>82</v>
      </c>
      <c r="L42" s="12" t="s">
        <v>2</v>
      </c>
      <c r="M42" s="12" t="s">
        <v>3</v>
      </c>
      <c r="N42" s="12" t="s">
        <v>80</v>
      </c>
    </row>
    <row r="43" spans="8:14" x14ac:dyDescent="0.25">
      <c r="H43" s="18">
        <v>2025</v>
      </c>
      <c r="I43" s="12">
        <f>I25-I34</f>
        <v>3.1090758183655964</v>
      </c>
      <c r="J43" s="12">
        <f t="shared" ref="J43:N43" si="14">J25-J34</f>
        <v>0</v>
      </c>
      <c r="K43" s="12">
        <f t="shared" si="14"/>
        <v>2.8008484743035069</v>
      </c>
      <c r="L43" s="12">
        <f t="shared" si="14"/>
        <v>15.301522455659295</v>
      </c>
      <c r="M43" s="12">
        <f t="shared" si="14"/>
        <v>1.8761664421171815</v>
      </c>
      <c r="N43" s="12">
        <f t="shared" si="14"/>
        <v>15.344476857279972</v>
      </c>
    </row>
    <row r="44" spans="8:14" x14ac:dyDescent="0.25">
      <c r="H44" s="18">
        <v>2030</v>
      </c>
      <c r="I44" s="12">
        <f t="shared" ref="I44:N48" si="15">I26-I35</f>
        <v>2.8410520409202888</v>
      </c>
      <c r="J44" s="12">
        <f t="shared" si="15"/>
        <v>12.995103497810533</v>
      </c>
      <c r="K44" s="12">
        <f t="shared" si="15"/>
        <v>6.0896337018887721</v>
      </c>
      <c r="L44" s="12">
        <f t="shared" si="15"/>
        <v>17.150613901525901</v>
      </c>
      <c r="M44" s="12">
        <f t="shared" si="15"/>
        <v>3.1010122576464028</v>
      </c>
      <c r="N44" s="12">
        <f t="shared" si="15"/>
        <v>20.262460258721035</v>
      </c>
    </row>
    <row r="45" spans="8:14" x14ac:dyDescent="0.25">
      <c r="H45" s="18">
        <v>2035</v>
      </c>
      <c r="I45" s="12">
        <f t="shared" si="15"/>
        <v>2.5961337615306093</v>
      </c>
      <c r="J45" s="12">
        <f t="shared" si="15"/>
        <v>18.366303491438771</v>
      </c>
      <c r="K45" s="12">
        <f t="shared" si="15"/>
        <v>8.6066310083199653</v>
      </c>
      <c r="L45" s="12">
        <f t="shared" si="15"/>
        <v>15.617282230479987</v>
      </c>
      <c r="M45" s="12">
        <f t="shared" si="15"/>
        <v>3.8824908387163646</v>
      </c>
      <c r="N45" s="12">
        <f t="shared" si="15"/>
        <v>19.117618322753714</v>
      </c>
    </row>
    <row r="46" spans="8:14" x14ac:dyDescent="0.25">
      <c r="H46" s="18">
        <v>2040</v>
      </c>
      <c r="I46" s="12">
        <f t="shared" si="15"/>
        <v>2.372329126915929</v>
      </c>
      <c r="J46" s="12">
        <f t="shared" si="15"/>
        <v>15.655403272788135</v>
      </c>
      <c r="K46" s="12">
        <f t="shared" si="15"/>
        <v>10.106855861614008</v>
      </c>
      <c r="L46" s="12">
        <f t="shared" si="15"/>
        <v>13.175003247998475</v>
      </c>
      <c r="M46" s="12">
        <f t="shared" si="15"/>
        <v>4.3545037677906748</v>
      </c>
      <c r="N46" s="12">
        <f t="shared" si="15"/>
        <v>20.402801374616161</v>
      </c>
    </row>
    <row r="47" spans="8:14" x14ac:dyDescent="0.25">
      <c r="H47" s="18">
        <v>2045</v>
      </c>
      <c r="I47" s="12">
        <f t="shared" si="15"/>
        <v>2.167817995285219</v>
      </c>
      <c r="J47" s="12">
        <f t="shared" si="15"/>
        <v>13.344636918793867</v>
      </c>
      <c r="K47" s="12">
        <f t="shared" si="15"/>
        <v>10.757656491573798</v>
      </c>
      <c r="L47" s="12">
        <f t="shared" si="15"/>
        <v>10.670287414926818</v>
      </c>
      <c r="M47" s="12">
        <f t="shared" si="15"/>
        <v>4.6073877125214722</v>
      </c>
      <c r="N47" s="12">
        <f t="shared" si="15"/>
        <v>20.73254657257246</v>
      </c>
    </row>
    <row r="48" spans="8:14" x14ac:dyDescent="0.25">
      <c r="H48" s="18">
        <v>2050</v>
      </c>
      <c r="I48" s="12">
        <f t="shared" si="15"/>
        <v>1.9809371336227173</v>
      </c>
      <c r="J48" s="12">
        <f t="shared" si="15"/>
        <v>11.374943934147581</v>
      </c>
      <c r="K48" s="12">
        <f t="shared" si="15"/>
        <v>10.801857403910347</v>
      </c>
      <c r="L48" s="12">
        <f t="shared" si="15"/>
        <v>8.4071872617356433</v>
      </c>
      <c r="M48" s="12">
        <f t="shared" si="15"/>
        <v>4.7041372522882341</v>
      </c>
      <c r="N48" s="12">
        <f t="shared" si="15"/>
        <v>21.093793516400609</v>
      </c>
    </row>
  </sheetData>
  <mergeCells count="6">
    <mergeCell ref="H41:N41"/>
    <mergeCell ref="H5:N5"/>
    <mergeCell ref="H23:N23"/>
    <mergeCell ref="H32:N32"/>
    <mergeCell ref="H14:N14"/>
    <mergeCell ref="P5:V5"/>
  </mergeCells>
  <phoneticPr fontId="3" type="noConversion"/>
  <conditionalFormatting sqref="I43:N48">
    <cfRule type="colorScale" priority="1">
      <colorScale>
        <cfvo type="min"/>
        <cfvo type="max"/>
        <color rgb="FFFCFCFF"/>
        <color rgb="FF63BE7B"/>
      </colorScale>
    </cfRule>
  </conditionalFormatting>
  <hyperlinks>
    <hyperlink ref="D3" r:id="rId1" xr:uid="{24FFCE81-5015-4DFC-9C15-040909BF294A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D47325-8713-4C29-9B32-6AF71A8D6F7B}">
  <dimension ref="A1:H35"/>
  <sheetViews>
    <sheetView workbookViewId="0">
      <selection activeCell="B4" sqref="B4"/>
    </sheetView>
  </sheetViews>
  <sheetFormatPr defaultRowHeight="15" x14ac:dyDescent="0.25"/>
  <sheetData>
    <row r="1" spans="1:8" x14ac:dyDescent="0.25">
      <c r="A1" t="s">
        <v>0</v>
      </c>
      <c r="B1" t="s">
        <v>9</v>
      </c>
      <c r="C1" t="s">
        <v>8</v>
      </c>
      <c r="D1" t="s">
        <v>38</v>
      </c>
      <c r="E1" t="s">
        <v>39</v>
      </c>
      <c r="F1" t="s">
        <v>3</v>
      </c>
      <c r="G1" t="s">
        <v>28</v>
      </c>
    </row>
    <row r="2" spans="1:8" x14ac:dyDescent="0.25">
      <c r="A2">
        <v>2025</v>
      </c>
      <c r="B2">
        <f>(1-B14)*(1-B22)*B$10*EXP(B$11*($A2-$A$2+B30))</f>
        <v>446.00000000000006</v>
      </c>
      <c r="C2">
        <f t="shared" ref="C2:G2" si="0">(1-C14)*(1-C22)*C$10*EXP(C$11*($A2-$A$2+C30))</f>
        <v>208.99999999999997</v>
      </c>
      <c r="D2">
        <f>(1-D14)*(1-D22)*D$10*EXP(D$11*($A2-$A$3+D30))</f>
        <v>316.03815554156989</v>
      </c>
      <c r="E2">
        <f>(1-E14)*(1-E22)*E$10*EXP(E$11*($A2-$A$3+E30))</f>
        <v>269.98072031209182</v>
      </c>
      <c r="F2">
        <f t="shared" si="0"/>
        <v>139.99999999999994</v>
      </c>
      <c r="G2">
        <f t="shared" si="0"/>
        <v>231.99999999999997</v>
      </c>
    </row>
    <row r="3" spans="1:8" x14ac:dyDescent="0.25">
      <c r="A3">
        <v>2030</v>
      </c>
      <c r="B3">
        <f>(1-B15)*(1-B23)*B$10*EXP(B$11*($A3-$A$2+B31))</f>
        <v>323.85932014785305</v>
      </c>
      <c r="C3">
        <f t="shared" ref="B3:G7" si="1">(1-C15)*(1-C23)*C$10*EXP(C$11*($A3-$A$2+C31))</f>
        <v>151.76367244596696</v>
      </c>
      <c r="D3">
        <f t="shared" ref="D3:E7" si="2">(1-D15)*(1-D23)*D$10*EXP(D$11*($A3-$A$3+D31))</f>
        <v>230.55794999999995</v>
      </c>
      <c r="E3">
        <f t="shared" si="2"/>
        <v>180.92669318181808</v>
      </c>
      <c r="F3">
        <f t="shared" si="1"/>
        <v>109.7115308653982</v>
      </c>
      <c r="G3">
        <f t="shared" si="1"/>
        <v>184.44635999999997</v>
      </c>
    </row>
    <row r="4" spans="1:8" x14ac:dyDescent="0.25">
      <c r="A4">
        <v>2035</v>
      </c>
      <c r="B4">
        <f t="shared" si="1"/>
        <v>231.91484742105459</v>
      </c>
      <c r="C4">
        <f t="shared" si="1"/>
        <v>108.67758545067353</v>
      </c>
      <c r="D4">
        <f t="shared" si="2"/>
        <v>165.92430717784811</v>
      </c>
      <c r="E4">
        <f t="shared" si="2"/>
        <v>119.608451259473</v>
      </c>
      <c r="F4">
        <f t="shared" si="1"/>
        <v>84.813667223821682</v>
      </c>
      <c r="G4">
        <f t="shared" si="1"/>
        <v>144.65768827586206</v>
      </c>
    </row>
    <row r="5" spans="1:8" x14ac:dyDescent="0.25">
      <c r="A5">
        <v>2040</v>
      </c>
      <c r="B5">
        <f t="shared" si="1"/>
        <v>186.57431874175384</v>
      </c>
      <c r="C5">
        <f t="shared" si="1"/>
        <v>87.43056640588911</v>
      </c>
      <c r="D5">
        <f t="shared" si="2"/>
        <v>134.15012486017295</v>
      </c>
      <c r="E5">
        <f t="shared" si="2"/>
        <v>88.832573878156737</v>
      </c>
      <c r="F5">
        <f t="shared" si="1"/>
        <v>73.659805223530071</v>
      </c>
      <c r="G5">
        <f t="shared" si="1"/>
        <v>127.45712247324612</v>
      </c>
    </row>
    <row r="6" spans="1:8" x14ac:dyDescent="0.25">
      <c r="A6">
        <v>2045</v>
      </c>
      <c r="B6">
        <f t="shared" si="1"/>
        <v>159.03560570091938</v>
      </c>
      <c r="C6">
        <f t="shared" si="1"/>
        <v>74.52565379258327</v>
      </c>
      <c r="D6">
        <f t="shared" si="2"/>
        <v>112.48573143653158</v>
      </c>
      <c r="E6">
        <f t="shared" si="2"/>
        <v>68.423913755896564</v>
      </c>
      <c r="F6">
        <f t="shared" si="1"/>
        <v>66.346891111476808</v>
      </c>
      <c r="G6">
        <f t="shared" si="1"/>
        <v>116.46943950141454</v>
      </c>
    </row>
    <row r="7" spans="1:8" x14ac:dyDescent="0.25">
      <c r="A7">
        <v>2050</v>
      </c>
      <c r="B7">
        <f t="shared" si="1"/>
        <v>135.56165742010066</v>
      </c>
      <c r="C7">
        <f t="shared" si="1"/>
        <v>63.525530046639084</v>
      </c>
      <c r="D7">
        <f t="shared" si="2"/>
        <v>94.319999999999965</v>
      </c>
      <c r="E7">
        <f t="shared" si="2"/>
        <v>52.703999999999972</v>
      </c>
      <c r="F7">
        <f t="shared" si="1"/>
        <v>59.760000000000026</v>
      </c>
      <c r="G7">
        <f t="shared" si="1"/>
        <v>106.42897057887879</v>
      </c>
    </row>
    <row r="10" spans="1:8" x14ac:dyDescent="0.25">
      <c r="A10" t="s">
        <v>13</v>
      </c>
      <c r="B10">
        <f>'Baseline Parameters'!B13</f>
        <v>446.00000000000006</v>
      </c>
      <c r="C10">
        <f>'Baseline Parameters'!C13</f>
        <v>208.99999999999997</v>
      </c>
      <c r="D10">
        <f>'Baseline Parameters'!D13</f>
        <v>264.99999999999994</v>
      </c>
      <c r="E10">
        <f>'Baseline Parameters'!E13</f>
        <v>207.95454545454535</v>
      </c>
      <c r="F10">
        <f>'Baseline Parameters'!F13</f>
        <v>139.99999999999994</v>
      </c>
      <c r="G10">
        <f>'Baseline Parameters'!G13</f>
        <v>231.99999999999997</v>
      </c>
    </row>
    <row r="11" spans="1:8" x14ac:dyDescent="0.25">
      <c r="A11" t="s">
        <v>14</v>
      </c>
      <c r="B11">
        <f>'Baseline Parameters'!B14</f>
        <v>-3.1940307848710853E-2</v>
      </c>
      <c r="C11">
        <f>'Baseline Parameters'!C14</f>
        <v>-3.1940307848710853E-2</v>
      </c>
      <c r="D11">
        <f>'Baseline Parameters'!D14</f>
        <v>-3.5226625139253544E-2</v>
      </c>
      <c r="E11">
        <f>'Baseline Parameters'!E14</f>
        <v>-5.2206205169202005E-2</v>
      </c>
      <c r="F11">
        <f>'Baseline Parameters'!F14</f>
        <v>-2.0912072592508223E-2</v>
      </c>
      <c r="G11">
        <f>'Baseline Parameters'!G14</f>
        <v>-1.8030219398859515E-2</v>
      </c>
    </row>
    <row r="13" spans="1:8" x14ac:dyDescent="0.25">
      <c r="A13" t="s">
        <v>31</v>
      </c>
      <c r="B13" t="s">
        <v>9</v>
      </c>
      <c r="C13" t="s">
        <v>8</v>
      </c>
      <c r="D13" t="s">
        <v>2</v>
      </c>
      <c r="E13" t="s">
        <v>2</v>
      </c>
      <c r="F13" t="s">
        <v>3</v>
      </c>
      <c r="G13" t="s">
        <v>28</v>
      </c>
      <c r="H13" t="s">
        <v>7</v>
      </c>
    </row>
    <row r="14" spans="1:8" x14ac:dyDescent="0.25">
      <c r="A14">
        <v>2025</v>
      </c>
      <c r="B14" s="6">
        <v>0</v>
      </c>
      <c r="C14" s="6">
        <v>0</v>
      </c>
      <c r="D14" s="6">
        <v>0</v>
      </c>
      <c r="E14" s="6">
        <v>0</v>
      </c>
      <c r="F14" s="6">
        <v>0</v>
      </c>
      <c r="G14" s="6">
        <v>0</v>
      </c>
      <c r="H14" t="s">
        <v>33</v>
      </c>
    </row>
    <row r="15" spans="1:8" x14ac:dyDescent="0.25">
      <c r="A15">
        <v>2030</v>
      </c>
      <c r="B15" s="6">
        <v>3.3300000000000003E-2</v>
      </c>
      <c r="C15" s="6">
        <v>3.3300000000000003E-2</v>
      </c>
      <c r="D15" s="6">
        <v>3.3300000000000003E-2</v>
      </c>
      <c r="E15" s="6">
        <v>3.3300000000000003E-2</v>
      </c>
      <c r="F15" s="6">
        <v>3.3300000000000003E-2</v>
      </c>
      <c r="G15" s="6">
        <v>3.3300000000000003E-2</v>
      </c>
      <c r="H15" t="s">
        <v>33</v>
      </c>
    </row>
    <row r="16" spans="1:8" x14ac:dyDescent="0.25">
      <c r="A16">
        <v>2035</v>
      </c>
      <c r="B16" s="6">
        <v>6.6600000000000006E-2</v>
      </c>
      <c r="C16" s="6">
        <v>6.6600000000000006E-2</v>
      </c>
      <c r="D16" s="6">
        <v>6.6600000000000006E-2</v>
      </c>
      <c r="E16" s="6">
        <v>6.6600000000000006E-2</v>
      </c>
      <c r="F16" s="6">
        <v>6.6600000000000006E-2</v>
      </c>
      <c r="G16" s="6">
        <v>6.6600000000000006E-2</v>
      </c>
      <c r="H16" t="s">
        <v>33</v>
      </c>
    </row>
    <row r="17" spans="1:8" x14ac:dyDescent="0.25">
      <c r="A17">
        <v>2040</v>
      </c>
      <c r="B17" s="6">
        <v>0.1</v>
      </c>
      <c r="C17" s="6">
        <v>0.1</v>
      </c>
      <c r="D17" s="6">
        <v>0.1</v>
      </c>
      <c r="E17" s="6">
        <v>0.1</v>
      </c>
      <c r="F17" s="6">
        <v>0.1</v>
      </c>
      <c r="G17" s="6">
        <v>0.1</v>
      </c>
      <c r="H17" t="s">
        <v>33</v>
      </c>
    </row>
    <row r="18" spans="1:8" x14ac:dyDescent="0.25">
      <c r="A18">
        <v>2045</v>
      </c>
      <c r="B18" s="6">
        <v>0.1</v>
      </c>
      <c r="C18" s="6">
        <v>0.1</v>
      </c>
      <c r="D18" s="6">
        <v>0.1</v>
      </c>
      <c r="E18" s="6">
        <v>0.1</v>
      </c>
      <c r="F18" s="6">
        <v>0.1</v>
      </c>
      <c r="G18" s="6">
        <v>0.1</v>
      </c>
      <c r="H18" t="s">
        <v>33</v>
      </c>
    </row>
    <row r="19" spans="1:8" x14ac:dyDescent="0.25">
      <c r="A19">
        <v>2050</v>
      </c>
      <c r="B19" s="6">
        <v>0.1</v>
      </c>
      <c r="C19" s="6">
        <v>0.1</v>
      </c>
      <c r="D19" s="6">
        <v>0.1</v>
      </c>
      <c r="E19" s="6">
        <v>0.1</v>
      </c>
      <c r="F19" s="6">
        <v>0.1</v>
      </c>
      <c r="G19" s="6">
        <v>0.1</v>
      </c>
      <c r="H19" t="s">
        <v>33</v>
      </c>
    </row>
    <row r="21" spans="1:8" x14ac:dyDescent="0.25">
      <c r="A21" t="s">
        <v>32</v>
      </c>
      <c r="B21" t="s">
        <v>9</v>
      </c>
      <c r="C21" t="s">
        <v>8</v>
      </c>
      <c r="D21" t="s">
        <v>2</v>
      </c>
      <c r="E21" t="s">
        <v>2</v>
      </c>
      <c r="F21" t="s">
        <v>3</v>
      </c>
      <c r="G21" t="s">
        <v>28</v>
      </c>
      <c r="H21" t="s">
        <v>7</v>
      </c>
    </row>
    <row r="22" spans="1:8" x14ac:dyDescent="0.25">
      <c r="A22">
        <v>2025</v>
      </c>
      <c r="B22" s="1">
        <v>0</v>
      </c>
      <c r="C22" s="1">
        <v>0</v>
      </c>
      <c r="D22" s="1">
        <v>0</v>
      </c>
      <c r="E22" s="1">
        <v>0</v>
      </c>
      <c r="F22" s="1">
        <v>0</v>
      </c>
      <c r="G22" s="1">
        <v>0</v>
      </c>
      <c r="H22" t="s">
        <v>33</v>
      </c>
    </row>
    <row r="23" spans="1:8" x14ac:dyDescent="0.25">
      <c r="A23">
        <v>2030</v>
      </c>
      <c r="B23" s="1">
        <v>0.1</v>
      </c>
      <c r="C23" s="1">
        <v>0.1</v>
      </c>
      <c r="D23" s="1">
        <v>0.1</v>
      </c>
      <c r="E23" s="1">
        <v>0.1</v>
      </c>
      <c r="F23" s="1">
        <v>0.1</v>
      </c>
      <c r="G23" s="1">
        <v>0.1</v>
      </c>
      <c r="H23" t="s">
        <v>33</v>
      </c>
    </row>
    <row r="24" spans="1:8" x14ac:dyDescent="0.25">
      <c r="A24">
        <v>2035</v>
      </c>
      <c r="B24" s="1">
        <v>0.2</v>
      </c>
      <c r="C24" s="1">
        <v>0.2</v>
      </c>
      <c r="D24" s="1">
        <v>0.2</v>
      </c>
      <c r="E24" s="1">
        <v>0.2</v>
      </c>
      <c r="F24" s="1">
        <v>0.2</v>
      </c>
      <c r="G24" s="1">
        <v>0.2</v>
      </c>
      <c r="H24" t="s">
        <v>33</v>
      </c>
    </row>
    <row r="25" spans="1:8" x14ac:dyDescent="0.25">
      <c r="A25">
        <v>2040</v>
      </c>
      <c r="B25" s="1">
        <v>0.2</v>
      </c>
      <c r="C25" s="1">
        <v>0.2</v>
      </c>
      <c r="D25" s="1">
        <v>0.2</v>
      </c>
      <c r="E25" s="1">
        <v>0.2</v>
      </c>
      <c r="F25" s="1">
        <v>0.2</v>
      </c>
      <c r="G25" s="1">
        <v>0.2</v>
      </c>
      <c r="H25" t="s">
        <v>33</v>
      </c>
    </row>
    <row r="26" spans="1:8" x14ac:dyDescent="0.25">
      <c r="A26">
        <v>2045</v>
      </c>
      <c r="B26" s="1">
        <v>0.2</v>
      </c>
      <c r="C26" s="1">
        <v>0.2</v>
      </c>
      <c r="D26" s="1">
        <v>0.2</v>
      </c>
      <c r="E26" s="1">
        <v>0.2</v>
      </c>
      <c r="F26" s="1">
        <v>0.2</v>
      </c>
      <c r="G26" s="1">
        <v>0.2</v>
      </c>
      <c r="H26" t="s">
        <v>33</v>
      </c>
    </row>
    <row r="27" spans="1:8" x14ac:dyDescent="0.25">
      <c r="A27">
        <v>2050</v>
      </c>
      <c r="B27" s="1">
        <v>0.2</v>
      </c>
      <c r="C27" s="1">
        <v>0.2</v>
      </c>
      <c r="D27" s="1">
        <v>0.2</v>
      </c>
      <c r="E27" s="1">
        <v>0.2</v>
      </c>
      <c r="F27" s="1">
        <v>0.2</v>
      </c>
      <c r="G27" s="1">
        <v>0.2</v>
      </c>
      <c r="H27" t="s">
        <v>33</v>
      </c>
    </row>
    <row r="29" spans="1:8" x14ac:dyDescent="0.25">
      <c r="A29" t="s">
        <v>34</v>
      </c>
      <c r="B29" t="s">
        <v>9</v>
      </c>
      <c r="C29" t="s">
        <v>8</v>
      </c>
      <c r="D29" t="s">
        <v>2</v>
      </c>
      <c r="E29" t="s">
        <v>2</v>
      </c>
      <c r="F29" t="s">
        <v>3</v>
      </c>
      <c r="G29" t="s">
        <v>28</v>
      </c>
      <c r="H29" t="s">
        <v>7</v>
      </c>
    </row>
    <row r="30" spans="1:8" x14ac:dyDescent="0.25">
      <c r="A30">
        <v>2025</v>
      </c>
      <c r="B30" s="5">
        <v>0</v>
      </c>
      <c r="C30" s="5">
        <v>0</v>
      </c>
      <c r="D30" s="5">
        <v>0</v>
      </c>
      <c r="E30" s="5">
        <v>0</v>
      </c>
      <c r="F30" s="5">
        <v>0</v>
      </c>
      <c r="G30" s="5">
        <v>0</v>
      </c>
      <c r="H30" t="s">
        <v>35</v>
      </c>
    </row>
    <row r="31" spans="1:8" x14ac:dyDescent="0.25">
      <c r="A31">
        <v>2030</v>
      </c>
      <c r="B31" s="5">
        <v>0.66</v>
      </c>
      <c r="C31" s="5">
        <v>0.66</v>
      </c>
      <c r="D31" s="5">
        <v>0</v>
      </c>
      <c r="E31" s="5">
        <v>0</v>
      </c>
      <c r="F31" s="5">
        <v>0</v>
      </c>
      <c r="G31" s="5">
        <v>0</v>
      </c>
      <c r="H31" t="s">
        <v>35</v>
      </c>
    </row>
    <row r="32" spans="1:8" x14ac:dyDescent="0.25">
      <c r="A32">
        <v>2035</v>
      </c>
      <c r="B32" s="5">
        <v>1.33</v>
      </c>
      <c r="C32" s="5">
        <v>1.33</v>
      </c>
      <c r="D32" s="5">
        <v>0</v>
      </c>
      <c r="E32" s="5">
        <v>0</v>
      </c>
      <c r="F32" s="5">
        <v>0</v>
      </c>
      <c r="G32" s="5">
        <v>0</v>
      </c>
      <c r="H32" t="s">
        <v>35</v>
      </c>
    </row>
    <row r="33" spans="1:8" x14ac:dyDescent="0.25">
      <c r="A33">
        <v>2040</v>
      </c>
      <c r="B33" s="5">
        <v>2</v>
      </c>
      <c r="C33" s="5">
        <v>2</v>
      </c>
      <c r="D33" s="5">
        <v>0</v>
      </c>
      <c r="E33" s="5">
        <v>0</v>
      </c>
      <c r="F33" s="5">
        <v>0</v>
      </c>
      <c r="G33" s="5">
        <v>0</v>
      </c>
      <c r="H33" t="s">
        <v>35</v>
      </c>
    </row>
    <row r="34" spans="1:8" x14ac:dyDescent="0.25">
      <c r="A34">
        <v>2045</v>
      </c>
      <c r="B34" s="5">
        <v>2</v>
      </c>
      <c r="C34" s="5">
        <v>2</v>
      </c>
      <c r="D34" s="5">
        <v>0</v>
      </c>
      <c r="E34" s="5">
        <v>0</v>
      </c>
      <c r="F34" s="5">
        <v>0</v>
      </c>
      <c r="G34" s="5">
        <v>0</v>
      </c>
      <c r="H34" t="s">
        <v>35</v>
      </c>
    </row>
    <row r="35" spans="1:8" x14ac:dyDescent="0.25">
      <c r="A35">
        <v>2050</v>
      </c>
      <c r="B35" s="5">
        <v>2</v>
      </c>
      <c r="C35" s="5">
        <v>2</v>
      </c>
      <c r="D35" s="5">
        <v>0</v>
      </c>
      <c r="E35" s="5">
        <v>0</v>
      </c>
      <c r="F35" s="5">
        <v>0</v>
      </c>
      <c r="G35" s="5">
        <v>0</v>
      </c>
      <c r="H35" t="s">
        <v>35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6D7DDB-ECAA-4988-BB02-23E7116C40BF}">
  <dimension ref="A1:L20"/>
  <sheetViews>
    <sheetView workbookViewId="0">
      <selection activeCell="H15" sqref="H15"/>
    </sheetView>
  </sheetViews>
  <sheetFormatPr defaultRowHeight="15" x14ac:dyDescent="0.25"/>
  <sheetData>
    <row r="1" spans="1:12" x14ac:dyDescent="0.25">
      <c r="A1" t="s">
        <v>0</v>
      </c>
      <c r="B1" t="s">
        <v>9</v>
      </c>
      <c r="C1" t="s">
        <v>8</v>
      </c>
      <c r="D1" t="s">
        <v>2</v>
      </c>
      <c r="E1" t="s">
        <v>3</v>
      </c>
      <c r="F1" t="s">
        <v>28</v>
      </c>
      <c r="G1" t="s">
        <v>28</v>
      </c>
      <c r="I1" t="s">
        <v>22</v>
      </c>
      <c r="J1" t="s">
        <v>23</v>
      </c>
      <c r="K1" t="s">
        <v>24</v>
      </c>
      <c r="L1" t="s">
        <v>36</v>
      </c>
    </row>
    <row r="2" spans="1:12" x14ac:dyDescent="0.25">
      <c r="A2">
        <v>2025</v>
      </c>
      <c r="B2">
        <v>446</v>
      </c>
      <c r="C2">
        <v>209</v>
      </c>
      <c r="D2">
        <f>D$13*EXP(D$14*($A2-$A$3))</f>
        <v>316.03815554156989</v>
      </c>
      <c r="E2">
        <v>140</v>
      </c>
      <c r="F2">
        <v>301</v>
      </c>
      <c r="G2">
        <f>F2/6.1/1000*44/12</f>
        <v>0.18092896174863385</v>
      </c>
      <c r="I2">
        <v>13.5</v>
      </c>
      <c r="J2">
        <v>13.5</v>
      </c>
      <c r="K2">
        <v>13.5</v>
      </c>
      <c r="L2">
        <v>13.5</v>
      </c>
    </row>
    <row r="3" spans="1:12" x14ac:dyDescent="0.25">
      <c r="A3">
        <v>2030</v>
      </c>
      <c r="B3">
        <f t="shared" ref="B3:C6" si="0">B$13*EXP(B$14*($A3-$A$2))</f>
        <v>380.16957864810638</v>
      </c>
      <c r="C3">
        <f t="shared" si="0"/>
        <v>178.15121510639958</v>
      </c>
      <c r="D3">
        <v>265</v>
      </c>
      <c r="E3">
        <f>E$13*EXP(E$14*($A3-$A$2))</f>
        <v>126.10085958575935</v>
      </c>
      <c r="F3">
        <v>265</v>
      </c>
      <c r="G3">
        <f t="shared" ref="G3:G7" si="1">F3/6.1/1000*44/12</f>
        <v>0.1592896174863388</v>
      </c>
      <c r="I3">
        <f t="shared" ref="I3:L6" si="2">I$13*EXP(I$14*($A3-$A$2))</f>
        <v>20.149627171231938</v>
      </c>
      <c r="J3">
        <f t="shared" si="2"/>
        <v>27.801038275533536</v>
      </c>
      <c r="K3">
        <f t="shared" si="2"/>
        <v>34.63261353326736</v>
      </c>
      <c r="L3">
        <f t="shared" si="2"/>
        <v>38.046022739216987</v>
      </c>
    </row>
    <row r="4" spans="1:12" x14ac:dyDescent="0.25">
      <c r="A4">
        <v>2035</v>
      </c>
      <c r="B4">
        <f t="shared" si="0"/>
        <v>324.05584872080431</v>
      </c>
      <c r="C4">
        <f t="shared" si="0"/>
        <v>151.85576767409884</v>
      </c>
      <c r="D4">
        <f>D$13*EXP(D$14*($A4-$A$3))</f>
        <v>222.20418252872307</v>
      </c>
      <c r="E4">
        <f>E$13*EXP(E$14*($A4-$A$2))</f>
        <v>113.58161991619573</v>
      </c>
      <c r="F4">
        <f>F$13*EXP(F$14*($A4-$A$2))</f>
        <v>233.30564784053155</v>
      </c>
      <c r="G4">
        <f t="shared" si="1"/>
        <v>0.1402383675544179</v>
      </c>
      <c r="I4">
        <f t="shared" si="2"/>
        <v>30.074627788122108</v>
      </c>
      <c r="J4">
        <f t="shared" si="2"/>
        <v>57.251683644272632</v>
      </c>
      <c r="K4">
        <f t="shared" si="2"/>
        <v>88.845771862566906</v>
      </c>
      <c r="L4">
        <f t="shared" si="2"/>
        <v>107.22221083503824</v>
      </c>
    </row>
    <row r="5" spans="1:12" x14ac:dyDescent="0.25">
      <c r="A5">
        <v>2040</v>
      </c>
      <c r="B5">
        <f t="shared" si="0"/>
        <v>276.22460866960239</v>
      </c>
      <c r="C5">
        <f t="shared" si="0"/>
        <v>129.4415767084011</v>
      </c>
      <c r="D5">
        <f>D$13*EXP(D$14*($A5-$A$3))</f>
        <v>186.3196178613513</v>
      </c>
      <c r="E5">
        <f>E$13*EXP(E$14*($A5-$A$2))</f>
        <v>102.30528503268064</v>
      </c>
      <c r="F5">
        <f>F$13*EXP(F$14*($A5-$A$2))</f>
        <v>205.40198231807599</v>
      </c>
      <c r="G5">
        <f t="shared" si="1"/>
        <v>0.12346567243163038</v>
      </c>
      <c r="I5">
        <f t="shared" si="2"/>
        <v>44.888336092165353</v>
      </c>
      <c r="J5">
        <f t="shared" si="2"/>
        <v>117.90046283949337</v>
      </c>
      <c r="K5">
        <f t="shared" si="2"/>
        <v>227.9230578504532</v>
      </c>
      <c r="L5">
        <f t="shared" si="2"/>
        <v>302.17619789473957</v>
      </c>
    </row>
    <row r="6" spans="1:12" x14ac:dyDescent="0.25">
      <c r="A6">
        <v>2045</v>
      </c>
      <c r="B6">
        <f t="shared" si="0"/>
        <v>235.45334773578654</v>
      </c>
      <c r="C6">
        <f t="shared" si="0"/>
        <v>110.33576160712865</v>
      </c>
      <c r="D6">
        <f>D$13*EXP(D$14*($A6-$A$3))</f>
        <v>156.23018255073828</v>
      </c>
      <c r="E6">
        <f>E$13*EXP(E$14*($A6-$A$2))</f>
        <v>92.14845987705111</v>
      </c>
      <c r="F6">
        <f>F$13*EXP(F$14*($A6-$A$2))</f>
        <v>180.83563227338919</v>
      </c>
      <c r="G6">
        <f t="shared" si="1"/>
        <v>0.1086990139348241</v>
      </c>
      <c r="I6">
        <f t="shared" si="2"/>
        <v>66.998758266228606</v>
      </c>
      <c r="J6">
        <f t="shared" si="2"/>
        <v>242.79668741510181</v>
      </c>
      <c r="K6">
        <f t="shared" si="2"/>
        <v>584.70897613742852</v>
      </c>
      <c r="L6">
        <f t="shared" si="2"/>
        <v>851.60018491506594</v>
      </c>
    </row>
    <row r="7" spans="1:12" x14ac:dyDescent="0.25">
      <c r="A7">
        <v>2050</v>
      </c>
      <c r="B7">
        <f>B2*B17</f>
        <v>200.70000000000002</v>
      </c>
      <c r="C7">
        <f>C2*C17</f>
        <v>94.05</v>
      </c>
      <c r="D7">
        <v>131</v>
      </c>
      <c r="E7">
        <v>83</v>
      </c>
      <c r="F7">
        <f>F$13*EXP(F$14*($A7-$A$2))</f>
        <v>159.20745034035926</v>
      </c>
      <c r="G7">
        <f t="shared" si="1"/>
        <v>9.5698467417702285E-2</v>
      </c>
      <c r="I7">
        <v>100</v>
      </c>
      <c r="J7">
        <v>500</v>
      </c>
      <c r="K7">
        <v>1500</v>
      </c>
      <c r="L7">
        <v>2400</v>
      </c>
    </row>
    <row r="8" spans="1:12" x14ac:dyDescent="0.25">
      <c r="A8" t="s">
        <v>5</v>
      </c>
      <c r="B8" t="s">
        <v>6</v>
      </c>
      <c r="C8" t="s">
        <v>6</v>
      </c>
      <c r="D8" t="s">
        <v>18</v>
      </c>
      <c r="E8" t="s">
        <v>20</v>
      </c>
      <c r="F8" s="3" t="s">
        <v>17</v>
      </c>
      <c r="I8" s="4" t="s">
        <v>25</v>
      </c>
      <c r="J8" s="4" t="s">
        <v>25</v>
      </c>
      <c r="K8" s="4" t="s">
        <v>25</v>
      </c>
      <c r="L8" s="4" t="s">
        <v>25</v>
      </c>
    </row>
    <row r="9" spans="1:12" x14ac:dyDescent="0.25">
      <c r="A9" t="s">
        <v>1</v>
      </c>
      <c r="B9" s="2" t="s">
        <v>12</v>
      </c>
      <c r="C9" s="2" t="s">
        <v>12</v>
      </c>
      <c r="D9">
        <v>432</v>
      </c>
      <c r="E9">
        <v>8</v>
      </c>
      <c r="F9">
        <v>4</v>
      </c>
    </row>
    <row r="10" spans="1:12" x14ac:dyDescent="0.25">
      <c r="A10" t="s">
        <v>15</v>
      </c>
      <c r="B10" t="s">
        <v>16</v>
      </c>
      <c r="C10" t="s">
        <v>16</v>
      </c>
      <c r="D10" t="s">
        <v>19</v>
      </c>
      <c r="E10" t="s">
        <v>21</v>
      </c>
    </row>
    <row r="11" spans="1:12" x14ac:dyDescent="0.25">
      <c r="A11" t="s">
        <v>7</v>
      </c>
      <c r="B11" t="s">
        <v>26</v>
      </c>
      <c r="C11" t="s">
        <v>26</v>
      </c>
      <c r="D11" t="s">
        <v>26</v>
      </c>
      <c r="E11" t="s">
        <v>26</v>
      </c>
      <c r="F11" t="s">
        <v>26</v>
      </c>
      <c r="G11" t="s">
        <v>27</v>
      </c>
      <c r="I11" t="s">
        <v>29</v>
      </c>
      <c r="J11" t="s">
        <v>29</v>
      </c>
      <c r="K11" t="s">
        <v>29</v>
      </c>
    </row>
    <row r="13" spans="1:12" x14ac:dyDescent="0.25">
      <c r="A13" t="s">
        <v>13</v>
      </c>
      <c r="B13">
        <f>EXP(LN(B2)-B14*0)</f>
        <v>446.00000000000006</v>
      </c>
      <c r="C13">
        <f>EXP(LN(C2)-C14*0)</f>
        <v>208.99999999999997</v>
      </c>
      <c r="D13">
        <f>EXP(LN(D3)-D14*0)</f>
        <v>264.99999999999994</v>
      </c>
      <c r="E13">
        <f t="shared" ref="E13:F13" si="3">EXP(LN(E2)-E14*0)</f>
        <v>139.99999999999994</v>
      </c>
      <c r="F13">
        <f t="shared" si="3"/>
        <v>300.99999999999989</v>
      </c>
      <c r="I13">
        <f t="shared" ref="I13:L13" si="4">EXP(LN(I2)-I14*0)</f>
        <v>13.5</v>
      </c>
      <c r="J13">
        <f t="shared" si="4"/>
        <v>13.5</v>
      </c>
      <c r="K13">
        <f t="shared" si="4"/>
        <v>13.5</v>
      </c>
      <c r="L13">
        <f t="shared" si="4"/>
        <v>13.5</v>
      </c>
    </row>
    <row r="14" spans="1:12" x14ac:dyDescent="0.25">
      <c r="A14" t="s">
        <v>14</v>
      </c>
      <c r="B14">
        <f>(LN(B2)-LN(B7))/($A2-$A7)</f>
        <v>-3.1940307848710853E-2</v>
      </c>
      <c r="C14">
        <f>(LN(C2)-LN(C7))/($A2-$A7)</f>
        <v>-3.1940307848710853E-2</v>
      </c>
      <c r="D14">
        <f>(LN(D3)-LN(D7))/($A3-$A7)</f>
        <v>-3.5226625139253544E-2</v>
      </c>
      <c r="E14">
        <f>(LN(E2)-LN(E7))/($A2-$A7)</f>
        <v>-2.0912072592508223E-2</v>
      </c>
      <c r="F14">
        <f>(LN(F2)-LN(F3))/($A2-$A3)</f>
        <v>-2.5476087752530675E-2</v>
      </c>
      <c r="I14">
        <f>(LN(I2)-LN(I7))/($A2-$A7)</f>
        <v>8.0099220021748324E-2</v>
      </c>
      <c r="J14">
        <f t="shared" ref="J14:L14" si="5">(LN(J2)-LN(J7))/($A2-$A7)</f>
        <v>0.1444767365191123</v>
      </c>
      <c r="K14">
        <f t="shared" si="5"/>
        <v>0.18842122806583672</v>
      </c>
      <c r="L14">
        <f t="shared" si="5"/>
        <v>0.20722137323566614</v>
      </c>
    </row>
    <row r="17" spans="1:11" x14ac:dyDescent="0.25">
      <c r="A17" t="s">
        <v>10</v>
      </c>
      <c r="B17" s="1">
        <v>0.45</v>
      </c>
      <c r="C17" s="1">
        <v>0.45</v>
      </c>
      <c r="H17" t="s">
        <v>30</v>
      </c>
      <c r="I17" t="s">
        <v>4</v>
      </c>
      <c r="J17" t="s">
        <v>4</v>
      </c>
      <c r="K17" t="s">
        <v>4</v>
      </c>
    </row>
    <row r="18" spans="1:11" x14ac:dyDescent="0.25">
      <c r="A18" t="s">
        <v>11</v>
      </c>
      <c r="B18">
        <v>25</v>
      </c>
      <c r="C18">
        <v>25</v>
      </c>
      <c r="H18" t="s">
        <v>1</v>
      </c>
      <c r="I18">
        <v>42</v>
      </c>
      <c r="J18">
        <v>42</v>
      </c>
      <c r="K18">
        <v>42</v>
      </c>
    </row>
    <row r="19" spans="1:11" x14ac:dyDescent="0.25">
      <c r="A19" t="s">
        <v>5</v>
      </c>
      <c r="B19" t="s">
        <v>4</v>
      </c>
      <c r="C19" t="s">
        <v>4</v>
      </c>
    </row>
    <row r="20" spans="1:11" x14ac:dyDescent="0.25">
      <c r="A20" t="s">
        <v>1</v>
      </c>
      <c r="B20">
        <v>44</v>
      </c>
      <c r="C20">
        <v>44</v>
      </c>
    </row>
  </sheetData>
  <hyperlinks>
    <hyperlink ref="F8" r:id="rId1" display="https://info.opisnet.com/hubfs/CDR Price Survey White Paper-Email.pdf" xr:uid="{A8AC4E09-B357-43EA-99AB-751470BD001F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95A587-BA09-4421-98D4-BDAFBA104359}">
  <dimension ref="A1:L20"/>
  <sheetViews>
    <sheetView workbookViewId="0">
      <selection activeCell="I37" sqref="I37"/>
    </sheetView>
  </sheetViews>
  <sheetFormatPr defaultRowHeight="15" x14ac:dyDescent="0.25"/>
  <sheetData>
    <row r="1" spans="1:12" x14ac:dyDescent="0.25">
      <c r="A1" s="4" t="s">
        <v>47</v>
      </c>
      <c r="B1" t="s">
        <v>41</v>
      </c>
      <c r="C1" t="s">
        <v>42</v>
      </c>
      <c r="D1" t="s">
        <v>45</v>
      </c>
      <c r="I1" t="s">
        <v>46</v>
      </c>
    </row>
    <row r="2" spans="1:12" x14ac:dyDescent="0.25">
      <c r="A2" t="s">
        <v>40</v>
      </c>
      <c r="B2" t="s">
        <v>44</v>
      </c>
      <c r="C2" t="s">
        <v>44</v>
      </c>
      <c r="D2" t="s">
        <v>44</v>
      </c>
      <c r="I2" t="s">
        <v>40</v>
      </c>
      <c r="J2" t="s">
        <v>53</v>
      </c>
      <c r="K2" t="s">
        <v>48</v>
      </c>
      <c r="L2" t="s">
        <v>51</v>
      </c>
    </row>
    <row r="3" spans="1:12" x14ac:dyDescent="0.25">
      <c r="A3">
        <v>2025</v>
      </c>
      <c r="B3">
        <v>0.05</v>
      </c>
      <c r="C3">
        <f>K3/$J3</f>
        <v>9.1538218144439369</v>
      </c>
      <c r="D3">
        <f>L3/$J3</f>
        <v>0</v>
      </c>
      <c r="I3">
        <f>A3</f>
        <v>2025</v>
      </c>
      <c r="J3">
        <v>360.50516023732143</v>
      </c>
      <c r="K3">
        <v>3300</v>
      </c>
      <c r="L3">
        <v>0</v>
      </c>
    </row>
    <row r="4" spans="1:12" x14ac:dyDescent="0.25">
      <c r="A4">
        <v>2030</v>
      </c>
      <c r="B4">
        <v>5</v>
      </c>
      <c r="C4">
        <f t="shared" ref="C4:C8" si="0">K4/$J4</f>
        <v>11.117978504373452</v>
      </c>
      <c r="D4">
        <f t="shared" ref="D4:D8" si="1">L4/$J4</f>
        <v>67.381687905293646</v>
      </c>
      <c r="I4">
        <f t="shared" ref="I4:I8" si="2">A4</f>
        <v>2030</v>
      </c>
      <c r="J4">
        <v>296.81654796345282</v>
      </c>
      <c r="K4">
        <v>3300</v>
      </c>
      <c r="L4">
        <v>20000</v>
      </c>
    </row>
    <row r="5" spans="1:12" x14ac:dyDescent="0.25">
      <c r="A5">
        <v>2035</v>
      </c>
      <c r="B5">
        <v>10</v>
      </c>
      <c r="C5">
        <f t="shared" si="0"/>
        <v>14.945046646834507</v>
      </c>
      <c r="D5">
        <f t="shared" si="1"/>
        <v>158.50807049672963</v>
      </c>
      <c r="I5">
        <f t="shared" si="2"/>
        <v>2035</v>
      </c>
      <c r="J5">
        <v>220.8089461332641</v>
      </c>
      <c r="K5">
        <v>3300</v>
      </c>
      <c r="L5">
        <f>(L4+L6)/2</f>
        <v>35000</v>
      </c>
    </row>
    <row r="6" spans="1:12" x14ac:dyDescent="0.25">
      <c r="A6">
        <v>2040</v>
      </c>
      <c r="B6">
        <v>0</v>
      </c>
      <c r="C6">
        <f t="shared" si="0"/>
        <v>0</v>
      </c>
      <c r="D6">
        <f t="shared" si="1"/>
        <v>246.90690563233255</v>
      </c>
      <c r="I6">
        <f t="shared" si="2"/>
        <v>2040</v>
      </c>
      <c r="J6">
        <v>202.50547416626196</v>
      </c>
      <c r="K6">
        <v>0</v>
      </c>
      <c r="L6">
        <v>50000</v>
      </c>
    </row>
    <row r="7" spans="1:12" x14ac:dyDescent="0.25">
      <c r="A7">
        <v>2045</v>
      </c>
      <c r="B7">
        <v>0</v>
      </c>
      <c r="C7">
        <f t="shared" si="0"/>
        <v>0</v>
      </c>
      <c r="D7">
        <f t="shared" si="1"/>
        <v>406.1713779405772</v>
      </c>
      <c r="I7">
        <f t="shared" si="2"/>
        <v>2045</v>
      </c>
      <c r="J7">
        <v>184.65112037257458</v>
      </c>
      <c r="K7">
        <v>0</v>
      </c>
      <c r="L7">
        <f>(L6+L8)/2</f>
        <v>75000</v>
      </c>
    </row>
    <row r="8" spans="1:12" x14ac:dyDescent="0.25">
      <c r="A8">
        <v>2050</v>
      </c>
      <c r="B8">
        <v>0</v>
      </c>
      <c r="C8">
        <f t="shared" si="0"/>
        <v>0</v>
      </c>
      <c r="D8">
        <f t="shared" si="1"/>
        <v>578.25596171173243</v>
      </c>
      <c r="I8">
        <f t="shared" si="2"/>
        <v>2050</v>
      </c>
      <c r="J8">
        <v>172.93379856211703</v>
      </c>
      <c r="K8">
        <v>0</v>
      </c>
      <c r="L8">
        <v>100000</v>
      </c>
    </row>
    <row r="9" spans="1:12" x14ac:dyDescent="0.25">
      <c r="A9" t="s">
        <v>5</v>
      </c>
      <c r="B9" t="s">
        <v>43</v>
      </c>
      <c r="J9" t="s">
        <v>52</v>
      </c>
      <c r="K9" t="s">
        <v>50</v>
      </c>
      <c r="L9" t="s">
        <v>49</v>
      </c>
    </row>
    <row r="12" spans="1:12" x14ac:dyDescent="0.25">
      <c r="A12" s="4" t="s">
        <v>54</v>
      </c>
      <c r="B12" t="s">
        <v>41</v>
      </c>
      <c r="C12" t="s">
        <v>42</v>
      </c>
      <c r="D12" t="s">
        <v>45</v>
      </c>
      <c r="I12" t="s">
        <v>46</v>
      </c>
    </row>
    <row r="13" spans="1:12" x14ac:dyDescent="0.25">
      <c r="A13" t="s">
        <v>40</v>
      </c>
      <c r="B13" t="s">
        <v>44</v>
      </c>
      <c r="C13" t="s">
        <v>44</v>
      </c>
      <c r="D13" t="s">
        <v>44</v>
      </c>
      <c r="I13" t="s">
        <v>40</v>
      </c>
      <c r="J13" t="s">
        <v>53</v>
      </c>
      <c r="K13" t="s">
        <v>48</v>
      </c>
      <c r="L13" t="s">
        <v>51</v>
      </c>
    </row>
    <row r="14" spans="1:12" x14ac:dyDescent="0.25">
      <c r="A14">
        <v>2025</v>
      </c>
      <c r="B14">
        <v>0.05</v>
      </c>
      <c r="C14">
        <f>K14/$J14</f>
        <v>9.1527704871198079</v>
      </c>
      <c r="D14">
        <f>L14/$J14</f>
        <v>0</v>
      </c>
      <c r="I14">
        <f>A14</f>
        <v>2025</v>
      </c>
      <c r="J14">
        <v>360.54656943970235</v>
      </c>
      <c r="K14">
        <v>3300</v>
      </c>
      <c r="L14">
        <v>0</v>
      </c>
    </row>
    <row r="15" spans="1:12" x14ac:dyDescent="0.25">
      <c r="A15">
        <v>2030</v>
      </c>
      <c r="B15">
        <v>5</v>
      </c>
      <c r="C15">
        <f t="shared" ref="C15:C19" si="3">K15/$J15</f>
        <v>11.123317675046577</v>
      </c>
      <c r="D15">
        <f t="shared" ref="D15:D19" si="4">L15/$J15</f>
        <v>67.41404651543381</v>
      </c>
      <c r="I15">
        <f t="shared" ref="I15:I19" si="5">A15</f>
        <v>2030</v>
      </c>
      <c r="J15">
        <v>296.67407660243612</v>
      </c>
      <c r="K15">
        <v>3300</v>
      </c>
      <c r="L15">
        <v>20000</v>
      </c>
    </row>
    <row r="16" spans="1:12" x14ac:dyDescent="0.25">
      <c r="A16">
        <v>2035</v>
      </c>
      <c r="B16">
        <v>10</v>
      </c>
      <c r="C16">
        <f t="shared" si="3"/>
        <v>14.849857137390348</v>
      </c>
      <c r="D16">
        <f t="shared" si="4"/>
        <v>157.49848479050368</v>
      </c>
      <c r="I16">
        <f t="shared" si="5"/>
        <v>2035</v>
      </c>
      <c r="J16">
        <v>222.22436010451264</v>
      </c>
      <c r="K16">
        <v>3300</v>
      </c>
      <c r="L16">
        <f>(L15+L17)/2</f>
        <v>35000</v>
      </c>
    </row>
    <row r="17" spans="1:12" x14ac:dyDescent="0.25">
      <c r="A17">
        <v>2040</v>
      </c>
      <c r="B17">
        <v>0</v>
      </c>
      <c r="C17">
        <f t="shared" si="3"/>
        <v>0</v>
      </c>
      <c r="D17">
        <f t="shared" si="4"/>
        <v>243.06758416564975</v>
      </c>
      <c r="I17">
        <f t="shared" si="5"/>
        <v>2040</v>
      </c>
      <c r="J17">
        <v>205.70410559527826</v>
      </c>
      <c r="K17">
        <v>0</v>
      </c>
      <c r="L17">
        <v>50000</v>
      </c>
    </row>
    <row r="18" spans="1:12" x14ac:dyDescent="0.25">
      <c r="A18">
        <v>2045</v>
      </c>
      <c r="B18">
        <v>0</v>
      </c>
      <c r="C18">
        <f t="shared" si="3"/>
        <v>0</v>
      </c>
      <c r="D18">
        <f t="shared" si="4"/>
        <v>380.4751980809001</v>
      </c>
      <c r="I18">
        <f t="shared" si="5"/>
        <v>2045</v>
      </c>
      <c r="J18">
        <v>197.12191590489118</v>
      </c>
      <c r="K18">
        <v>0</v>
      </c>
      <c r="L18">
        <f>(L17+L19)/2</f>
        <v>75000</v>
      </c>
    </row>
    <row r="19" spans="1:12" x14ac:dyDescent="0.25">
      <c r="A19">
        <v>2050</v>
      </c>
      <c r="B19">
        <v>0</v>
      </c>
      <c r="C19">
        <f t="shared" si="3"/>
        <v>0</v>
      </c>
      <c r="D19">
        <f t="shared" si="4"/>
        <v>474.18677475115379</v>
      </c>
      <c r="I19">
        <f t="shared" si="5"/>
        <v>2050</v>
      </c>
      <c r="J19">
        <v>210.88736617017318</v>
      </c>
      <c r="K19">
        <v>0</v>
      </c>
      <c r="L19">
        <v>100000</v>
      </c>
    </row>
    <row r="20" spans="1:12" x14ac:dyDescent="0.25">
      <c r="A20" t="s">
        <v>5</v>
      </c>
      <c r="B20" t="s">
        <v>43</v>
      </c>
      <c r="J20" t="s">
        <v>52</v>
      </c>
      <c r="K20" t="s">
        <v>50</v>
      </c>
      <c r="L20" t="s">
        <v>49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Baseline Parameters</vt:lpstr>
      <vt:lpstr>Learning Rates</vt:lpstr>
      <vt:lpstr>S2</vt:lpstr>
      <vt:lpstr>verify-2025</vt:lpstr>
      <vt:lpstr>Procurement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Preuss</dc:creator>
  <cp:lastModifiedBy>Nathan Preuss</cp:lastModifiedBy>
  <dcterms:created xsi:type="dcterms:W3CDTF">2025-08-22T16:57:01Z</dcterms:created>
  <dcterms:modified xsi:type="dcterms:W3CDTF">2025-10-16T15:30:53Z</dcterms:modified>
</cp:coreProperties>
</file>