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229FFDA1-3331-4511-8F39-78EE870C31CF}" xr6:coauthVersionLast="47" xr6:coauthVersionMax="47" xr10:uidLastSave="{00000000-0000-0000-0000-000000000000}"/>
  <bookViews>
    <workbookView xWindow="-120" yWindow="-120" windowWidth="29040" windowHeight="17520" xr2:uid="{48B2FD56-5343-48F4-B77F-7F263F6787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3" i="1" s="1"/>
  <c r="K14" i="1"/>
  <c r="K13" i="1" s="1"/>
  <c r="I14" i="1"/>
  <c r="I13" i="1" s="1"/>
  <c r="I3" i="1" s="1"/>
  <c r="D14" i="1"/>
  <c r="G3" i="1"/>
  <c r="F14" i="1"/>
  <c r="F13" i="1" s="1"/>
  <c r="E14" i="1"/>
  <c r="E13" i="1" s="1"/>
  <c r="G2" i="1"/>
  <c r="C7" i="1"/>
  <c r="C14" i="1" s="1"/>
  <c r="C13" i="1" s="1"/>
  <c r="B7" i="1"/>
  <c r="B14" i="1" s="1"/>
  <c r="B13" i="1" s="1"/>
  <c r="B4" i="1" s="1"/>
  <c r="F7" i="1" l="1"/>
  <c r="G7" i="1" s="1"/>
  <c r="F6" i="1"/>
  <c r="G6" i="1" s="1"/>
  <c r="F5" i="1"/>
  <c r="G5" i="1" s="1"/>
  <c r="F4" i="1"/>
  <c r="G4" i="1" s="1"/>
  <c r="I4" i="1"/>
  <c r="K3" i="1"/>
  <c r="K4" i="1"/>
  <c r="K5" i="1"/>
  <c r="K6" i="1"/>
  <c r="J3" i="1"/>
  <c r="J6" i="1"/>
  <c r="J4" i="1"/>
  <c r="J5" i="1"/>
  <c r="I6" i="1"/>
  <c r="I5" i="1"/>
  <c r="E3" i="1"/>
  <c r="E4" i="1"/>
  <c r="E6" i="1"/>
  <c r="E5" i="1"/>
  <c r="C3" i="1"/>
  <c r="C5" i="1"/>
  <c r="C6" i="1"/>
  <c r="C4" i="1"/>
  <c r="B3" i="1"/>
  <c r="B5" i="1"/>
  <c r="B6" i="1"/>
  <c r="D13" i="1"/>
  <c r="D2" i="1" l="1"/>
  <c r="D6" i="1"/>
  <c r="D5" i="1"/>
  <c r="D4" i="1"/>
</calcChain>
</file>

<file path=xl/sharedStrings.xml><?xml version="1.0" encoding="utf-8"?>
<sst xmlns="http://schemas.openxmlformats.org/spreadsheetml/2006/main" count="50" uniqueCount="31">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</sst>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16</xdr:row>
      <xdr:rowOff>0</xdr:rowOff>
    </xdr:from>
    <xdr:to>
      <xdr:col>25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Z24"/>
  <sheetViews>
    <sheetView tabSelected="1" workbookViewId="0">
      <selection activeCell="L18" sqref="L18"/>
    </sheetView>
  </sheetViews>
  <sheetFormatPr defaultRowHeight="15" x14ac:dyDescent="0.25"/>
  <cols>
    <col min="2" max="2" width="11" bestFit="1" customWidth="1"/>
  </cols>
  <sheetData>
    <row r="1" spans="1:11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</row>
    <row r="2" spans="1:11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232</v>
      </c>
      <c r="G2">
        <f>F2/6.1/1000*44/12</f>
        <v>0.13945355191256831</v>
      </c>
      <c r="I2">
        <v>13.5</v>
      </c>
      <c r="J2">
        <v>13.5</v>
      </c>
      <c r="K2">
        <v>13.5</v>
      </c>
    </row>
    <row r="3" spans="1:11" x14ac:dyDescent="0.25">
      <c r="A3">
        <v>2030</v>
      </c>
      <c r="B3">
        <f>B$13*EXP(B$14*($A3-$A$2))</f>
        <v>380.16957864810638</v>
      </c>
      <c r="C3">
        <f>C$13*EXP(C$14*($A3-$A$2))</f>
        <v>178.15121510639958</v>
      </c>
      <c r="D3">
        <v>265</v>
      </c>
      <c r="E3">
        <f>E$13*EXP(E$14*($A3-$A$2))</f>
        <v>126.10085958575935</v>
      </c>
      <c r="F3">
        <v>212</v>
      </c>
      <c r="G3">
        <f t="shared" ref="G3:G7" si="0">F3/6.1/1000*44/12</f>
        <v>0.12743169398907103</v>
      </c>
      <c r="I3">
        <f>I$13*EXP(I$14*($A3-$A$2))</f>
        <v>20.149627171231938</v>
      </c>
      <c r="J3">
        <f>J$13*EXP(J$14*($A3-$A$2))</f>
        <v>27.801038275533536</v>
      </c>
      <c r="K3">
        <f>K$13*EXP(K$14*($A3-$A$2))</f>
        <v>34.63261353326736</v>
      </c>
    </row>
    <row r="4" spans="1:11" x14ac:dyDescent="0.25">
      <c r="A4">
        <v>2035</v>
      </c>
      <c r="B4">
        <f>B$13*EXP(B$14*($A4-$A$2))</f>
        <v>324.05584872080431</v>
      </c>
      <c r="C4">
        <f>C$13*EXP(C$14*($A4-$A$2))</f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193.72413793103445</v>
      </c>
      <c r="G4">
        <f t="shared" si="0"/>
        <v>0.1164462031279442</v>
      </c>
      <c r="I4">
        <f>I$13*EXP(I$14*($A4-$A$2))</f>
        <v>30.074627788122108</v>
      </c>
      <c r="J4">
        <f>J$13*EXP(J$14*($A4-$A$2))</f>
        <v>57.251683644272632</v>
      </c>
      <c r="K4">
        <f>K$13*EXP(K$14*($A4-$A$2))</f>
        <v>88.845771862566906</v>
      </c>
    </row>
    <row r="5" spans="1:11" x14ac:dyDescent="0.25">
      <c r="A5">
        <v>2040</v>
      </c>
      <c r="B5">
        <f>B$13*EXP(B$14*($A5-$A$2))</f>
        <v>276.22460866960239</v>
      </c>
      <c r="C5">
        <f>C$13*EXP(C$14*($A5-$A$2))</f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177.02378121284181</v>
      </c>
      <c r="G5">
        <f t="shared" si="0"/>
        <v>0.10640773734105245</v>
      </c>
      <c r="I5">
        <f>I$13*EXP(I$14*($A5-$A$2))</f>
        <v>44.888336092165353</v>
      </c>
      <c r="J5">
        <f>J$13*EXP(J$14*($A5-$A$2))</f>
        <v>117.90046283949337</v>
      </c>
      <c r="K5">
        <f>K$13*EXP(K$14*($A5-$A$2))</f>
        <v>227.9230578504532</v>
      </c>
    </row>
    <row r="6" spans="1:11" x14ac:dyDescent="0.25">
      <c r="A6">
        <v>2045</v>
      </c>
      <c r="B6">
        <f>B$13*EXP(B$14*($A6-$A$2))</f>
        <v>235.45334773578654</v>
      </c>
      <c r="C6">
        <f>C$13*EXP(C$14*($A6-$A$2))</f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161.7631104186313</v>
      </c>
      <c r="G6">
        <f t="shared" si="0"/>
        <v>9.7234656535789318E-2</v>
      </c>
      <c r="I6">
        <f>I$13*EXP(I$14*($A6-$A$2))</f>
        <v>66.998758266228606</v>
      </c>
      <c r="J6">
        <f>J$13*EXP(J$14*($A6-$A$2))</f>
        <v>242.79668741510181</v>
      </c>
      <c r="K6">
        <f>K$13*EXP(K$14*($A6-$A$2))</f>
        <v>584.70897613742852</v>
      </c>
    </row>
    <row r="7" spans="1:11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147.8180146928872</v>
      </c>
      <c r="G7">
        <f t="shared" si="0"/>
        <v>8.8852358558566089E-2</v>
      </c>
      <c r="I7">
        <v>100</v>
      </c>
      <c r="J7">
        <v>500</v>
      </c>
      <c r="K7">
        <v>1500</v>
      </c>
    </row>
    <row r="8" spans="1:11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</row>
    <row r="9" spans="1:11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1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1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1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D13:F13" si="1">EXP(LN(E2)-E14*0)</f>
        <v>139.99999999999994</v>
      </c>
      <c r="F13">
        <f t="shared" si="1"/>
        <v>231.99999999999997</v>
      </c>
      <c r="I13">
        <f t="shared" ref="I13" si="2">EXP(LN(I2)-I14*0)</f>
        <v>13.5</v>
      </c>
      <c r="J13">
        <f t="shared" ref="J13" si="3">EXP(LN(J2)-J14*0)</f>
        <v>13.5</v>
      </c>
      <c r="K13">
        <f t="shared" ref="K13" si="4">EXP(LN(K2)-K14*0)</f>
        <v>13.5</v>
      </c>
    </row>
    <row r="14" spans="1:11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-1.8030219398859515E-2</v>
      </c>
      <c r="I14">
        <f>(LN(I2)-LN(I7))/($A2-$A7)</f>
        <v>8.0099220021748324E-2</v>
      </c>
      <c r="J14">
        <f t="shared" ref="J14:K14" si="5">(LN(J2)-LN(J7))/($A2-$A7)</f>
        <v>0.1444767365191123</v>
      </c>
      <c r="K14">
        <f t="shared" si="5"/>
        <v>0.18842122806583672</v>
      </c>
    </row>
    <row r="17" spans="1:26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26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26" x14ac:dyDescent="0.25">
      <c r="A19" t="s">
        <v>5</v>
      </c>
      <c r="B19" t="s">
        <v>4</v>
      </c>
      <c r="C19" t="s">
        <v>4</v>
      </c>
    </row>
    <row r="20" spans="1:26" x14ac:dyDescent="0.25">
      <c r="A20" t="s">
        <v>1</v>
      </c>
      <c r="B20">
        <v>44</v>
      </c>
      <c r="C20">
        <v>44</v>
      </c>
    </row>
    <row r="23" spans="1:26" x14ac:dyDescent="0.25">
      <c r="T23" s="2"/>
      <c r="Z23" s="1"/>
    </row>
    <row r="24" spans="1:26" x14ac:dyDescent="0.25">
      <c r="T24" s="2"/>
      <c r="Z24" s="1"/>
    </row>
  </sheetData>
  <phoneticPr fontId="3" type="noConversion"/>
  <hyperlinks>
    <hyperlink ref="F8" r:id="rId1" display="https://info.opisnet.com/hubfs/CDR Price Survey White Paper-Email.pdf" xr:uid="{CC158B7C-E4A0-48D9-9303-73D590522FC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2025-08-22T17:55:08Z</dcterms:modified>
</cp:coreProperties>
</file>