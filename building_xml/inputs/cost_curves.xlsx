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B0C271B9-6B57-49A1-928F-677B3088BB4A}" xr6:coauthVersionLast="47" xr6:coauthVersionMax="47" xr10:uidLastSave="{00000000-0000-0000-0000-000000000000}"/>
  <bookViews>
    <workbookView xWindow="-105" yWindow="0" windowWidth="14610" windowHeight="17385" xr2:uid="{48B2FD56-5343-48F4-B77F-7F263F678783}"/>
  </bookViews>
  <sheets>
    <sheet name="Baseline Parameters" sheetId="1" r:id="rId1"/>
    <sheet name="S2" sheetId="2" r:id="rId2"/>
    <sheet name="verify-2025" sheetId="3" r:id="rId3"/>
    <sheet name="Procuremen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B3" i="2"/>
  <c r="E11" i="2"/>
  <c r="D11" i="2"/>
  <c r="D13" i="1"/>
  <c r="D10" i="2" s="1"/>
  <c r="D3" i="2" s="1"/>
  <c r="E10" i="2"/>
  <c r="E3" i="1"/>
  <c r="E14" i="1" s="1"/>
  <c r="E13" i="1" s="1"/>
  <c r="E7" i="1"/>
  <c r="D2" i="2" l="1"/>
  <c r="D6" i="2"/>
  <c r="D5" i="2"/>
  <c r="D4" i="2"/>
  <c r="D7" i="2"/>
  <c r="E2" i="1"/>
  <c r="E4" i="1"/>
  <c r="E5" i="1"/>
  <c r="E6" i="1"/>
  <c r="L14" i="3" l="1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C5" i="2" s="1"/>
  <c r="F10" i="2"/>
  <c r="G10" i="2"/>
  <c r="C11" i="2"/>
  <c r="F11" i="2"/>
  <c r="F5" i="2" s="1"/>
  <c r="G11" i="2"/>
  <c r="G4" i="2" s="1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G5" i="2" l="1"/>
  <c r="F7" i="2"/>
  <c r="C3" i="2"/>
  <c r="C2" i="2"/>
  <c r="F4" i="2"/>
  <c r="C4" i="2"/>
  <c r="G2" i="2"/>
  <c r="G7" i="2"/>
  <c r="G6" i="2"/>
  <c r="M4" i="1"/>
  <c r="F2" i="2"/>
  <c r="F6" i="2"/>
  <c r="M3" i="1"/>
  <c r="C7" i="2"/>
  <c r="B10" i="2"/>
  <c r="C6" i="2"/>
  <c r="G3" i="2"/>
  <c r="F3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E4" i="2" l="1"/>
  <c r="B4" i="2"/>
  <c r="B6" i="2"/>
  <c r="B7" i="2"/>
  <c r="B2" i="2"/>
  <c r="B5" i="2"/>
  <c r="E2" i="2"/>
  <c r="E7" i="2"/>
  <c r="E6" i="2"/>
  <c r="E3" i="2"/>
  <c r="E5" i="2"/>
</calcChain>
</file>

<file path=xl/sharedStrings.xml><?xml version="1.0" encoding="utf-8"?>
<sst xmlns="http://schemas.openxmlformats.org/spreadsheetml/2006/main" count="195" uniqueCount="55">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</sst>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'S2'!$B$1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'S2'!$C$1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'S2'!$D$1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'S2'!$E$1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'S2'!$F$1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'S2'!$G$1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'S2'!$A$2:$A$7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'S2'!$G$2:$G$7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'S2'!$A$1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'S2'!$A$2:$A$7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</xdr:col>
      <xdr:colOff>542925</xdr:colOff>
      <xdr:row>5</xdr:row>
      <xdr:rowOff>128587</xdr:rowOff>
    </xdr:from>
    <xdr:to>
      <xdr:col>21</xdr:col>
      <xdr:colOff>238125</xdr:colOff>
      <xdr:row>20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195262</xdr:colOff>
      <xdr:row>1</xdr:row>
      <xdr:rowOff>176212</xdr:rowOff>
    </xdr:from>
    <xdr:to>
      <xdr:col>17</xdr:col>
      <xdr:colOff>500062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tabSelected="1" workbookViewId="0">
      <selection activeCell="E10" sqref="E10"/>
    </sheetView>
  </sheetViews>
  <sheetFormatPr defaultRowHeight="15" x14ac:dyDescent="0.25"/>
  <cols>
    <col min="2" max="2" width="11" bestFit="1" customWidth="1"/>
  </cols>
  <sheetData>
    <row r="1" spans="1:13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</row>
    <row r="2" spans="1:13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</row>
    <row r="3" spans="1:13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M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</row>
    <row r="4" spans="1:13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</row>
    <row r="5" spans="1:13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</row>
    <row r="6" spans="1:13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</row>
    <row r="7" spans="1:13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</row>
    <row r="8" spans="1:13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</row>
    <row r="9" spans="1:13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3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3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3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</row>
    <row r="14" spans="1:13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8">(LN(K2)-LN(K7))/($A2-$A7)</f>
        <v>0.1444767365191123</v>
      </c>
      <c r="L14">
        <f t="shared" si="8"/>
        <v>0.18842122806583672</v>
      </c>
      <c r="M14">
        <f t="shared" ref="M14" si="9">(LN(M2)-LN(M7))/($A2-$A7)</f>
        <v>0.20722137323566614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H35"/>
  <sheetViews>
    <sheetView workbookViewId="0">
      <selection activeCell="B4" sqref="B4"/>
    </sheetView>
  </sheetViews>
  <sheetFormatPr defaultRowHeight="15" x14ac:dyDescent="0.25"/>
  <sheetData>
    <row r="1" spans="1:8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</row>
    <row r="2" spans="1:8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</row>
    <row r="3" spans="1:8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</row>
    <row r="4" spans="1:8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</row>
    <row r="5" spans="1:8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</row>
    <row r="6" spans="1:8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</row>
    <row r="7" spans="1:8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</row>
    <row r="10" spans="1:8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</row>
    <row r="11" spans="1:8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</row>
    <row r="13" spans="1:8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</row>
    <row r="14" spans="1:8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</row>
    <row r="15" spans="1:8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</row>
    <row r="16" spans="1:8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</row>
    <row r="17" spans="1:8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</row>
    <row r="18" spans="1:8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8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</row>
    <row r="21" spans="1:8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</row>
    <row r="22" spans="1:8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</row>
    <row r="23" spans="1:8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</row>
    <row r="24" spans="1:8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</row>
    <row r="25" spans="1:8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</row>
    <row r="26" spans="1:8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</row>
    <row r="27" spans="1:8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9" spans="1:8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</row>
    <row r="30" spans="1:8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</row>
    <row r="31" spans="1:8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</row>
    <row r="32" spans="1:8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</row>
    <row r="33" spans="1:8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</row>
    <row r="34" spans="1:8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</row>
    <row r="35" spans="1:8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20"/>
  <sheetViews>
    <sheetView workbookViewId="0">
      <selection activeCell="D14" sqref="D14:D19"/>
    </sheetView>
  </sheetViews>
  <sheetFormatPr defaultRowHeight="15" x14ac:dyDescent="0.25"/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>
        <v>0.05</v>
      </c>
      <c r="C3">
        <f>K3/$J3</f>
        <v>9.1538218144439369</v>
      </c>
      <c r="D3">
        <f>L3/$J3</f>
        <v>0</v>
      </c>
      <c r="I3">
        <f>A3</f>
        <v>2025</v>
      </c>
      <c r="J3">
        <v>360.50516023732143</v>
      </c>
      <c r="K3">
        <v>3300</v>
      </c>
      <c r="L3">
        <v>0</v>
      </c>
    </row>
    <row r="4" spans="1:12" x14ac:dyDescent="0.25">
      <c r="A4">
        <v>2030</v>
      </c>
      <c r="B4">
        <v>5</v>
      </c>
      <c r="C4">
        <f t="shared" ref="C4:C8" si="0">K4/$J4</f>
        <v>11.117978504373452</v>
      </c>
      <c r="D4">
        <f t="shared" ref="D4:D8" si="1">L4/$J4</f>
        <v>67.381687905293646</v>
      </c>
      <c r="I4">
        <f t="shared" ref="I4:I8" si="2">A4</f>
        <v>2030</v>
      </c>
      <c r="J4">
        <v>296.81654796345282</v>
      </c>
      <c r="K4">
        <v>3300</v>
      </c>
      <c r="L4">
        <v>20000</v>
      </c>
    </row>
    <row r="5" spans="1:12" x14ac:dyDescent="0.25">
      <c r="A5">
        <v>2035</v>
      </c>
      <c r="B5">
        <v>10</v>
      </c>
      <c r="C5">
        <f t="shared" si="0"/>
        <v>14.945046646834507</v>
      </c>
      <c r="D5">
        <f t="shared" si="1"/>
        <v>158.50807049672963</v>
      </c>
      <c r="I5">
        <f t="shared" si="2"/>
        <v>2035</v>
      </c>
      <c r="J5">
        <v>220.8089461332641</v>
      </c>
      <c r="K5">
        <v>3300</v>
      </c>
      <c r="L5">
        <f>(L4+L6)/2</f>
        <v>35000</v>
      </c>
    </row>
    <row r="6" spans="1:12" x14ac:dyDescent="0.25">
      <c r="A6">
        <v>2040</v>
      </c>
      <c r="B6">
        <v>0</v>
      </c>
      <c r="C6">
        <f t="shared" si="0"/>
        <v>0</v>
      </c>
      <c r="D6">
        <f t="shared" si="1"/>
        <v>246.90690563233255</v>
      </c>
      <c r="I6">
        <f t="shared" si="2"/>
        <v>2040</v>
      </c>
      <c r="J6">
        <v>202.50547416626196</v>
      </c>
      <c r="K6">
        <v>0</v>
      </c>
      <c r="L6">
        <v>50000</v>
      </c>
    </row>
    <row r="7" spans="1:12" x14ac:dyDescent="0.25">
      <c r="A7">
        <v>2045</v>
      </c>
      <c r="B7">
        <v>0</v>
      </c>
      <c r="C7">
        <f t="shared" si="0"/>
        <v>0</v>
      </c>
      <c r="D7">
        <f t="shared" si="1"/>
        <v>406.1713779405772</v>
      </c>
      <c r="I7">
        <f t="shared" si="2"/>
        <v>2045</v>
      </c>
      <c r="J7">
        <v>184.65112037257458</v>
      </c>
      <c r="K7">
        <v>0</v>
      </c>
      <c r="L7">
        <f>(L6+L8)/2</f>
        <v>75000</v>
      </c>
    </row>
    <row r="8" spans="1:12" x14ac:dyDescent="0.25">
      <c r="A8">
        <v>2050</v>
      </c>
      <c r="B8">
        <v>0</v>
      </c>
      <c r="C8">
        <f t="shared" si="0"/>
        <v>0</v>
      </c>
      <c r="D8">
        <f t="shared" si="1"/>
        <v>578.25596171173243</v>
      </c>
      <c r="I8">
        <f t="shared" si="2"/>
        <v>2050</v>
      </c>
      <c r="J8">
        <v>172.93379856211703</v>
      </c>
      <c r="K8">
        <v>0</v>
      </c>
      <c r="L8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53</v>
      </c>
      <c r="K13" t="s">
        <v>48</v>
      </c>
      <c r="L13" t="s">
        <v>51</v>
      </c>
    </row>
    <row r="14" spans="1:12" x14ac:dyDescent="0.25">
      <c r="A14">
        <v>2025</v>
      </c>
      <c r="B14">
        <v>0.05</v>
      </c>
      <c r="C14">
        <f>K14/$J14</f>
        <v>9.1527704871198079</v>
      </c>
      <c r="D14">
        <f>L14/$J14</f>
        <v>0</v>
      </c>
      <c r="I14">
        <f>A14</f>
        <v>2025</v>
      </c>
      <c r="J14">
        <v>360.54656943970235</v>
      </c>
      <c r="K14">
        <v>3300</v>
      </c>
      <c r="L14">
        <v>0</v>
      </c>
    </row>
    <row r="15" spans="1:12" x14ac:dyDescent="0.25">
      <c r="A15">
        <v>2030</v>
      </c>
      <c r="B15">
        <v>5</v>
      </c>
      <c r="C15">
        <f t="shared" ref="C15:C19" si="3">K15/$J15</f>
        <v>11.123317675046577</v>
      </c>
      <c r="D15">
        <f t="shared" ref="D15:D19" si="4">L15/$J15</f>
        <v>67.41404651543381</v>
      </c>
      <c r="I15">
        <f t="shared" ref="I15:I19" si="5">A15</f>
        <v>2030</v>
      </c>
      <c r="J15">
        <v>296.67407660243612</v>
      </c>
      <c r="K15">
        <v>3300</v>
      </c>
      <c r="L15">
        <v>20000</v>
      </c>
    </row>
    <row r="16" spans="1:12" x14ac:dyDescent="0.25">
      <c r="A16">
        <v>2035</v>
      </c>
      <c r="B16">
        <v>10</v>
      </c>
      <c r="C16">
        <f t="shared" si="3"/>
        <v>14.849857137390348</v>
      </c>
      <c r="D16">
        <f t="shared" si="4"/>
        <v>157.49848479050368</v>
      </c>
      <c r="I16">
        <f t="shared" si="5"/>
        <v>2035</v>
      </c>
      <c r="J16">
        <v>222.22436010451264</v>
      </c>
      <c r="K16">
        <v>3300</v>
      </c>
      <c r="L16">
        <f>(L15+L17)/2</f>
        <v>35000</v>
      </c>
    </row>
    <row r="17" spans="1:12" x14ac:dyDescent="0.25">
      <c r="A17">
        <v>2040</v>
      </c>
      <c r="B17">
        <v>0</v>
      </c>
      <c r="C17">
        <f t="shared" si="3"/>
        <v>0</v>
      </c>
      <c r="D17">
        <f t="shared" si="4"/>
        <v>243.06758416564975</v>
      </c>
      <c r="I17">
        <f t="shared" si="5"/>
        <v>2040</v>
      </c>
      <c r="J17">
        <v>205.70410559527826</v>
      </c>
      <c r="K17">
        <v>0</v>
      </c>
      <c r="L17">
        <v>50000</v>
      </c>
    </row>
    <row r="18" spans="1:12" x14ac:dyDescent="0.25">
      <c r="A18">
        <v>2045</v>
      </c>
      <c r="B18">
        <v>0</v>
      </c>
      <c r="C18">
        <f t="shared" si="3"/>
        <v>0</v>
      </c>
      <c r="D18">
        <f t="shared" si="4"/>
        <v>380.4751980809001</v>
      </c>
      <c r="I18">
        <f t="shared" si="5"/>
        <v>2045</v>
      </c>
      <c r="J18">
        <v>197.12191590489118</v>
      </c>
      <c r="K18">
        <v>0</v>
      </c>
      <c r="L18">
        <f>(L17+L19)/2</f>
        <v>75000</v>
      </c>
    </row>
    <row r="19" spans="1:12" x14ac:dyDescent="0.25">
      <c r="A19">
        <v>2050</v>
      </c>
      <c r="B19">
        <v>0</v>
      </c>
      <c r="C19">
        <f t="shared" si="3"/>
        <v>0</v>
      </c>
      <c r="D19">
        <f t="shared" si="4"/>
        <v>474.18677475115379</v>
      </c>
      <c r="I19">
        <f t="shared" si="5"/>
        <v>2050</v>
      </c>
      <c r="J19">
        <v>210.88736617017318</v>
      </c>
      <c r="K19">
        <v>0</v>
      </c>
      <c r="L19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Baseline Parameters</vt:lpstr>
      <vt:lpstr>S2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2025-10-15T14:12:33Z</dcterms:modified>
</cp:coreProperties>
</file>