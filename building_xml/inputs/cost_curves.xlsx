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PycharmProjects\GCAM-CDR-policy\building_xml\inputs\"/>
    </mc:Choice>
  </mc:AlternateContent>
  <xr:revisionPtr revIDLastSave="0" documentId="13_ncr:1_{E8416BD9-4BAB-42FF-AAD8-E83D60A7E738}" xr6:coauthVersionLast="47" xr6:coauthVersionMax="47" xr10:uidLastSave="{00000000-0000-0000-0000-000000000000}"/>
  <bookViews>
    <workbookView xWindow="-120" yWindow="-120" windowWidth="29040" windowHeight="17520" firstSheet="2" activeTab="2" xr2:uid="{48B2FD56-5343-48F4-B77F-7F263F678783}"/>
  </bookViews>
  <sheets>
    <sheet name="Baseline Parameters" sheetId="1" r:id="rId1"/>
    <sheet name="Learning Rates" sheetId="5" r:id="rId2"/>
    <sheet name="Innovation Policy Scenarios" sheetId="2" r:id="rId3"/>
    <sheet name="verify-2025" sheetId="3" r:id="rId4"/>
    <sheet name="Procurement" sheetId="4" r:id="rId5"/>
  </sheets>
  <definedNames>
    <definedName name="_xlnm._FilterDatabase" localSheetId="1" hidden="1">'Learning Rates'!$Y$1:$AA$1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2" l="1"/>
  <c r="O48" i="2"/>
  <c r="P48" i="2"/>
  <c r="Q48" i="2"/>
  <c r="R48" i="2"/>
  <c r="S48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2" i="2"/>
  <c r="O52" i="2"/>
  <c r="P52" i="2"/>
  <c r="Q52" i="2"/>
  <c r="R52" i="2"/>
  <c r="S52" i="2"/>
  <c r="N53" i="2"/>
  <c r="O53" i="2"/>
  <c r="P53" i="2"/>
  <c r="Q53" i="2"/>
  <c r="R53" i="2"/>
  <c r="S53" i="2"/>
  <c r="M49" i="2"/>
  <c r="M50" i="2"/>
  <c r="M51" i="2"/>
  <c r="M52" i="2"/>
  <c r="M53" i="2"/>
  <c r="M48" i="2"/>
  <c r="P39" i="2"/>
  <c r="Q39" i="2"/>
  <c r="R39" i="2"/>
  <c r="S39" i="2"/>
  <c r="P40" i="2"/>
  <c r="Q40" i="2"/>
  <c r="R40" i="2"/>
  <c r="S40" i="2"/>
  <c r="P41" i="2"/>
  <c r="Q41" i="2"/>
  <c r="R41" i="2"/>
  <c r="S41" i="2"/>
  <c r="P42" i="2"/>
  <c r="Q42" i="2"/>
  <c r="R42" i="2"/>
  <c r="S42" i="2"/>
  <c r="P43" i="2"/>
  <c r="Q43" i="2"/>
  <c r="R43" i="2"/>
  <c r="S43" i="2"/>
  <c r="P44" i="2"/>
  <c r="Q44" i="2"/>
  <c r="R44" i="2"/>
  <c r="S44" i="2"/>
  <c r="O40" i="2"/>
  <c r="O41" i="2"/>
  <c r="O42" i="2"/>
  <c r="O43" i="2"/>
  <c r="O44" i="2"/>
  <c r="O39" i="2"/>
  <c r="N39" i="2"/>
  <c r="N40" i="2"/>
  <c r="N41" i="2"/>
  <c r="N42" i="2"/>
  <c r="N43" i="2"/>
  <c r="N44" i="2"/>
  <c r="M40" i="2"/>
  <c r="M41" i="2"/>
  <c r="M42" i="2"/>
  <c r="M43" i="2"/>
  <c r="M44" i="2"/>
  <c r="M39" i="2"/>
  <c r="N30" i="2"/>
  <c r="O30" i="2"/>
  <c r="P30" i="2"/>
  <c r="Q30" i="2"/>
  <c r="R30" i="2"/>
  <c r="S30" i="2"/>
  <c r="N31" i="2"/>
  <c r="O31" i="2"/>
  <c r="P31" i="2"/>
  <c r="Q31" i="2"/>
  <c r="R31" i="2"/>
  <c r="S31" i="2"/>
  <c r="N32" i="2"/>
  <c r="O32" i="2"/>
  <c r="P32" i="2"/>
  <c r="Q32" i="2"/>
  <c r="R32" i="2"/>
  <c r="S32" i="2"/>
  <c r="N33" i="2"/>
  <c r="O33" i="2"/>
  <c r="P33" i="2"/>
  <c r="Q33" i="2"/>
  <c r="R33" i="2"/>
  <c r="S33" i="2"/>
  <c r="N34" i="2"/>
  <c r="O34" i="2"/>
  <c r="P34" i="2"/>
  <c r="Q34" i="2"/>
  <c r="R34" i="2"/>
  <c r="S34" i="2"/>
  <c r="N35" i="2"/>
  <c r="O35" i="2"/>
  <c r="P35" i="2"/>
  <c r="Q35" i="2"/>
  <c r="R35" i="2"/>
  <c r="S35" i="2"/>
  <c r="M31" i="2"/>
  <c r="M32" i="2"/>
  <c r="M33" i="2"/>
  <c r="M34" i="2"/>
  <c r="M35" i="2"/>
  <c r="N21" i="2"/>
  <c r="O21" i="2"/>
  <c r="P21" i="2"/>
  <c r="Q21" i="2"/>
  <c r="R21" i="2"/>
  <c r="S21" i="2"/>
  <c r="N22" i="2"/>
  <c r="O22" i="2"/>
  <c r="P22" i="2"/>
  <c r="Q22" i="2"/>
  <c r="R22" i="2"/>
  <c r="S22" i="2"/>
  <c r="N23" i="2"/>
  <c r="O23" i="2"/>
  <c r="P23" i="2"/>
  <c r="Q23" i="2"/>
  <c r="R23" i="2"/>
  <c r="S23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M22" i="2"/>
  <c r="M23" i="2"/>
  <c r="M24" i="2"/>
  <c r="M25" i="2"/>
  <c r="M26" i="2"/>
  <c r="M21" i="2"/>
  <c r="M30" i="2"/>
  <c r="N12" i="2"/>
  <c r="O12" i="2"/>
  <c r="P12" i="2"/>
  <c r="Q12" i="2"/>
  <c r="R12" i="2"/>
  <c r="S12" i="2"/>
  <c r="N13" i="2"/>
  <c r="O13" i="2"/>
  <c r="P13" i="2"/>
  <c r="Q13" i="2"/>
  <c r="R13" i="2"/>
  <c r="S13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7" i="2"/>
  <c r="O17" i="2"/>
  <c r="P17" i="2"/>
  <c r="Q17" i="2"/>
  <c r="R17" i="2"/>
  <c r="S17" i="2"/>
  <c r="M13" i="2"/>
  <c r="M14" i="2"/>
  <c r="M15" i="2"/>
  <c r="M16" i="2"/>
  <c r="M17" i="2"/>
  <c r="M12" i="2"/>
  <c r="S3" i="2"/>
  <c r="S4" i="2"/>
  <c r="S5" i="2"/>
  <c r="S6" i="2"/>
  <c r="S7" i="2"/>
  <c r="S8" i="2"/>
  <c r="M4" i="2"/>
  <c r="N4" i="2"/>
  <c r="O4" i="2"/>
  <c r="P4" i="2"/>
  <c r="Q4" i="2"/>
  <c r="R4" i="2"/>
  <c r="M5" i="2"/>
  <c r="N5" i="2"/>
  <c r="O5" i="2"/>
  <c r="P5" i="2"/>
  <c r="Q5" i="2"/>
  <c r="R5" i="2"/>
  <c r="M6" i="2"/>
  <c r="N6" i="2"/>
  <c r="O6" i="2"/>
  <c r="P6" i="2"/>
  <c r="Q6" i="2"/>
  <c r="R6" i="2"/>
  <c r="M7" i="2"/>
  <c r="N7" i="2"/>
  <c r="O7" i="2"/>
  <c r="P7" i="2"/>
  <c r="Q7" i="2"/>
  <c r="R7" i="2"/>
  <c r="M8" i="2"/>
  <c r="N8" i="2"/>
  <c r="O8" i="2"/>
  <c r="P8" i="2"/>
  <c r="Q8" i="2"/>
  <c r="R8" i="2"/>
  <c r="N3" i="2"/>
  <c r="O3" i="2"/>
  <c r="P3" i="2"/>
  <c r="Q3" i="2"/>
  <c r="R3" i="2"/>
  <c r="M3" i="2"/>
  <c r="B2" i="2"/>
  <c r="B3" i="2"/>
  <c r="B4" i="2"/>
  <c r="B5" i="2"/>
  <c r="B6" i="2"/>
  <c r="B7" i="2"/>
  <c r="C2" i="2"/>
  <c r="D2" i="2"/>
  <c r="E2" i="2"/>
  <c r="F2" i="2"/>
  <c r="G2" i="2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Z9" i="5"/>
  <c r="N4" i="5" s="1"/>
  <c r="U35" i="5"/>
  <c r="U36" i="5"/>
  <c r="U37" i="5"/>
  <c r="U38" i="5"/>
  <c r="U39" i="5"/>
  <c r="T35" i="5"/>
  <c r="T36" i="5"/>
  <c r="T37" i="5"/>
  <c r="T38" i="5"/>
  <c r="T39" i="5"/>
  <c r="U34" i="5"/>
  <c r="T34" i="5"/>
  <c r="S17" i="5"/>
  <c r="S18" i="5"/>
  <c r="S19" i="5"/>
  <c r="S20" i="5"/>
  <c r="S21" i="5"/>
  <c r="S16" i="5"/>
  <c r="R35" i="5"/>
  <c r="S35" i="5"/>
  <c r="V35" i="5"/>
  <c r="R36" i="5"/>
  <c r="S36" i="5"/>
  <c r="V36" i="5"/>
  <c r="R37" i="5"/>
  <c r="S37" i="5"/>
  <c r="V37" i="5"/>
  <c r="R38" i="5"/>
  <c r="S38" i="5"/>
  <c r="V38" i="5"/>
  <c r="R39" i="5"/>
  <c r="S39" i="5"/>
  <c r="V39" i="5"/>
  <c r="V34" i="5"/>
  <c r="S34" i="5"/>
  <c r="R34" i="5"/>
  <c r="Q34" i="5"/>
  <c r="Q35" i="5"/>
  <c r="Q36" i="5"/>
  <c r="Q37" i="5"/>
  <c r="Q38" i="5"/>
  <c r="Q39" i="5"/>
  <c r="V2" i="5"/>
  <c r="U2" i="5"/>
  <c r="T2" i="5"/>
  <c r="S2" i="5"/>
  <c r="R2" i="5"/>
  <c r="Q2" i="5"/>
  <c r="I35" i="5"/>
  <c r="J35" i="5"/>
  <c r="K35" i="5"/>
  <c r="L35" i="5"/>
  <c r="M35" i="5"/>
  <c r="N35" i="5"/>
  <c r="I36" i="5"/>
  <c r="J36" i="5"/>
  <c r="K36" i="5"/>
  <c r="L36" i="5"/>
  <c r="M36" i="5"/>
  <c r="N36" i="5"/>
  <c r="I37" i="5"/>
  <c r="J37" i="5"/>
  <c r="K37" i="5"/>
  <c r="L37" i="5"/>
  <c r="M37" i="5"/>
  <c r="N37" i="5"/>
  <c r="I38" i="5"/>
  <c r="J38" i="5"/>
  <c r="K38" i="5"/>
  <c r="L38" i="5"/>
  <c r="M38" i="5"/>
  <c r="N38" i="5"/>
  <c r="I39" i="5"/>
  <c r="J39" i="5"/>
  <c r="K39" i="5"/>
  <c r="L39" i="5"/>
  <c r="M39" i="5"/>
  <c r="N39" i="5"/>
  <c r="N34" i="5"/>
  <c r="M34" i="5"/>
  <c r="L34" i="5"/>
  <c r="K34" i="5"/>
  <c r="J34" i="5"/>
  <c r="I34" i="5"/>
  <c r="K2" i="5"/>
  <c r="L2" i="5"/>
  <c r="M2" i="5"/>
  <c r="N2" i="5"/>
  <c r="I2" i="5"/>
  <c r="C21" i="5"/>
  <c r="D21" i="5"/>
  <c r="E21" i="5"/>
  <c r="B21" i="5"/>
  <c r="E17" i="5"/>
  <c r="E15" i="5" s="1"/>
  <c r="E20" i="5" s="1"/>
  <c r="D17" i="5"/>
  <c r="D15" i="5" s="1"/>
  <c r="D20" i="5" s="1"/>
  <c r="C17" i="5"/>
  <c r="C15" i="5" s="1"/>
  <c r="C20" i="5" s="1"/>
  <c r="B17" i="5"/>
  <c r="B15" i="5" s="1"/>
  <c r="B20" i="5" s="1"/>
  <c r="B7" i="1"/>
  <c r="I19" i="4"/>
  <c r="D19" i="4"/>
  <c r="C19" i="4"/>
  <c r="L18" i="4"/>
  <c r="I18" i="4"/>
  <c r="D18" i="4"/>
  <c r="C18" i="4"/>
  <c r="I17" i="4"/>
  <c r="D17" i="4"/>
  <c r="C17" i="4"/>
  <c r="L16" i="4"/>
  <c r="I16" i="4"/>
  <c r="D16" i="4"/>
  <c r="C16" i="4"/>
  <c r="I15" i="4"/>
  <c r="D15" i="4"/>
  <c r="C15" i="4"/>
  <c r="I14" i="4"/>
  <c r="D14" i="4"/>
  <c r="C14" i="4"/>
  <c r="C4" i="4"/>
  <c r="D4" i="4"/>
  <c r="C5" i="4"/>
  <c r="D5" i="4"/>
  <c r="C6" i="4"/>
  <c r="D6" i="4"/>
  <c r="C7" i="4"/>
  <c r="D7" i="4"/>
  <c r="C8" i="4"/>
  <c r="D8" i="4"/>
  <c r="D3" i="4"/>
  <c r="L7" i="4"/>
  <c r="L5" i="4"/>
  <c r="C3" i="4"/>
  <c r="I4" i="4"/>
  <c r="I5" i="4"/>
  <c r="I6" i="4"/>
  <c r="I7" i="4"/>
  <c r="I8" i="4"/>
  <c r="I3" i="4"/>
  <c r="E11" i="2"/>
  <c r="D11" i="2"/>
  <c r="D13" i="1"/>
  <c r="D10" i="2" s="1"/>
  <c r="E10" i="2"/>
  <c r="E3" i="1"/>
  <c r="E14" i="1" s="1"/>
  <c r="E13" i="1" s="1"/>
  <c r="E7" i="1"/>
  <c r="Q4" i="5" l="1"/>
  <c r="N25" i="5"/>
  <c r="N26" i="5" s="1"/>
  <c r="N27" i="5" s="1"/>
  <c r="N28" i="5" s="1"/>
  <c r="N29" i="5" s="1"/>
  <c r="N30" i="5" s="1"/>
  <c r="N8" i="5"/>
  <c r="N44" i="5" s="1"/>
  <c r="N53" i="5" s="1"/>
  <c r="N62" i="5" s="1"/>
  <c r="N7" i="5"/>
  <c r="N43" i="5" s="1"/>
  <c r="N52" i="5" s="1"/>
  <c r="N61" i="5" s="1"/>
  <c r="Q10" i="5"/>
  <c r="Q9" i="5"/>
  <c r="Q12" i="5"/>
  <c r="N9" i="5"/>
  <c r="N12" i="5"/>
  <c r="N48" i="5" s="1"/>
  <c r="N57" i="5" s="1"/>
  <c r="N66" i="5" s="1"/>
  <c r="N11" i="5"/>
  <c r="Q8" i="5"/>
  <c r="R4" i="5"/>
  <c r="R9" i="5" s="1"/>
  <c r="I4" i="5"/>
  <c r="I25" i="5" s="1"/>
  <c r="I26" i="5" s="1"/>
  <c r="I27" i="5" s="1"/>
  <c r="I28" i="5" s="1"/>
  <c r="I29" i="5" s="1"/>
  <c r="I30" i="5" s="1"/>
  <c r="K4" i="5"/>
  <c r="K25" i="5" s="1"/>
  <c r="K26" i="5" s="1"/>
  <c r="K27" i="5" s="1"/>
  <c r="K28" i="5" s="1"/>
  <c r="K29" i="5" s="1"/>
  <c r="K30" i="5" s="1"/>
  <c r="N10" i="5"/>
  <c r="N46" i="5" s="1"/>
  <c r="N55" i="5" s="1"/>
  <c r="N64" i="5" s="1"/>
  <c r="M4" i="5"/>
  <c r="M25" i="5" s="1"/>
  <c r="M26" i="5" s="1"/>
  <c r="M27" i="5" s="1"/>
  <c r="M28" i="5" s="1"/>
  <c r="M29" i="5" s="1"/>
  <c r="M30" i="5" s="1"/>
  <c r="J4" i="5"/>
  <c r="J25" i="5" s="1"/>
  <c r="J26" i="5" s="1"/>
  <c r="J27" i="5" s="1"/>
  <c r="J28" i="5" s="1"/>
  <c r="J29" i="5" s="1"/>
  <c r="J30" i="5" s="1"/>
  <c r="L4" i="5"/>
  <c r="L25" i="5" s="1"/>
  <c r="L26" i="5" s="1"/>
  <c r="L27" i="5" s="1"/>
  <c r="L28" i="5" s="1"/>
  <c r="L29" i="5" s="1"/>
  <c r="L30" i="5" s="1"/>
  <c r="R25" i="5"/>
  <c r="R26" i="5" s="1"/>
  <c r="R27" i="5" s="1"/>
  <c r="R28" i="5" s="1"/>
  <c r="R29" i="5" s="1"/>
  <c r="R30" i="5" s="1"/>
  <c r="S4" i="5"/>
  <c r="S10" i="5" s="1"/>
  <c r="Q11" i="5"/>
  <c r="D22" i="5"/>
  <c r="D23" i="5"/>
  <c r="E22" i="5"/>
  <c r="E23" i="5" s="1"/>
  <c r="C22" i="5"/>
  <c r="C23" i="5" s="1"/>
  <c r="B22" i="5"/>
  <c r="B23" i="5" s="1"/>
  <c r="J2" i="5"/>
  <c r="E2" i="1"/>
  <c r="E4" i="1"/>
  <c r="E5" i="1"/>
  <c r="E6" i="1"/>
  <c r="K12" i="5" l="1"/>
  <c r="K48" i="5" s="1"/>
  <c r="K57" i="5" s="1"/>
  <c r="K66" i="5" s="1"/>
  <c r="M7" i="5"/>
  <c r="M43" i="5" s="1"/>
  <c r="M52" i="5" s="1"/>
  <c r="M61" i="5" s="1"/>
  <c r="R8" i="5"/>
  <c r="R11" i="5"/>
  <c r="I11" i="5"/>
  <c r="I47" i="5" s="1"/>
  <c r="I56" i="5" s="1"/>
  <c r="I65" i="5" s="1"/>
  <c r="I8" i="5"/>
  <c r="I44" i="5" s="1"/>
  <c r="I53" i="5" s="1"/>
  <c r="I62" i="5" s="1"/>
  <c r="I12" i="5"/>
  <c r="I48" i="5" s="1"/>
  <c r="I57" i="5" s="1"/>
  <c r="I66" i="5" s="1"/>
  <c r="I10" i="5"/>
  <c r="I46" i="5" s="1"/>
  <c r="I55" i="5" s="1"/>
  <c r="I64" i="5" s="1"/>
  <c r="I9" i="5"/>
  <c r="I45" i="5" s="1"/>
  <c r="I54" i="5" s="1"/>
  <c r="I63" i="5" s="1"/>
  <c r="I7" i="5"/>
  <c r="I43" i="5" s="1"/>
  <c r="I52" i="5" s="1"/>
  <c r="I61" i="5" s="1"/>
  <c r="M8" i="5"/>
  <c r="M44" i="5" s="1"/>
  <c r="M53" i="5" s="1"/>
  <c r="M62" i="5" s="1"/>
  <c r="Q25" i="5"/>
  <c r="Q26" i="5" s="1"/>
  <c r="Q27" i="5" s="1"/>
  <c r="Q7" i="5"/>
  <c r="Q43" i="5" s="1"/>
  <c r="Q52" i="5" s="1"/>
  <c r="Q61" i="5" s="1"/>
  <c r="N47" i="5"/>
  <c r="N56" i="5" s="1"/>
  <c r="N65" i="5" s="1"/>
  <c r="J10" i="5"/>
  <c r="J8" i="5"/>
  <c r="J44" i="5" s="1"/>
  <c r="J53" i="5" s="1"/>
  <c r="J62" i="5" s="1"/>
  <c r="S11" i="5"/>
  <c r="S47" i="5" s="1"/>
  <c r="S56" i="5" s="1"/>
  <c r="S65" i="5" s="1"/>
  <c r="J12" i="5"/>
  <c r="J48" i="5" s="1"/>
  <c r="J57" i="5" s="1"/>
  <c r="J66" i="5" s="1"/>
  <c r="K8" i="5"/>
  <c r="K44" i="5" s="1"/>
  <c r="K53" i="5" s="1"/>
  <c r="K62" i="5" s="1"/>
  <c r="N45" i="5"/>
  <c r="N54" i="5" s="1"/>
  <c r="N63" i="5" s="1"/>
  <c r="S8" i="5"/>
  <c r="J11" i="5"/>
  <c r="J7" i="5"/>
  <c r="J43" i="5" s="1"/>
  <c r="J52" i="5" s="1"/>
  <c r="J61" i="5" s="1"/>
  <c r="K9" i="5"/>
  <c r="K45" i="5" s="1"/>
  <c r="K54" i="5" s="1"/>
  <c r="K63" i="5" s="1"/>
  <c r="K10" i="5"/>
  <c r="K46" i="5" s="1"/>
  <c r="K55" i="5" s="1"/>
  <c r="K64" i="5" s="1"/>
  <c r="L8" i="5"/>
  <c r="L44" i="5" s="1"/>
  <c r="L53" i="5" s="1"/>
  <c r="L62" i="5" s="1"/>
  <c r="J9" i="5"/>
  <c r="S7" i="5"/>
  <c r="K11" i="5"/>
  <c r="K47" i="5" s="1"/>
  <c r="K56" i="5" s="1"/>
  <c r="K65" i="5" s="1"/>
  <c r="L10" i="5"/>
  <c r="L46" i="5" s="1"/>
  <c r="L55" i="5" s="1"/>
  <c r="L64" i="5" s="1"/>
  <c r="R7" i="5"/>
  <c r="R43" i="5" s="1"/>
  <c r="R52" i="5" s="1"/>
  <c r="R61" i="5" s="1"/>
  <c r="L11" i="5"/>
  <c r="L47" i="5" s="1"/>
  <c r="L56" i="5" s="1"/>
  <c r="L65" i="5" s="1"/>
  <c r="L7" i="5"/>
  <c r="L43" i="5" s="1"/>
  <c r="L52" i="5" s="1"/>
  <c r="L61" i="5" s="1"/>
  <c r="R10" i="5"/>
  <c r="R46" i="5" s="1"/>
  <c r="R55" i="5" s="1"/>
  <c r="R64" i="5" s="1"/>
  <c r="M9" i="5"/>
  <c r="M45" i="5" s="1"/>
  <c r="M54" i="5" s="1"/>
  <c r="M63" i="5" s="1"/>
  <c r="L12" i="5"/>
  <c r="L48" i="5" s="1"/>
  <c r="L57" i="5" s="1"/>
  <c r="L66" i="5" s="1"/>
  <c r="R12" i="5"/>
  <c r="R48" i="5" s="1"/>
  <c r="R57" i="5" s="1"/>
  <c r="R66" i="5" s="1"/>
  <c r="M10" i="5"/>
  <c r="M46" i="5" s="1"/>
  <c r="M55" i="5" s="1"/>
  <c r="M64" i="5" s="1"/>
  <c r="S12" i="5"/>
  <c r="S48" i="5" s="1"/>
  <c r="S57" i="5" s="1"/>
  <c r="S66" i="5" s="1"/>
  <c r="M12" i="5"/>
  <c r="M48" i="5" s="1"/>
  <c r="M57" i="5" s="1"/>
  <c r="M66" i="5" s="1"/>
  <c r="K7" i="5"/>
  <c r="K43" i="5" s="1"/>
  <c r="K52" i="5" s="1"/>
  <c r="K61" i="5" s="1"/>
  <c r="S9" i="5"/>
  <c r="M11" i="5"/>
  <c r="M47" i="5" s="1"/>
  <c r="M56" i="5" s="1"/>
  <c r="M65" i="5" s="1"/>
  <c r="L9" i="5"/>
  <c r="L45" i="5" s="1"/>
  <c r="L54" i="5" s="1"/>
  <c r="L63" i="5" s="1"/>
  <c r="T4" i="5"/>
  <c r="S25" i="5"/>
  <c r="S26" i="5" s="1"/>
  <c r="S27" i="5" s="1"/>
  <c r="S28" i="5" s="1"/>
  <c r="S29" i="5" s="1"/>
  <c r="S30" i="5" s="1"/>
  <c r="R44" i="5"/>
  <c r="R53" i="5" s="1"/>
  <c r="R62" i="5" s="1"/>
  <c r="R47" i="5"/>
  <c r="R56" i="5" s="1"/>
  <c r="R65" i="5" s="1"/>
  <c r="R45" i="5"/>
  <c r="R54" i="5" s="1"/>
  <c r="R63" i="5" s="1"/>
  <c r="L14" i="3"/>
  <c r="K14" i="3"/>
  <c r="J14" i="3"/>
  <c r="I14" i="3"/>
  <c r="F14" i="3"/>
  <c r="F13" i="3" s="1"/>
  <c r="E14" i="3"/>
  <c r="D14" i="3"/>
  <c r="C14" i="3"/>
  <c r="B14" i="3"/>
  <c r="L13" i="3"/>
  <c r="L6" i="3" s="1"/>
  <c r="K13" i="3"/>
  <c r="K6" i="3" s="1"/>
  <c r="J13" i="3"/>
  <c r="J6" i="3" s="1"/>
  <c r="I13" i="3"/>
  <c r="I6" i="3" s="1"/>
  <c r="E13" i="3"/>
  <c r="E6" i="3" s="1"/>
  <c r="D13" i="3"/>
  <c r="D2" i="3" s="1"/>
  <c r="C13" i="3"/>
  <c r="C5" i="3" s="1"/>
  <c r="B13" i="3"/>
  <c r="B5" i="3" s="1"/>
  <c r="C7" i="3"/>
  <c r="B7" i="3"/>
  <c r="L5" i="3"/>
  <c r="K5" i="3"/>
  <c r="J5" i="3"/>
  <c r="I5" i="3"/>
  <c r="E5" i="3"/>
  <c r="D5" i="3"/>
  <c r="L3" i="3"/>
  <c r="K3" i="3"/>
  <c r="J3" i="3"/>
  <c r="I3" i="3"/>
  <c r="G3" i="3"/>
  <c r="E3" i="3"/>
  <c r="C3" i="3"/>
  <c r="B3" i="3"/>
  <c r="G2" i="3"/>
  <c r="M14" i="1"/>
  <c r="M13" i="1" s="1"/>
  <c r="M5" i="1" s="1"/>
  <c r="C10" i="2"/>
  <c r="F10" i="2"/>
  <c r="G10" i="2"/>
  <c r="C11" i="2"/>
  <c r="F11" i="2"/>
  <c r="G11" i="2"/>
  <c r="K14" i="1"/>
  <c r="K13" i="1" s="1"/>
  <c r="L14" i="1"/>
  <c r="L13" i="1" s="1"/>
  <c r="J14" i="1"/>
  <c r="J13" i="1" s="1"/>
  <c r="J3" i="1" s="1"/>
  <c r="D14" i="1"/>
  <c r="D2" i="1" s="1"/>
  <c r="H3" i="1"/>
  <c r="G14" i="1"/>
  <c r="G13" i="1" s="1"/>
  <c r="F14" i="1"/>
  <c r="F13" i="1" s="1"/>
  <c r="H2" i="1"/>
  <c r="C7" i="1"/>
  <c r="C14" i="1" s="1"/>
  <c r="C13" i="1" s="1"/>
  <c r="B14" i="1"/>
  <c r="B13" i="1" s="1"/>
  <c r="B4" i="1" s="1"/>
  <c r="Q44" i="5" l="1"/>
  <c r="Q53" i="5" s="1"/>
  <c r="Q62" i="5" s="1"/>
  <c r="S45" i="5"/>
  <c r="S54" i="5" s="1"/>
  <c r="S63" i="5" s="1"/>
  <c r="S44" i="5"/>
  <c r="S53" i="5" s="1"/>
  <c r="S62" i="5" s="1"/>
  <c r="Q28" i="5"/>
  <c r="Q45" i="5"/>
  <c r="Q54" i="5" s="1"/>
  <c r="Q63" i="5" s="1"/>
  <c r="S43" i="5"/>
  <c r="S52" i="5" s="1"/>
  <c r="S61" i="5" s="1"/>
  <c r="S46" i="5"/>
  <c r="S55" i="5" s="1"/>
  <c r="S64" i="5" s="1"/>
  <c r="T9" i="5"/>
  <c r="T25" i="5"/>
  <c r="T26" i="5" s="1"/>
  <c r="T27" i="5" s="1"/>
  <c r="T28" i="5" s="1"/>
  <c r="T29" i="5" s="1"/>
  <c r="T30" i="5" s="1"/>
  <c r="V4" i="5"/>
  <c r="U4" i="5"/>
  <c r="T10" i="5"/>
  <c r="T12" i="5"/>
  <c r="T7" i="5"/>
  <c r="T11" i="5"/>
  <c r="T8" i="5"/>
  <c r="J47" i="5"/>
  <c r="J56" i="5" s="1"/>
  <c r="J65" i="5" s="1"/>
  <c r="J45" i="5"/>
  <c r="J54" i="5" s="1"/>
  <c r="J63" i="5" s="1"/>
  <c r="J46" i="5"/>
  <c r="J55" i="5" s="1"/>
  <c r="J64" i="5" s="1"/>
  <c r="M4" i="1"/>
  <c r="M3" i="1"/>
  <c r="B10" i="2"/>
  <c r="M6" i="1"/>
  <c r="B11" i="2"/>
  <c r="F6" i="3"/>
  <c r="G6" i="3" s="1"/>
  <c r="F5" i="3"/>
  <c r="G5" i="3" s="1"/>
  <c r="F7" i="3"/>
  <c r="G7" i="3" s="1"/>
  <c r="B4" i="3"/>
  <c r="B6" i="3"/>
  <c r="C4" i="3"/>
  <c r="C6" i="3"/>
  <c r="D4" i="3"/>
  <c r="D6" i="3"/>
  <c r="E4" i="3"/>
  <c r="F4" i="3"/>
  <c r="G4" i="3" s="1"/>
  <c r="I4" i="3"/>
  <c r="J4" i="3"/>
  <c r="K4" i="3"/>
  <c r="L4" i="3"/>
  <c r="G7" i="1"/>
  <c r="H7" i="1" s="1"/>
  <c r="G6" i="1"/>
  <c r="H6" i="1" s="1"/>
  <c r="G5" i="1"/>
  <c r="H5" i="1" s="1"/>
  <c r="G4" i="1"/>
  <c r="H4" i="1" s="1"/>
  <c r="J4" i="1"/>
  <c r="L3" i="1"/>
  <c r="L4" i="1"/>
  <c r="L5" i="1"/>
  <c r="L6" i="1"/>
  <c r="K3" i="1"/>
  <c r="K6" i="1"/>
  <c r="K4" i="1"/>
  <c r="K5" i="1"/>
  <c r="J6" i="1"/>
  <c r="J5" i="1"/>
  <c r="F3" i="1"/>
  <c r="F4" i="1"/>
  <c r="F6" i="1"/>
  <c r="F5" i="1"/>
  <c r="C3" i="1"/>
  <c r="C5" i="1"/>
  <c r="C6" i="1"/>
  <c r="C4" i="1"/>
  <c r="B3" i="1"/>
  <c r="B5" i="1"/>
  <c r="B6" i="1"/>
  <c r="D4" i="1"/>
  <c r="D5" i="1"/>
  <c r="D6" i="1"/>
  <c r="Q29" i="5" l="1"/>
  <c r="Q46" i="5"/>
  <c r="Q55" i="5" s="1"/>
  <c r="Q64" i="5" s="1"/>
  <c r="T45" i="5"/>
  <c r="T54" i="5" s="1"/>
  <c r="T63" i="5" s="1"/>
  <c r="T43" i="5"/>
  <c r="T52" i="5" s="1"/>
  <c r="T61" i="5" s="1"/>
  <c r="T44" i="5"/>
  <c r="T53" i="5" s="1"/>
  <c r="T62" i="5" s="1"/>
  <c r="T47" i="5"/>
  <c r="T56" i="5" s="1"/>
  <c r="T65" i="5" s="1"/>
  <c r="V12" i="5"/>
  <c r="V11" i="5"/>
  <c r="V25" i="5"/>
  <c r="V26" i="5" s="1"/>
  <c r="V27" i="5" s="1"/>
  <c r="V28" i="5" s="1"/>
  <c r="V29" i="5" s="1"/>
  <c r="V30" i="5" s="1"/>
  <c r="V9" i="5"/>
  <c r="V8" i="5"/>
  <c r="V10" i="5"/>
  <c r="V7" i="5"/>
  <c r="V43" i="5" s="1"/>
  <c r="V52" i="5" s="1"/>
  <c r="V61" i="5" s="1"/>
  <c r="T48" i="5"/>
  <c r="T57" i="5" s="1"/>
  <c r="T66" i="5" s="1"/>
  <c r="T46" i="5"/>
  <c r="T55" i="5" s="1"/>
  <c r="T64" i="5" s="1"/>
  <c r="U25" i="5"/>
  <c r="U26" i="5" s="1"/>
  <c r="U27" i="5" s="1"/>
  <c r="U28" i="5" s="1"/>
  <c r="U29" i="5" s="1"/>
  <c r="U30" i="5" s="1"/>
  <c r="U12" i="5"/>
  <c r="U48" i="5" s="1"/>
  <c r="U57" i="5" s="1"/>
  <c r="U66" i="5" s="1"/>
  <c r="U8" i="5"/>
  <c r="U44" i="5" s="1"/>
  <c r="U53" i="5" s="1"/>
  <c r="U62" i="5" s="1"/>
  <c r="U9" i="5"/>
  <c r="U45" i="5" s="1"/>
  <c r="U54" i="5" s="1"/>
  <c r="U63" i="5" s="1"/>
  <c r="U11" i="5"/>
  <c r="U47" i="5" s="1"/>
  <c r="U56" i="5" s="1"/>
  <c r="U65" i="5" s="1"/>
  <c r="U10" i="5"/>
  <c r="U7" i="5"/>
  <c r="U43" i="5" l="1"/>
  <c r="U52" i="5" s="1"/>
  <c r="U61" i="5" s="1"/>
  <c r="U46" i="5"/>
  <c r="U55" i="5" s="1"/>
  <c r="U64" i="5" s="1"/>
  <c r="Q30" i="5"/>
  <c r="Q48" i="5" s="1"/>
  <c r="Q57" i="5" s="1"/>
  <c r="Q66" i="5" s="1"/>
  <c r="Q47" i="5"/>
  <c r="Q56" i="5" s="1"/>
  <c r="Q65" i="5" s="1"/>
  <c r="V44" i="5"/>
  <c r="V53" i="5" s="1"/>
  <c r="V62" i="5" s="1"/>
  <c r="V46" i="5"/>
  <c r="V55" i="5" s="1"/>
  <c r="V64" i="5" s="1"/>
  <c r="V45" i="5"/>
  <c r="V54" i="5" s="1"/>
  <c r="V63" i="5" s="1"/>
  <c r="V47" i="5"/>
  <c r="V56" i="5" s="1"/>
  <c r="V65" i="5" s="1"/>
  <c r="V48" i="5"/>
  <c r="V57" i="5" s="1"/>
  <c r="V66" i="5" s="1"/>
</calcChain>
</file>

<file path=xl/sharedStrings.xml><?xml version="1.0" encoding="utf-8"?>
<sst xmlns="http://schemas.openxmlformats.org/spreadsheetml/2006/main" count="451" uniqueCount="122">
  <si>
    <t>Tech</t>
  </si>
  <si>
    <t>Page</t>
  </si>
  <si>
    <t>TEW</t>
  </si>
  <si>
    <t>OEW</t>
  </si>
  <si>
    <t>Rhodium 2024</t>
  </si>
  <si>
    <t>Source</t>
  </si>
  <si>
    <t>R2R</t>
  </si>
  <si>
    <t>Units</t>
  </si>
  <si>
    <t>DAC (solvent)</t>
  </si>
  <si>
    <t>DAC (sorbent)</t>
  </si>
  <si>
    <t>Ultimate reduction in cost</t>
  </si>
  <si>
    <t>Years</t>
  </si>
  <si>
    <t>7-11</t>
  </si>
  <si>
    <t>A</t>
  </si>
  <si>
    <t>B</t>
  </si>
  <si>
    <t>Notes</t>
  </si>
  <si>
    <t>Less heat and electric</t>
  </si>
  <si>
    <t>CDR Price Survey White Paper-Email.pdf</t>
  </si>
  <si>
    <t>https://www.nature.com/articles/s41586-024-08429-2.pdf</t>
  </si>
  <si>
    <t>Illinois 2030 and 2050</t>
  </si>
  <si>
    <t>https://iopscience.iop.org/article/10.1088/1748-9326/ad5192/pdf</t>
  </si>
  <si>
    <t>Fixed costs (low-carbon scenario</t>
  </si>
  <si>
    <t>Nothing</t>
  </si>
  <si>
    <t>Low</t>
  </si>
  <si>
    <t>High</t>
  </si>
  <si>
    <t>N/A</t>
  </si>
  <si>
    <t>2025$/t CO2-eq</t>
  </si>
  <si>
    <t>1975 USD/t C</t>
  </si>
  <si>
    <t>BECCS</t>
  </si>
  <si>
    <t>Mt CO2-eq</t>
  </si>
  <si>
    <t>2025 source</t>
  </si>
  <si>
    <t>R&amp;D Impact</t>
  </si>
  <si>
    <t>Pilot &amp; Demonstrations Impact</t>
  </si>
  <si>
    <t>Reduction in costs</t>
  </si>
  <si>
    <t>Hubs</t>
  </si>
  <si>
    <t>Number of years of acceleration for cost decreases</t>
  </si>
  <si>
    <t>Very High</t>
  </si>
  <si>
    <t>Illinois 2030 and 2050 from Figure 5c less costs (TEW worksheet)</t>
  </si>
  <si>
    <t>TEW (Nature Paper)</t>
  </si>
  <si>
    <t>TEW (Ours) - less input costs</t>
  </si>
  <si>
    <t>Year</t>
  </si>
  <si>
    <t>Scaling</t>
  </si>
  <si>
    <t>3B</t>
  </si>
  <si>
    <t>https://www.congress.gov/bill/118th-congress/senate-bill/3615/text</t>
  </si>
  <si>
    <t>CDR (Mt)</t>
  </si>
  <si>
    <t>Rhodium</t>
  </si>
  <si>
    <t>CDR (USD)</t>
  </si>
  <si>
    <t>LOW</t>
  </si>
  <si>
    <t>3B (Million USD)</t>
  </si>
  <si>
    <t>Rhodium (2024)</t>
  </si>
  <si>
    <t>EFI (2022)</t>
  </si>
  <si>
    <t>Rhodium (Million)</t>
  </si>
  <si>
    <t>Low baseline scenario</t>
  </si>
  <si>
    <t>Avg. Price CDR (Low scenario)</t>
  </si>
  <si>
    <t>HIGH</t>
  </si>
  <si>
    <t>Learning by research rates</t>
  </si>
  <si>
    <t>Comp</t>
  </si>
  <si>
    <t>Offshore wind</t>
  </si>
  <si>
    <t>thermal solar</t>
  </si>
  <si>
    <t>wind power</t>
  </si>
  <si>
    <t>waste to electricity</t>
  </si>
  <si>
    <t>https://journals.sagepub.com/doi/pdf/10.5547/ISSN0195-6574-EJ-Vol28-No3-4</t>
  </si>
  <si>
    <t>Learning by research (table 4 and 5)</t>
  </si>
  <si>
    <t>R&amp;D to early market formation</t>
  </si>
  <si>
    <t>Early market formation to full commercialization</t>
  </si>
  <si>
    <t>Table 2</t>
  </si>
  <si>
    <t>10-44%</t>
  </si>
  <si>
    <t>Wind</t>
  </si>
  <si>
    <t>3-14%</t>
  </si>
  <si>
    <t>Impacts of innovation on renewable energy technology cost reductions</t>
  </si>
  <si>
    <t>4-5%</t>
  </si>
  <si>
    <t>Solar</t>
  </si>
  <si>
    <t>Table 3</t>
  </si>
  <si>
    <t>c</t>
  </si>
  <si>
    <t>elasticity</t>
  </si>
  <si>
    <t>Elasticity</t>
  </si>
  <si>
    <t>Public R&amp;D</t>
  </si>
  <si>
    <t>alpha</t>
  </si>
  <si>
    <t>After 100 $ 100 mil in investment</t>
  </si>
  <si>
    <t>Learning Rate Verification</t>
  </si>
  <si>
    <t>All CDR</t>
  </si>
  <si>
    <t>DAC Sorbent</t>
  </si>
  <si>
    <t>DAC Solvent</t>
  </si>
  <si>
    <t>Learning Rate</t>
  </si>
  <si>
    <t>Cumulative Public R&amp;D</t>
  </si>
  <si>
    <t>Learning Elasticity</t>
  </si>
  <si>
    <t>Alpha</t>
  </si>
  <si>
    <t>Data</t>
  </si>
  <si>
    <t>Testing Equations</t>
  </si>
  <si>
    <t>Additional R&amp;D Spending (2025 Million USD)</t>
  </si>
  <si>
    <t>Cumulative R&amp;D Spending (2025 Million USD)</t>
  </si>
  <si>
    <t>Baseline Costs (2025USD/t CDR)</t>
  </si>
  <si>
    <t>Updated Costs (2025USD/t CDR)</t>
  </si>
  <si>
    <t>Cost Savings (2025USD/t CDR)</t>
  </si>
  <si>
    <t>Percentage Cost Savings</t>
  </si>
  <si>
    <t>All Technologies</t>
  </si>
  <si>
    <t>CDR Policy Scenarios</t>
  </si>
  <si>
    <t>Policy 1</t>
  </si>
  <si>
    <t>Policy 2</t>
  </si>
  <si>
    <t>Policy 3</t>
  </si>
  <si>
    <t>Policy 4</t>
  </si>
  <si>
    <t>Policy 5</t>
  </si>
  <si>
    <t>Policy 6</t>
  </si>
  <si>
    <t>Rhodium $6B</t>
  </si>
  <si>
    <t>Maintain current appropriations</t>
  </si>
  <si>
    <t>Triple R&amp;D</t>
  </si>
  <si>
    <t>CATF (2025)</t>
  </si>
  <si>
    <t>DAC Hubs (Sorbent)</t>
  </si>
  <si>
    <t>DAC Hubs (Solvent)</t>
  </si>
  <si>
    <t>CDR R&amp;D</t>
  </si>
  <si>
    <t>https://www.congress.gov/crs-product/IF11861#:~:text=For%20carbon%20removal%2C%20Congress%</t>
  </si>
  <si>
    <t>2009-2018</t>
  </si>
  <si>
    <t>https://bipartisanpolicy.org/download/?file=/wp-content/uploads/2019/06/Carbon-Removal-Comparing-Historical-Investments-with-the-National-Academies-Recommendations.pdf</t>
  </si>
  <si>
    <t>Same as 2022 non-supplemental investments</t>
  </si>
  <si>
    <t>Total</t>
  </si>
  <si>
    <t>Rhodium $18B</t>
  </si>
  <si>
    <t>Cumulative Public R&amp;D (Million USD)</t>
  </si>
  <si>
    <t>Baseline Parameters</t>
  </si>
  <si>
    <t>BECCS (implemented)</t>
  </si>
  <si>
    <t>Maintain Current Appropriations</t>
  </si>
  <si>
    <t>Triple Appropriations</t>
  </si>
  <si>
    <t>DAC Hubs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</si>
</sst>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1">
    <xf numFmtId="0" fontId="0" fillId="0" borderId="0" xfId="0"/>
    <xf numFmtId="9" fontId="0" fillId="0" borderId="0" xfId="0" applyNumberFormat="1"/>
    <xf numFmtId="49" fontId="0" fillId="0" borderId="0" xfId="0" applyNumberFormat="1"/>
    <xf numFmtId="0" fontId="2" fillId="0" borderId="0" xfId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5" fillId="0" borderId="0" xfId="0" applyFont="1"/>
    <xf numFmtId="9" fontId="0" fillId="0" borderId="0" xfId="3" applyFont="1"/>
    <xf numFmtId="44" fontId="0" fillId="0" borderId="0" xfId="2" applyFont="1"/>
    <xf numFmtId="1" fontId="6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" fontId="0" fillId="0" borderId="0" xfId="2" applyNumberFormat="1" applyFont="1"/>
    <xf numFmtId="10" fontId="0" fillId="0" borderId="0" xfId="2" applyNumberFormat="1" applyFont="1"/>
    <xf numFmtId="44" fontId="0" fillId="2" borderId="0" xfId="2" applyFont="1" applyFill="1"/>
    <xf numFmtId="0" fontId="0" fillId="2" borderId="0" xfId="0" applyFill="1"/>
    <xf numFmtId="0" fontId="5" fillId="0" borderId="0" xfId="0" applyFont="1" applyAlignment="1">
      <alignment horizontal="center"/>
    </xf>
    <xf numFmtId="44" fontId="5" fillId="0" borderId="0" xfId="2" applyFont="1" applyAlignment="1">
      <alignment horizontal="center"/>
    </xf>
    <xf numFmtId="0" fontId="1" fillId="0" borderId="0" xfId="0" applyFont="1" applyAlignment="1">
      <alignment horizont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Non-input</a:t>
            </a:r>
            <a:r>
              <a:rPr lang="en-US" baseline="0"/>
              <a:t> cost of CDR Techs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'Baseline Parameters'!$B$1</c:f>
              <c:strCache>
                <c:ptCount val="1"/>
                <c:pt idx="0">
                  <c:v>DAC (sorbent)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'Baseline Parameters'!$A$2:$A$7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'Baseline Parameters'!$B$2:$B$7</c:f>
              <c:numCache>
                <c:formatCode>General</c:formatCode>
                <c:ptCount val="6"/>
                <c:pt idx="0">
                  <c:v>446</c:v>
                </c:pt>
                <c:pt idx="1">
                  <c:v>380.16957864810638</c:v>
                </c:pt>
                <c:pt idx="2">
                  <c:v>324.05584872080431</c:v>
                </c:pt>
                <c:pt idx="3">
                  <c:v>276.22460866960239</c:v>
                </c:pt>
                <c:pt idx="4">
                  <c:v>235.45334773578654</c:v>
                </c:pt>
                <c:pt idx="5">
                  <c:v>200.70000000000002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1-44F1-8D61-F40F66E0A654}"/>
            </c:ext>
          </c:extLst>
        </c:ser>
        <c:ser>
          <c:idx val="1"/>
          <c:order val="1"/>
          <c:tx>
            <c:strRef>
              <c:f>'Baseline Parameters'!$C$1</c:f>
              <c:strCache>
                <c:ptCount val="1"/>
                <c:pt idx="0">
                  <c:v>DAC (solvent)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'Baseline Parameters'!$A$2:$A$7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'Baseline Parameters'!$C$2:$C$7</c:f>
              <c:numCache>
                <c:formatCode>General</c:formatCode>
                <c:ptCount val="6"/>
                <c:pt idx="0">
                  <c:v>209</c:v>
                </c:pt>
                <c:pt idx="1">
                  <c:v>178.15121510639958</c:v>
                </c:pt>
                <c:pt idx="2">
                  <c:v>151.85576767409884</c:v>
                </c:pt>
                <c:pt idx="3">
                  <c:v>129.4415767084011</c:v>
                </c:pt>
                <c:pt idx="4">
                  <c:v>110.33576160712865</c:v>
                </c:pt>
                <c:pt idx="5">
                  <c:v>94.05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1-44F1-8D61-F40F66E0A654}"/>
            </c:ext>
          </c:extLst>
        </c:ser>
        <c:ser>
          <c:idx val="2"/>
          <c:order val="2"/>
          <c:tx>
            <c:strRef>
              <c:f>'Baseline Parameters'!$D$1</c:f>
              <c:strCache>
                <c:ptCount val="1"/>
                <c:pt idx="0">
                  <c:v>TEW (Nature Paper)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'Baseline Parameters'!$A$2:$A$7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'Baseline Parameters'!$D$2:$D$7</c:f>
              <c:numCache>
                <c:formatCode>General</c:formatCode>
                <c:ptCount val="6"/>
                <c:pt idx="0">
                  <c:v>316.03815554156989</c:v>
                </c:pt>
                <c:pt idx="1">
                  <c:v>265</c:v>
                </c:pt>
                <c:pt idx="2">
                  <c:v>222.20418252872307</c:v>
                </c:pt>
                <c:pt idx="3">
                  <c:v>186.3196178613513</c:v>
                </c:pt>
                <c:pt idx="4">
                  <c:v>156.23018255073828</c:v>
                </c:pt>
                <c:pt idx="5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A1-44F1-8D61-F40F66E0A654}"/>
            </c:ext>
          </c:extLst>
        </c:ser>
        <c:ser>
          <c:idx val="3"/>
          <c:order val="3"/>
          <c:tx>
            <c:strRef>
              <c:f>'Baseline Parameters'!$F$1</c:f>
              <c:strCache>
                <c:ptCount val="1"/>
                <c:pt idx="0">
                  <c:v>OEW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'Baseline Parameters'!$A$2:$A$7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'Baseline Parameters'!$F$2:$F$7</c:f>
              <c:numCache>
                <c:formatCode>General</c:formatCode>
                <c:ptCount val="6"/>
                <c:pt idx="0">
                  <c:v>140</c:v>
                </c:pt>
                <c:pt idx="1">
                  <c:v>126.10085958575935</c:v>
                </c:pt>
                <c:pt idx="2">
                  <c:v>113.58161991619573</c:v>
                </c:pt>
                <c:pt idx="3">
                  <c:v>102.30528503268064</c:v>
                </c:pt>
                <c:pt idx="4">
                  <c:v>92.14845987705111</c:v>
                </c:pt>
                <c:pt idx="5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A1-44F1-8D61-F40F66E0A654}"/>
            </c:ext>
          </c:extLst>
        </c:ser>
        <c:ser>
          <c:idx val="4"/>
          <c:order val="4"/>
          <c:tx>
            <c:strRef>
              <c:f>'Baseline Parameters'!$G$1</c:f>
              <c:strCache>
                <c:ptCount val="1"/>
                <c:pt idx="0">
                  <c:v>BECCS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'Baseline Parameters'!$A$2:$A$7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'Baseline Parameters'!$G$2:$G$7</c:f>
              <c:numCache>
                <c:formatCode>General</c:formatCode>
                <c:ptCount val="6"/>
                <c:pt idx="0">
                  <c:v>232</c:v>
                </c:pt>
                <c:pt idx="1">
                  <c:v>212</c:v>
                </c:pt>
                <c:pt idx="2">
                  <c:v>193.72413793103445</c:v>
                </c:pt>
                <c:pt idx="3">
                  <c:v>177.02378121284181</c:v>
                </c:pt>
                <c:pt idx="4">
                  <c:v>161.7631104186313</c:v>
                </c:pt>
                <c:pt idx="5">
                  <c:v>147.8180146928872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A1-44F1-8D61-F40F66E0A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97296"/>
        <c:axId val="37295376"/>
      </c:lineChart>
      <c:catAx>
        <c:axId val="3729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5376"/>
        <c:crosses val="autoZero"/>
        <c:auto val="1"/>
        <c:lblAlgn val="ctr"/>
        <c:lblOffset val="100"/>
        <c:noMultiLvlLbl val="0"/>
      </c:catAx>
      <c:valAx>
        <c:axId val="3729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2025USD/t CO2-eq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Non-input cost under innovation policy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'Innovation Policy Scenarios'!$B$1</c:f>
              <c:strCache>
                <c:ptCount val="1"/>
                <c:pt idx="0">
                  <c:v>DAC (sorbent)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'Innovation Policy Scenarios'!$A$2:$A$7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'Innovation Policy Scenarios'!$B$2:$B$7</c:f>
              <c:numCache>
                <c:formatCode>General</c:formatCode>
                <c:ptCount val="6"/>
                <c:pt idx="0">
                  <c:v>446.00000000000006</c:v>
                </c:pt>
                <c:pt idx="1">
                  <c:v>323.85932014785305</c:v>
                </c:pt>
                <c:pt idx="2">
                  <c:v>231.91484742105459</c:v>
                </c:pt>
                <c:pt idx="3">
                  <c:v>186.57431874175384</c:v>
                </c:pt>
                <c:pt idx="4">
                  <c:v>159.03560570091938</c:v>
                </c:pt>
                <c:pt idx="5">
                  <c:v>135.56165742010066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6-4FC6-913E-28DF2E67F4D4}"/>
            </c:ext>
          </c:extLst>
        </c:ser>
        <c:ser>
          <c:idx val="2"/>
          <c:order val="2"/>
          <c:tx>
            <c:strRef>
              <c:f>'Innovation Policy Scenarios'!$C$1</c:f>
              <c:strCache>
                <c:ptCount val="1"/>
                <c:pt idx="0">
                  <c:v>DAC (solvent)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'Innovation Policy Scenarios'!$A$2:$A$7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'Innovation Policy Scenarios'!$C$2:$C$7</c:f>
              <c:numCache>
                <c:formatCode>General</c:formatCode>
                <c:ptCount val="6"/>
                <c:pt idx="0">
                  <c:v>208.99999999999997</c:v>
                </c:pt>
                <c:pt idx="1">
                  <c:v>151.76367244596696</c:v>
                </c:pt>
                <c:pt idx="2">
                  <c:v>108.67758545067353</c:v>
                </c:pt>
                <c:pt idx="3">
                  <c:v>87.43056640588911</c:v>
                </c:pt>
                <c:pt idx="4">
                  <c:v>74.52565379258327</c:v>
                </c:pt>
                <c:pt idx="5">
                  <c:v>63.525530046639084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B6-4FC6-913E-28DF2E67F4D4}"/>
            </c:ext>
          </c:extLst>
        </c:ser>
        <c:ser>
          <c:idx val="3"/>
          <c:order val="3"/>
          <c:tx>
            <c:strRef>
              <c:f>'Innovation Policy Scenarios'!$D$1</c:f>
              <c:strCache>
                <c:ptCount val="1"/>
                <c:pt idx="0">
                  <c:v>TEW (Nature Paper)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'Innovation Policy Scenarios'!$A$2:$A$7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'Innovation Policy Scenarios'!$D$2:$D$7</c:f>
              <c:numCache>
                <c:formatCode>General</c:formatCode>
                <c:ptCount val="6"/>
                <c:pt idx="0">
                  <c:v>316.03815554156989</c:v>
                </c:pt>
                <c:pt idx="1">
                  <c:v>230.55794999999995</c:v>
                </c:pt>
                <c:pt idx="2">
                  <c:v>165.92430717784811</c:v>
                </c:pt>
                <c:pt idx="3">
                  <c:v>134.15012486017295</c:v>
                </c:pt>
                <c:pt idx="4">
                  <c:v>112.48573143653158</c:v>
                </c:pt>
                <c:pt idx="5">
                  <c:v>94.319999999999965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B6-4FC6-913E-28DF2E67F4D4}"/>
            </c:ext>
          </c:extLst>
        </c:ser>
        <c:ser>
          <c:idx val="4"/>
          <c:order val="4"/>
          <c:tx>
            <c:strRef>
              <c:f>'Innovation Policy Scenarios'!$E$1</c:f>
              <c:strCache>
                <c:ptCount val="1"/>
                <c:pt idx="0">
                  <c:v>TEW (Ours) - less input costs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'Innovation Policy Scenarios'!$A$2:$A$7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'Innovation Policy Scenarios'!$E$2:$E$7</c:f>
              <c:numCache>
                <c:formatCode>General</c:formatCode>
                <c:ptCount val="6"/>
                <c:pt idx="0">
                  <c:v>269.98072031209182</c:v>
                </c:pt>
                <c:pt idx="1">
                  <c:v>180.92669318181808</c:v>
                </c:pt>
                <c:pt idx="2">
                  <c:v>119.608451259473</c:v>
                </c:pt>
                <c:pt idx="3">
                  <c:v>88.832573878156737</c:v>
                </c:pt>
                <c:pt idx="4">
                  <c:v>68.423913755896564</c:v>
                </c:pt>
                <c:pt idx="5">
                  <c:v>52.703999999999972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B6-4FC6-913E-28DF2E67F4D4}"/>
            </c:ext>
          </c:extLst>
        </c:ser>
        <c:ser>
          <c:idx val="5"/>
          <c:order val="5"/>
          <c:tx>
            <c:strRef>
              <c:f>'Innovation Policy Scenarios'!$F$1</c:f>
              <c:strCache>
                <c:ptCount val="1"/>
                <c:pt idx="0">
                  <c:v>OEW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'Innovation Policy Scenarios'!$A$2:$A$7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'Innovation Policy Scenarios'!$F$2:$F$7</c:f>
              <c:numCache>
                <c:formatCode>General</c:formatCode>
                <c:ptCount val="6"/>
                <c:pt idx="0">
                  <c:v>139.99999999999994</c:v>
                </c:pt>
                <c:pt idx="1">
                  <c:v>109.7115308653982</c:v>
                </c:pt>
                <c:pt idx="2">
                  <c:v>84.813667223821682</c:v>
                </c:pt>
                <c:pt idx="3">
                  <c:v>73.659805223530071</c:v>
                </c:pt>
                <c:pt idx="4">
                  <c:v>66.346891111476808</c:v>
                </c:pt>
                <c:pt idx="5">
                  <c:v>59.760000000000026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8B-4E2A-921E-865D173543CD}"/>
            </c:ext>
          </c:extLst>
        </c:ser>
        <c:ser>
          <c:idx val="6"/>
          <c:order val="6"/>
          <c:tx>
            <c:strRef>
              <c:f>'Innovation Policy Scenarios'!$G$1</c:f>
              <c:strCache>
                <c:ptCount val="1"/>
                <c:pt idx="0">
                  <c:v>BECCS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'Innovation Policy Scenarios'!$A$2:$A$7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'Innovation Policy Scenarios'!$G$2:$G$7</c:f>
              <c:numCache>
                <c:formatCode>General</c:formatCode>
                <c:ptCount val="6"/>
                <c:pt idx="0">
                  <c:v>231.99999999999997</c:v>
                </c:pt>
                <c:pt idx="1">
                  <c:v>184.44635999999997</c:v>
                </c:pt>
                <c:pt idx="2">
                  <c:v>144.65768827586206</c:v>
                </c:pt>
                <c:pt idx="3">
                  <c:v>127.45712247324612</c:v>
                </c:pt>
                <c:pt idx="4">
                  <c:v>116.46943950141454</c:v>
                </c:pt>
                <c:pt idx="5">
                  <c:v>106.42897057887879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8B-4E2A-921E-865D17354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440576"/>
        <c:axId val="2624415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'Innovation Policy Scenarios'!$A$1</c15:sqref>
                        </c15:formulaRef>
                      </c:ext>
                    </c:extLst>
                    <c:strCache>
                      <c:ptCount val="1"/>
                      <c:pt idx="0">
                        <c:v>Tech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'Innovation Policy Scenarios'!$A$2:$A$7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2025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2045</c:v>
                      </c:pt>
                      <c:pt idx="5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'Innovation Policy Scenarios'!$A$2:$A$7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2025</c:v>
                      </c:pt>
                      <c:pt idx="1">
                        <c:v>2030</c:v>
                      </c:pt>
                      <c:pt idx="2">
                        <c:v>2035</c:v>
                      </c:pt>
                      <c:pt idx="3">
                        <c:v>2040</c:v>
                      </c:pt>
                      <c:pt idx="4">
                        <c:v>2045</c:v>
                      </c:pt>
                      <c:pt idx="5">
                        <c:v>2050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4B6-4FC6-913E-28DF2E67F4D4}"/>
                  </c:ext>
                </c:extLst>
              </c15:ser>
            </c15:filteredLineSeries>
          </c:ext>
        </c:extLst>
      </c:lineChart>
      <c:catAx>
        <c:axId val="26244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41536"/>
        <c:crosses val="autoZero"/>
        <c:auto val="1"/>
        <c:lblAlgn val="ctr"/>
        <c:lblOffset val="100"/>
        <c:noMultiLvlLbl val="0"/>
      </c:catAx>
      <c:valAx>
        <c:axId val="2624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2025USD/t CO2-eq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4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16</xdr:row>
      <xdr:rowOff>0</xdr:rowOff>
    </xdr:from>
    <xdr:to>
      <xdr:col>26</xdr:col>
      <xdr:colOff>485775</xdr:colOff>
      <xdr:row>17</xdr:row>
      <xdr:rowOff>0</xdr:rowOff>
    </xdr:to>
    <xdr:sp macro="" textlink="">
      <xdr:nvSpPr>
        <xdr:cNvPr id="1025" name="AutoShape 1" descr=" lny=lnA+Bx. ">
          <a:extLst>
            <a:ext uri="{FF2B5EF4-FFF2-40B4-BE49-F238E27FC236}">
              <a16:creationId xmlns:a16="http://schemas.microsoft.com/office/drawing/2014/main" id="{ADAE541F-E527-ECF2-7BB2-0FE193C3067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24000"/>
          <a:ext cx="10953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542925</xdr:colOff>
      <xdr:row>5</xdr:row>
      <xdr:rowOff>128587</xdr:rowOff>
    </xdr:from>
    <xdr:to>
      <xdr:col>21</xdr:col>
      <xdr:colOff>238125</xdr:colOff>
      <xdr:row>20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6D51A6-9F1D-8C8F-5671-E52AAFB0E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223837</xdr:colOff>
      <xdr:row>15</xdr:row>
      <xdr:rowOff>14287</xdr:rowOff>
    </xdr:from>
    <xdr:to>
      <xdr:col>7</xdr:col>
      <xdr:colOff>528637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D57AB-41EA-418C-5A28-26CB53F42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ure.com/articles/s41586-024-08429-2.pdf" TargetMode="External"/><Relationship Id="rId2" Type="http://schemas.openxmlformats.org/officeDocument/2006/relationships/hyperlink" Target="https://www.nature.com/articles/s41586-024-08429-2.pdf" TargetMode="External"/><Relationship Id="rId1" Type="http://schemas.openxmlformats.org/officeDocument/2006/relationships/hyperlink" Target="https://info.opisnet.com/hubfs/CDR%20Price%20Survey%20White%20Paper-Email.pdf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iopscience.iop.org/article/10.1088/1748-9326/ad5192/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ournals.sagepub.com/doi/pdf/10.5547/ISSN0195-6574-EJ-Vol28-No3-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.opisnet.com/hubfs/CDR%20Price%20Survey%20White%20Paper-Emai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07AE-8A39-4CED-9C15-8283B0F8343C}">
  <dimension ref="A1:AA24"/>
  <sheetViews>
    <sheetView workbookViewId="0">
      <selection activeCell="E3" sqref="E3"/>
    </sheetView>
  </sheetViews>
  <sheetFormatPr defaultRowHeight="15" x14ac:dyDescent="0.25"/>
  <cols>
    <col min="2" max="2" width="11" bestFit="1" customWidth="1"/>
  </cols>
  <sheetData>
    <row r="1" spans="1:13" x14ac:dyDescent="0.25">
      <c r="A1" t="s">
        <v>0</v>
      </c>
      <c r="B1" t="s">
        <v>9</v>
      </c>
      <c r="C1" t="s">
        <v>8</v>
      </c>
      <c r="D1" t="s">
        <v>38</v>
      </c>
      <c r="E1" t="s">
        <v>39</v>
      </c>
      <c r="F1" t="s">
        <v>3</v>
      </c>
      <c r="G1" t="s">
        <v>28</v>
      </c>
      <c r="H1" t="s">
        <v>28</v>
      </c>
      <c r="J1" t="s">
        <v>22</v>
      </c>
      <c r="K1" t="s">
        <v>23</v>
      </c>
      <c r="L1" t="s">
        <v>24</v>
      </c>
      <c r="M1" t="s">
        <v>36</v>
      </c>
    </row>
    <row r="2" spans="1:13" x14ac:dyDescent="0.25">
      <c r="A2">
        <v>2025</v>
      </c>
      <c r="B2">
        <v>446</v>
      </c>
      <c r="C2">
        <v>209</v>
      </c>
      <c r="D2">
        <f>D$13*EXP(D$14*($A2-$A$3))</f>
        <v>316.03815554156989</v>
      </c>
      <c r="E2">
        <f>E$13*EXP(E$14*($A2-$A$3))</f>
        <v>269.98072031209182</v>
      </c>
      <c r="F2">
        <v>140</v>
      </c>
      <c r="G2">
        <v>232</v>
      </c>
      <c r="H2">
        <f>G2/6.1/1000*44/12</f>
        <v>0.13945355191256831</v>
      </c>
      <c r="J2">
        <v>13.5</v>
      </c>
      <c r="K2">
        <v>13.5</v>
      </c>
      <c r="L2">
        <v>13.5</v>
      </c>
      <c r="M2">
        <v>13.5</v>
      </c>
    </row>
    <row r="3" spans="1:13" x14ac:dyDescent="0.25">
      <c r="A3">
        <v>2030</v>
      </c>
      <c r="B3">
        <f t="shared" ref="B3:C6" si="0">B$13*EXP(B$14*($A3-$A$2))</f>
        <v>380.16957864810638</v>
      </c>
      <c r="C3">
        <f t="shared" si="0"/>
        <v>178.15121510639958</v>
      </c>
      <c r="D3">
        <v>265</v>
      </c>
      <c r="E3">
        <f>0.125*6.1*12/44*1000</f>
        <v>207.95454545454541</v>
      </c>
      <c r="F3">
        <f>F$13*EXP(F$14*($A3-$A$2))</f>
        <v>126.10085958575935</v>
      </c>
      <c r="G3">
        <v>212</v>
      </c>
      <c r="H3">
        <f t="shared" ref="H3:H7" si="1">G3/6.1/1000*44/12</f>
        <v>0.12743169398907103</v>
      </c>
      <c r="J3">
        <f t="shared" ref="J3:M6" si="2">J$13*EXP(J$14*($A3-$A$2))</f>
        <v>20.149627171231938</v>
      </c>
      <c r="K3">
        <f t="shared" si="2"/>
        <v>27.801038275533536</v>
      </c>
      <c r="L3">
        <f t="shared" si="2"/>
        <v>34.63261353326736</v>
      </c>
      <c r="M3">
        <f t="shared" si="2"/>
        <v>38.046022739216987</v>
      </c>
    </row>
    <row r="4" spans="1:13" x14ac:dyDescent="0.25">
      <c r="A4">
        <v>2035</v>
      </c>
      <c r="B4">
        <f t="shared" si="0"/>
        <v>324.05584872080431</v>
      </c>
      <c r="C4">
        <f t="shared" si="0"/>
        <v>151.85576767409884</v>
      </c>
      <c r="D4">
        <f t="shared" ref="D4:E6" si="3">D$13*EXP(D$14*($A4-$A$3))</f>
        <v>222.20418252872307</v>
      </c>
      <c r="E4">
        <f t="shared" si="3"/>
        <v>160.17844876188263</v>
      </c>
      <c r="F4">
        <f>F$13*EXP(F$14*($A4-$A$2))</f>
        <v>113.58161991619573</v>
      </c>
      <c r="G4">
        <f>G$13*EXP(G$14*($A4-$A$2))</f>
        <v>193.72413793103445</v>
      </c>
      <c r="H4">
        <f t="shared" si="1"/>
        <v>0.1164462031279442</v>
      </c>
      <c r="J4">
        <f t="shared" si="2"/>
        <v>30.074627788122108</v>
      </c>
      <c r="K4">
        <f t="shared" si="2"/>
        <v>57.251683644272632</v>
      </c>
      <c r="L4">
        <f t="shared" si="2"/>
        <v>88.845771862566906</v>
      </c>
      <c r="M4">
        <f t="shared" si="2"/>
        <v>107.22221083503824</v>
      </c>
    </row>
    <row r="5" spans="1:13" x14ac:dyDescent="0.25">
      <c r="A5">
        <v>2040</v>
      </c>
      <c r="B5">
        <f t="shared" si="0"/>
        <v>276.22460866960239</v>
      </c>
      <c r="C5">
        <f t="shared" si="0"/>
        <v>129.4415767084011</v>
      </c>
      <c r="D5">
        <f t="shared" si="3"/>
        <v>186.3196178613513</v>
      </c>
      <c r="E5">
        <f t="shared" si="3"/>
        <v>123.37857483077323</v>
      </c>
      <c r="F5">
        <f>F$13*EXP(F$14*($A5-$A$2))</f>
        <v>102.30528503268064</v>
      </c>
      <c r="G5">
        <f>G$13*EXP(G$14*($A5-$A$2))</f>
        <v>177.02378121284181</v>
      </c>
      <c r="H5">
        <f t="shared" si="1"/>
        <v>0.10640773734105245</v>
      </c>
      <c r="J5">
        <f t="shared" si="2"/>
        <v>44.888336092165353</v>
      </c>
      <c r="K5">
        <f t="shared" si="2"/>
        <v>117.90046283949337</v>
      </c>
      <c r="L5">
        <f t="shared" si="2"/>
        <v>227.9230578504532</v>
      </c>
      <c r="M5">
        <f t="shared" si="2"/>
        <v>302.17619789473957</v>
      </c>
    </row>
    <row r="6" spans="1:13" x14ac:dyDescent="0.25">
      <c r="A6">
        <v>2045</v>
      </c>
      <c r="B6">
        <f t="shared" si="0"/>
        <v>235.45334773578654</v>
      </c>
      <c r="C6">
        <f t="shared" si="0"/>
        <v>110.33576160712865</v>
      </c>
      <c r="D6">
        <f t="shared" si="3"/>
        <v>156.23018255073828</v>
      </c>
      <c r="E6">
        <f t="shared" si="3"/>
        <v>95.033213549856328</v>
      </c>
      <c r="F6">
        <f>F$13*EXP(F$14*($A6-$A$2))</f>
        <v>92.14845987705111</v>
      </c>
      <c r="G6">
        <f>G$13*EXP(G$14*($A6-$A$2))</f>
        <v>161.7631104186313</v>
      </c>
      <c r="H6">
        <f t="shared" si="1"/>
        <v>9.7234656535789318E-2</v>
      </c>
      <c r="J6">
        <f t="shared" si="2"/>
        <v>66.998758266228606</v>
      </c>
      <c r="K6">
        <f t="shared" si="2"/>
        <v>242.79668741510181</v>
      </c>
      <c r="L6">
        <f t="shared" si="2"/>
        <v>584.70897613742852</v>
      </c>
      <c r="M6">
        <f t="shared" si="2"/>
        <v>851.60018491506594</v>
      </c>
    </row>
    <row r="7" spans="1:13" x14ac:dyDescent="0.25">
      <c r="A7">
        <v>2050</v>
      </c>
      <c r="B7">
        <f>B2*B17</f>
        <v>200.70000000000002</v>
      </c>
      <c r="C7">
        <f>C2*C17</f>
        <v>94.05</v>
      </c>
      <c r="D7">
        <v>131</v>
      </c>
      <c r="E7">
        <f>0.044*6.1*12/44*1000</f>
        <v>73.199999999999989</v>
      </c>
      <c r="F7">
        <v>83</v>
      </c>
      <c r="G7">
        <f>G$13*EXP(G$14*($A7-$A$2))</f>
        <v>147.8180146928872</v>
      </c>
      <c r="H7">
        <f t="shared" si="1"/>
        <v>8.8852358558566089E-2</v>
      </c>
      <c r="J7">
        <v>100</v>
      </c>
      <c r="K7">
        <v>500</v>
      </c>
      <c r="L7">
        <v>1500</v>
      </c>
      <c r="M7">
        <v>2400</v>
      </c>
    </row>
    <row r="8" spans="1:13" x14ac:dyDescent="0.25">
      <c r="A8" t="s">
        <v>5</v>
      </c>
      <c r="B8" t="s">
        <v>6</v>
      </c>
      <c r="C8" t="s">
        <v>6</v>
      </c>
      <c r="D8" s="3" t="s">
        <v>18</v>
      </c>
      <c r="E8" s="3" t="s">
        <v>18</v>
      </c>
      <c r="F8" s="3" t="s">
        <v>20</v>
      </c>
      <c r="G8" s="3" t="s">
        <v>17</v>
      </c>
      <c r="J8" s="4" t="s">
        <v>25</v>
      </c>
      <c r="K8" s="4" t="s">
        <v>25</v>
      </c>
      <c r="L8" s="4" t="s">
        <v>25</v>
      </c>
      <c r="M8" s="4" t="s">
        <v>25</v>
      </c>
    </row>
    <row r="9" spans="1:13" x14ac:dyDescent="0.25">
      <c r="A9" t="s">
        <v>1</v>
      </c>
      <c r="B9" s="2" t="s">
        <v>12</v>
      </c>
      <c r="C9" s="2" t="s">
        <v>12</v>
      </c>
      <c r="D9">
        <v>432</v>
      </c>
      <c r="E9">
        <v>432</v>
      </c>
      <c r="F9">
        <v>8</v>
      </c>
      <c r="G9">
        <v>4</v>
      </c>
    </row>
    <row r="10" spans="1:13" x14ac:dyDescent="0.25">
      <c r="A10" t="s">
        <v>15</v>
      </c>
      <c r="B10" t="s">
        <v>16</v>
      </c>
      <c r="C10" t="s">
        <v>16</v>
      </c>
      <c r="D10" t="s">
        <v>37</v>
      </c>
      <c r="E10" t="s">
        <v>37</v>
      </c>
      <c r="F10" t="s">
        <v>21</v>
      </c>
    </row>
    <row r="11" spans="1:13" x14ac:dyDescent="0.25">
      <c r="A11" t="s">
        <v>7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27</v>
      </c>
      <c r="J11" t="s">
        <v>29</v>
      </c>
      <c r="K11" t="s">
        <v>29</v>
      </c>
      <c r="L11" t="s">
        <v>29</v>
      </c>
    </row>
    <row r="13" spans="1:13" x14ac:dyDescent="0.25">
      <c r="A13" t="s">
        <v>13</v>
      </c>
      <c r="B13">
        <f>EXP(LN(B2)-B14*0)</f>
        <v>446.00000000000006</v>
      </c>
      <c r="C13">
        <f>EXP(LN(C2)-C14*0)</f>
        <v>208.99999999999997</v>
      </c>
      <c r="D13">
        <f>EXP(LN(D3)-D14*0)</f>
        <v>264.99999999999994</v>
      </c>
      <c r="E13">
        <f>EXP(LN(E3)-E14*0)</f>
        <v>207.95454545454535</v>
      </c>
      <c r="F13">
        <f t="shared" ref="F13:G13" si="4">EXP(LN(F2)-F14*0)</f>
        <v>139.99999999999994</v>
      </c>
      <c r="G13">
        <f t="shared" si="4"/>
        <v>231.99999999999997</v>
      </c>
      <c r="J13">
        <f t="shared" ref="J13" si="5">EXP(LN(J2)-J14*0)</f>
        <v>13.5</v>
      </c>
      <c r="K13">
        <f t="shared" ref="K13" si="6">EXP(LN(K2)-K14*0)</f>
        <v>13.5</v>
      </c>
      <c r="L13">
        <f t="shared" ref="L13:M13" si="7">EXP(LN(L2)-L14*0)</f>
        <v>13.5</v>
      </c>
      <c r="M13">
        <f t="shared" si="7"/>
        <v>13.5</v>
      </c>
    </row>
    <row r="14" spans="1:13" x14ac:dyDescent="0.25">
      <c r="A14" t="s">
        <v>14</v>
      </c>
      <c r="B14">
        <f>(LN(B2)-LN(B7))/($A2-$A7)</f>
        <v>-3.1940307848710853E-2</v>
      </c>
      <c r="C14">
        <f>(LN(C2)-LN(C7))/($A2-$A7)</f>
        <v>-3.1940307848710853E-2</v>
      </c>
      <c r="D14">
        <f>(LN(D3)-LN(D7))/($A3-$A7)</f>
        <v>-3.5226625139253544E-2</v>
      </c>
      <c r="E14">
        <f>(LN(E3)-LN(E7))/($A3-$A7)</f>
        <v>-5.2206205169202005E-2</v>
      </c>
      <c r="F14">
        <f>(LN(F2)-LN(F7))/($A2-$A7)</f>
        <v>-2.0912072592508223E-2</v>
      </c>
      <c r="G14">
        <f>(LN(G2)-LN(G3))/($A2-$A3)</f>
        <v>-1.8030219398859515E-2</v>
      </c>
      <c r="J14">
        <f>(LN(J2)-LN(J7))/($A2-$A7)</f>
        <v>8.0099220021748324E-2</v>
      </c>
      <c r="K14">
        <f t="shared" ref="K14:L14" si="8">(LN(K2)-LN(K7))/($A2-$A7)</f>
        <v>0.1444767365191123</v>
      </c>
      <c r="L14">
        <f t="shared" si="8"/>
        <v>0.18842122806583672</v>
      </c>
      <c r="M14">
        <f t="shared" ref="M14" si="9">(LN(M2)-LN(M7))/($A2-$A7)</f>
        <v>0.20722137323566614</v>
      </c>
    </row>
    <row r="17" spans="1:27" x14ac:dyDescent="0.25">
      <c r="A17" t="s">
        <v>10</v>
      </c>
      <c r="B17" s="1">
        <v>0.45</v>
      </c>
      <c r="C17" s="1">
        <v>0.45</v>
      </c>
      <c r="D17" s="1"/>
      <c r="I17" t="s">
        <v>30</v>
      </c>
      <c r="J17" t="s">
        <v>4</v>
      </c>
      <c r="K17" t="s">
        <v>4</v>
      </c>
      <c r="L17" t="s">
        <v>4</v>
      </c>
    </row>
    <row r="18" spans="1:27" x14ac:dyDescent="0.25">
      <c r="A18" t="s">
        <v>11</v>
      </c>
      <c r="B18">
        <v>25</v>
      </c>
      <c r="C18">
        <v>25</v>
      </c>
      <c r="I18" t="s">
        <v>1</v>
      </c>
      <c r="J18">
        <v>42</v>
      </c>
      <c r="K18">
        <v>42</v>
      </c>
      <c r="L18">
        <v>42</v>
      </c>
    </row>
    <row r="19" spans="1:27" x14ac:dyDescent="0.25">
      <c r="A19" t="s">
        <v>5</v>
      </c>
      <c r="B19" t="s">
        <v>4</v>
      </c>
      <c r="C19" t="s">
        <v>4</v>
      </c>
    </row>
    <row r="20" spans="1:27" x14ac:dyDescent="0.25">
      <c r="A20" t="s">
        <v>1</v>
      </c>
      <c r="B20">
        <v>44</v>
      </c>
      <c r="C20">
        <v>44</v>
      </c>
    </row>
    <row r="23" spans="1:27" x14ac:dyDescent="0.25">
      <c r="U23" s="2"/>
      <c r="AA23" s="1"/>
    </row>
    <row r="24" spans="1:27" x14ac:dyDescent="0.25">
      <c r="U24" s="2"/>
      <c r="AA24" s="1"/>
    </row>
  </sheetData>
  <phoneticPr fontId="3" type="noConversion"/>
  <hyperlinks>
    <hyperlink ref="G8" r:id="rId1" display="https://info.opisnet.com/hubfs/CDR Price Survey White Paper-Email.pdf" xr:uid="{CC158B7C-E4A0-48D9-9303-73D590522FCC}"/>
    <hyperlink ref="D8" r:id="rId2" xr:uid="{EFC78798-2563-4766-9FAD-EF08B1A29709}"/>
    <hyperlink ref="E8" r:id="rId3" xr:uid="{5DABCDEF-5B5D-4B35-9C6F-0E02DE3477A2}"/>
    <hyperlink ref="F8" r:id="rId4" xr:uid="{EE1C265B-61F3-4F37-850F-40A9D6842C42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1749-67AB-462A-BE29-983F9537704D}">
  <dimension ref="A1:AA66"/>
  <sheetViews>
    <sheetView topLeftCell="G26" workbookViewId="0">
      <selection activeCell="W30" sqref="W30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17.42578125" bestFit="1" customWidth="1"/>
    <col min="4" max="4" width="23.85546875" customWidth="1"/>
    <col min="5" max="5" width="18.140625" bestFit="1" customWidth="1"/>
    <col min="6" max="6" width="17.7109375" bestFit="1" customWidth="1"/>
    <col min="8" max="8" width="21.5703125" style="13" bestFit="1" customWidth="1"/>
    <col min="9" max="9" width="10.5703125" bestFit="1" customWidth="1"/>
    <col min="10" max="10" width="13.28515625" bestFit="1" customWidth="1"/>
    <col min="11" max="11" width="12.7109375" bestFit="1" customWidth="1"/>
    <col min="12" max="14" width="10.5703125" bestFit="1" customWidth="1"/>
    <col min="17" max="22" width="12" bestFit="1" customWidth="1"/>
  </cols>
  <sheetData>
    <row r="1" spans="1:27" ht="21" x14ac:dyDescent="0.35">
      <c r="A1" s="4" t="s">
        <v>87</v>
      </c>
      <c r="H1" s="11" t="s">
        <v>95</v>
      </c>
      <c r="I1" t="s">
        <v>28</v>
      </c>
      <c r="J1" t="s">
        <v>81</v>
      </c>
      <c r="K1" t="s">
        <v>82</v>
      </c>
      <c r="L1" t="s">
        <v>2</v>
      </c>
      <c r="M1" t="s">
        <v>3</v>
      </c>
      <c r="N1" t="s">
        <v>80</v>
      </c>
      <c r="P1" s="1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Y1" t="s">
        <v>40</v>
      </c>
      <c r="Z1" t="s">
        <v>109</v>
      </c>
      <c r="AA1" t="s">
        <v>5</v>
      </c>
    </row>
    <row r="2" spans="1:27" x14ac:dyDescent="0.25">
      <c r="A2" t="s">
        <v>55</v>
      </c>
      <c r="B2" t="s">
        <v>75</v>
      </c>
      <c r="C2" t="s">
        <v>56</v>
      </c>
      <c r="D2" t="s">
        <v>5</v>
      </c>
      <c r="H2" s="12" t="s">
        <v>83</v>
      </c>
      <c r="I2" s="9">
        <f>1-2^I3</f>
        <v>4.9999617125113915E-2</v>
      </c>
      <c r="J2" s="9">
        <f t="shared" ref="J2:N2" si="0">1-2^J3</f>
        <v>4.9999617125113915E-2</v>
      </c>
      <c r="K2" s="9">
        <f t="shared" si="0"/>
        <v>4.9999617125113915E-2</v>
      </c>
      <c r="L2" s="9">
        <f t="shared" si="0"/>
        <v>4.9999617125113915E-2</v>
      </c>
      <c r="M2" s="9">
        <f t="shared" si="0"/>
        <v>4.9999617125113915E-2</v>
      </c>
      <c r="N2" s="9">
        <f t="shared" si="0"/>
        <v>4.9999617125113915E-2</v>
      </c>
      <c r="P2" s="12" t="s">
        <v>83</v>
      </c>
      <c r="Q2" s="9">
        <f>1-2^Q3</f>
        <v>4.9999617125113915E-2</v>
      </c>
      <c r="R2" s="9">
        <f t="shared" ref="R2" si="1">1-2^R3</f>
        <v>4.9999617125113915E-2</v>
      </c>
      <c r="S2" s="9">
        <f t="shared" ref="S2" si="2">1-2^S3</f>
        <v>4.9999617125113915E-2</v>
      </c>
      <c r="T2" s="9">
        <f t="shared" ref="T2" si="3">1-2^T3</f>
        <v>4.9999617125113915E-2</v>
      </c>
      <c r="U2" s="9">
        <f t="shared" ref="U2" si="4">1-2^U3</f>
        <v>4.9999617125113915E-2</v>
      </c>
      <c r="V2" s="9">
        <f t="shared" ref="V2" si="5">1-2^V3</f>
        <v>4.9999617125113915E-2</v>
      </c>
      <c r="Y2" t="s">
        <v>111</v>
      </c>
      <c r="Z2">
        <v>1045</v>
      </c>
      <c r="AA2" t="s">
        <v>112</v>
      </c>
    </row>
    <row r="3" spans="1:27" x14ac:dyDescent="0.25">
      <c r="A3" s="7">
        <v>4.9000000000000002E-2</v>
      </c>
      <c r="B3" s="5">
        <v>-7.1999999999999995E-2</v>
      </c>
      <c r="C3" t="s">
        <v>57</v>
      </c>
      <c r="D3" s="3" t="s">
        <v>61</v>
      </c>
      <c r="E3" t="s">
        <v>62</v>
      </c>
      <c r="H3" s="13" t="s">
        <v>85</v>
      </c>
      <c r="I3">
        <v>-7.3999999999999996E-2</v>
      </c>
      <c r="J3">
        <v>-7.3999999999999996E-2</v>
      </c>
      <c r="K3">
        <v>-7.3999999999999996E-2</v>
      </c>
      <c r="L3">
        <v>-7.3999999999999996E-2</v>
      </c>
      <c r="M3">
        <v>-7.3999999999999996E-2</v>
      </c>
      <c r="N3">
        <v>-7.3999999999999996E-2</v>
      </c>
      <c r="P3" s="13" t="s">
        <v>85</v>
      </c>
      <c r="Q3">
        <v>-7.3999999999999996E-2</v>
      </c>
      <c r="R3">
        <v>-7.3999999999999996E-2</v>
      </c>
      <c r="S3">
        <v>-7.3999999999999996E-2</v>
      </c>
      <c r="T3">
        <v>-7.3999999999999996E-2</v>
      </c>
      <c r="U3">
        <v>-7.3999999999999996E-2</v>
      </c>
      <c r="V3">
        <v>-7.3999999999999996E-2</v>
      </c>
      <c r="Y3">
        <v>2019</v>
      </c>
      <c r="Z3">
        <v>104</v>
      </c>
      <c r="AA3" t="s">
        <v>113</v>
      </c>
    </row>
    <row r="4" spans="1:27" x14ac:dyDescent="0.25">
      <c r="A4" s="7">
        <v>5.2999999999999999E-2</v>
      </c>
      <c r="B4" s="5">
        <v>-7.8E-2</v>
      </c>
      <c r="C4" t="s">
        <v>58</v>
      </c>
      <c r="D4" t="s">
        <v>61</v>
      </c>
      <c r="E4" t="s">
        <v>62</v>
      </c>
      <c r="H4" s="13" t="s">
        <v>84</v>
      </c>
      <c r="I4">
        <f t="shared" ref="I4:N4" si="6">$Z$9</f>
        <v>1719</v>
      </c>
      <c r="J4">
        <f t="shared" si="6"/>
        <v>1719</v>
      </c>
      <c r="K4">
        <f t="shared" si="6"/>
        <v>1719</v>
      </c>
      <c r="L4">
        <f t="shared" si="6"/>
        <v>1719</v>
      </c>
      <c r="M4">
        <f t="shared" si="6"/>
        <v>1719</v>
      </c>
      <c r="N4">
        <f t="shared" si="6"/>
        <v>1719</v>
      </c>
      <c r="P4" s="13" t="s">
        <v>116</v>
      </c>
      <c r="Q4">
        <f>$Z$9</f>
        <v>1719</v>
      </c>
      <c r="R4">
        <f>Q4</f>
        <v>1719</v>
      </c>
      <c r="S4">
        <f>R4</f>
        <v>1719</v>
      </c>
      <c r="T4">
        <f>S4</f>
        <v>1719</v>
      </c>
      <c r="U4">
        <f>T4</f>
        <v>1719</v>
      </c>
      <c r="V4">
        <f>T4</f>
        <v>1719</v>
      </c>
      <c r="Y4">
        <v>2020</v>
      </c>
      <c r="Z4">
        <v>104</v>
      </c>
      <c r="AA4" t="s">
        <v>113</v>
      </c>
    </row>
    <row r="5" spans="1:27" x14ac:dyDescent="0.25">
      <c r="A5" s="7">
        <v>0.26800000000000002</v>
      </c>
      <c r="B5" s="5">
        <v>-0.45</v>
      </c>
      <c r="C5" t="s">
        <v>59</v>
      </c>
      <c r="D5" t="s">
        <v>61</v>
      </c>
      <c r="E5" t="s">
        <v>62</v>
      </c>
      <c r="H5" s="18" t="s">
        <v>86</v>
      </c>
      <c r="I5" s="18"/>
      <c r="J5" s="18"/>
      <c r="K5" s="18"/>
      <c r="L5" s="18"/>
      <c r="M5" s="18"/>
      <c r="N5" s="18"/>
      <c r="P5" s="18" t="s">
        <v>86</v>
      </c>
      <c r="Q5" s="18"/>
      <c r="R5" s="18"/>
      <c r="S5" s="18"/>
      <c r="T5" s="18"/>
      <c r="U5" s="18"/>
      <c r="V5" s="18"/>
      <c r="Y5">
        <v>2021</v>
      </c>
      <c r="Z5">
        <v>104</v>
      </c>
      <c r="AA5" t="s">
        <v>113</v>
      </c>
    </row>
    <row r="6" spans="1:27" x14ac:dyDescent="0.25">
      <c r="A6" s="7">
        <v>0.437</v>
      </c>
      <c r="B6" s="5">
        <v>-0.82899999999999996</v>
      </c>
      <c r="C6" t="s">
        <v>60</v>
      </c>
      <c r="D6" t="s">
        <v>61</v>
      </c>
      <c r="E6" t="s">
        <v>62</v>
      </c>
      <c r="H6" t="s">
        <v>40</v>
      </c>
      <c r="I6" t="s">
        <v>28</v>
      </c>
      <c r="J6" t="s">
        <v>81</v>
      </c>
      <c r="K6" t="s">
        <v>82</v>
      </c>
      <c r="L6" t="s">
        <v>2</v>
      </c>
      <c r="M6" t="s">
        <v>3</v>
      </c>
      <c r="N6" t="s">
        <v>80</v>
      </c>
      <c r="P6" t="s">
        <v>40</v>
      </c>
      <c r="Q6" t="s">
        <v>103</v>
      </c>
      <c r="R6" t="s">
        <v>104</v>
      </c>
      <c r="S6" t="s">
        <v>105</v>
      </c>
      <c r="T6" t="s">
        <v>107</v>
      </c>
      <c r="U6" t="s">
        <v>108</v>
      </c>
      <c r="V6" t="s">
        <v>115</v>
      </c>
      <c r="Y6">
        <v>2022</v>
      </c>
      <c r="Z6">
        <v>104</v>
      </c>
      <c r="AA6" t="s">
        <v>110</v>
      </c>
    </row>
    <row r="7" spans="1:27" x14ac:dyDescent="0.25">
      <c r="H7">
        <v>2025</v>
      </c>
      <c r="I7">
        <f t="shared" ref="I7:N12" si="7">I34/(I$4^I$3)</f>
        <v>402.62283243923065</v>
      </c>
      <c r="J7">
        <f t="shared" si="7"/>
        <v>774.00768649955546</v>
      </c>
      <c r="K7">
        <f t="shared" si="7"/>
        <v>362.70763784396212</v>
      </c>
      <c r="L7">
        <f t="shared" si="7"/>
        <v>468.53621687947475</v>
      </c>
      <c r="M7">
        <f t="shared" si="7"/>
        <v>242.96205405815644</v>
      </c>
      <c r="N7">
        <f t="shared" si="7"/>
        <v>625.63624449874601</v>
      </c>
      <c r="P7">
        <v>2025</v>
      </c>
      <c r="Q7">
        <f t="shared" ref="Q7:V12" si="8">Q34/(Q$4^Q$3)</f>
        <v>625.63624449874601</v>
      </c>
      <c r="R7">
        <f t="shared" si="8"/>
        <v>625.63624449874601</v>
      </c>
      <c r="S7">
        <f t="shared" si="8"/>
        <v>625.63624449874601</v>
      </c>
      <c r="T7">
        <f t="shared" si="8"/>
        <v>774.00768649955546</v>
      </c>
      <c r="U7">
        <f t="shared" si="8"/>
        <v>362.70763784396212</v>
      </c>
      <c r="V7">
        <f t="shared" si="8"/>
        <v>625.63624449874601</v>
      </c>
      <c r="Y7">
        <v>2023</v>
      </c>
      <c r="Z7">
        <v>140</v>
      </c>
      <c r="AA7" t="s">
        <v>110</v>
      </c>
    </row>
    <row r="8" spans="1:27" x14ac:dyDescent="0.25">
      <c r="A8" t="s">
        <v>63</v>
      </c>
      <c r="C8" t="s">
        <v>64</v>
      </c>
      <c r="D8" t="s">
        <v>56</v>
      </c>
      <c r="E8" t="s">
        <v>5</v>
      </c>
      <c r="H8">
        <v>2030</v>
      </c>
      <c r="I8">
        <f t="shared" si="7"/>
        <v>367.91396757377976</v>
      </c>
      <c r="J8">
        <f t="shared" si="7"/>
        <v>659.76272656262699</v>
      </c>
      <c r="K8">
        <f t="shared" si="7"/>
        <v>309.17132253719507</v>
      </c>
      <c r="L8">
        <f t="shared" si="7"/>
        <v>360.89331081690437</v>
      </c>
      <c r="M8">
        <f t="shared" si="7"/>
        <v>218.84088473896614</v>
      </c>
      <c r="N8">
        <f t="shared" si="7"/>
        <v>515.10827265465582</v>
      </c>
      <c r="P8">
        <v>2030</v>
      </c>
      <c r="Q8">
        <f t="shared" si="8"/>
        <v>515.10827265465582</v>
      </c>
      <c r="R8">
        <f t="shared" si="8"/>
        <v>515.10827265465582</v>
      </c>
      <c r="S8">
        <f t="shared" si="8"/>
        <v>515.10827265465582</v>
      </c>
      <c r="T8">
        <f t="shared" si="8"/>
        <v>659.76272656262699</v>
      </c>
      <c r="U8">
        <f t="shared" si="8"/>
        <v>309.17132253719507</v>
      </c>
      <c r="V8">
        <f t="shared" si="8"/>
        <v>515.10827265465582</v>
      </c>
      <c r="Y8">
        <v>2024</v>
      </c>
      <c r="Z8">
        <v>118</v>
      </c>
      <c r="AA8" t="s">
        <v>110</v>
      </c>
    </row>
    <row r="9" spans="1:27" x14ac:dyDescent="0.25">
      <c r="A9" t="s">
        <v>66</v>
      </c>
      <c r="C9" s="1">
        <v>0.03</v>
      </c>
      <c r="D9" t="s">
        <v>67</v>
      </c>
      <c r="E9" t="s">
        <v>69</v>
      </c>
      <c r="F9" t="s">
        <v>65</v>
      </c>
      <c r="H9">
        <v>2035</v>
      </c>
      <c r="I9">
        <f t="shared" si="7"/>
        <v>336.19724623121249</v>
      </c>
      <c r="J9">
        <f t="shared" si="7"/>
        <v>562.38053310547014</v>
      </c>
      <c r="K9">
        <f t="shared" si="7"/>
        <v>263.53706596198032</v>
      </c>
      <c r="L9">
        <f t="shared" si="7"/>
        <v>277.98060662168695</v>
      </c>
      <c r="M9">
        <f t="shared" si="7"/>
        <v>197.11445484351233</v>
      </c>
      <c r="N9">
        <f t="shared" si="7"/>
        <v>383.20139362110473</v>
      </c>
      <c r="P9">
        <v>2035</v>
      </c>
      <c r="Q9">
        <f t="shared" si="8"/>
        <v>383.20139362110473</v>
      </c>
      <c r="R9">
        <f t="shared" si="8"/>
        <v>383.20139362110473</v>
      </c>
      <c r="S9">
        <f t="shared" si="8"/>
        <v>383.20139362110473</v>
      </c>
      <c r="T9">
        <f t="shared" si="8"/>
        <v>562.38053310547014</v>
      </c>
      <c r="U9">
        <f t="shared" si="8"/>
        <v>263.53706596198032</v>
      </c>
      <c r="V9">
        <f t="shared" si="8"/>
        <v>383.20139362110473</v>
      </c>
      <c r="Y9" s="17" t="s">
        <v>114</v>
      </c>
      <c r="Z9" s="17">
        <f>SUM(Z2:Z8)</f>
        <v>1719</v>
      </c>
    </row>
    <row r="10" spans="1:27" x14ac:dyDescent="0.25">
      <c r="A10" t="s">
        <v>68</v>
      </c>
      <c r="D10" t="s">
        <v>67</v>
      </c>
      <c r="E10" t="s">
        <v>69</v>
      </c>
      <c r="F10" t="s">
        <v>65</v>
      </c>
      <c r="H10">
        <v>2040</v>
      </c>
      <c r="I10">
        <f t="shared" si="7"/>
        <v>307.21472500438381</v>
      </c>
      <c r="J10">
        <f t="shared" si="7"/>
        <v>479.37213074126458</v>
      </c>
      <c r="K10">
        <f t="shared" si="7"/>
        <v>224.63850969713965</v>
      </c>
      <c r="L10">
        <f t="shared" si="7"/>
        <v>214.11651405466162</v>
      </c>
      <c r="M10">
        <f t="shared" si="7"/>
        <v>177.54501566103755</v>
      </c>
      <c r="N10">
        <f t="shared" si="7"/>
        <v>351.43675686754244</v>
      </c>
      <c r="P10">
        <v>2040</v>
      </c>
      <c r="Q10">
        <f t="shared" si="8"/>
        <v>351.43675686754244</v>
      </c>
      <c r="R10">
        <f t="shared" si="8"/>
        <v>351.43675686754244</v>
      </c>
      <c r="S10">
        <f t="shared" si="8"/>
        <v>351.43675686754244</v>
      </c>
      <c r="T10">
        <f t="shared" si="8"/>
        <v>479.37213074126458</v>
      </c>
      <c r="U10">
        <f t="shared" si="8"/>
        <v>224.63850969713965</v>
      </c>
      <c r="V10">
        <f t="shared" si="8"/>
        <v>351.43675686754244</v>
      </c>
    </row>
    <row r="11" spans="1:27" x14ac:dyDescent="0.25">
      <c r="C11" t="s">
        <v>70</v>
      </c>
      <c r="D11" t="s">
        <v>67</v>
      </c>
      <c r="E11" t="s">
        <v>69</v>
      </c>
      <c r="F11" t="s">
        <v>72</v>
      </c>
      <c r="H11">
        <v>2045</v>
      </c>
      <c r="I11">
        <f t="shared" si="7"/>
        <v>280.73069698676449</v>
      </c>
      <c r="J11">
        <f t="shared" si="7"/>
        <v>408.61592143397195</v>
      </c>
      <c r="K11">
        <f t="shared" si="7"/>
        <v>191.48145197242181</v>
      </c>
      <c r="L11">
        <f t="shared" si="7"/>
        <v>164.92474834157514</v>
      </c>
      <c r="M11">
        <f t="shared" si="7"/>
        <v>159.91842207159965</v>
      </c>
      <c r="N11">
        <f t="shared" si="7"/>
        <v>320.45153921329012</v>
      </c>
      <c r="P11">
        <v>2045</v>
      </c>
      <c r="Q11">
        <f t="shared" si="8"/>
        <v>320.45153921329012</v>
      </c>
      <c r="R11">
        <f t="shared" si="8"/>
        <v>320.45153921329012</v>
      </c>
      <c r="S11">
        <f t="shared" si="8"/>
        <v>320.45153921329012</v>
      </c>
      <c r="T11">
        <f t="shared" si="8"/>
        <v>408.61592143397195</v>
      </c>
      <c r="U11">
        <f t="shared" si="8"/>
        <v>191.48145197242181</v>
      </c>
      <c r="V11">
        <f t="shared" si="8"/>
        <v>320.45153921329012</v>
      </c>
    </row>
    <row r="12" spans="1:27" x14ac:dyDescent="0.25">
      <c r="C12" s="1">
        <v>0.05</v>
      </c>
      <c r="D12" t="s">
        <v>71</v>
      </c>
      <c r="E12" t="s">
        <v>69</v>
      </c>
      <c r="F12" t="s">
        <v>72</v>
      </c>
      <c r="H12">
        <v>2050</v>
      </c>
      <c r="I12">
        <f t="shared" si="7"/>
        <v>256.52977483273304</v>
      </c>
      <c r="J12">
        <f t="shared" si="7"/>
        <v>348.3034589248</v>
      </c>
      <c r="K12">
        <f t="shared" si="7"/>
        <v>163.21843702978293</v>
      </c>
      <c r="L12">
        <f t="shared" si="7"/>
        <v>127.03444540755035</v>
      </c>
      <c r="M12">
        <f t="shared" si="7"/>
        <v>144.04178919162132</v>
      </c>
      <c r="N12">
        <f t="shared" si="7"/>
        <v>300.11679224808154</v>
      </c>
      <c r="P12">
        <v>2050</v>
      </c>
      <c r="Q12">
        <f t="shared" si="8"/>
        <v>300.11679224808154</v>
      </c>
      <c r="R12">
        <f t="shared" si="8"/>
        <v>300.11679224808154</v>
      </c>
      <c r="S12">
        <f t="shared" si="8"/>
        <v>300.11679224808154</v>
      </c>
      <c r="T12">
        <f t="shared" si="8"/>
        <v>348.3034589248</v>
      </c>
      <c r="U12">
        <f t="shared" si="8"/>
        <v>163.21843702978293</v>
      </c>
      <c r="V12">
        <f t="shared" si="8"/>
        <v>300.11679224808154</v>
      </c>
    </row>
    <row r="13" spans="1:27" x14ac:dyDescent="0.25">
      <c r="A13" s="8" t="s">
        <v>88</v>
      </c>
      <c r="P13" s="13"/>
    </row>
    <row r="14" spans="1:27" x14ac:dyDescent="0.25">
      <c r="A14" s="4" t="s">
        <v>79</v>
      </c>
      <c r="B14" t="s">
        <v>57</v>
      </c>
      <c r="C14" t="s">
        <v>58</v>
      </c>
      <c r="D14" t="s">
        <v>59</v>
      </c>
      <c r="E14" t="s">
        <v>60</v>
      </c>
      <c r="H14" s="18" t="s">
        <v>89</v>
      </c>
      <c r="I14" s="18"/>
      <c r="J14" s="18"/>
      <c r="K14" s="18"/>
      <c r="L14" s="18"/>
      <c r="M14" s="18"/>
      <c r="N14" s="18"/>
      <c r="P14" s="18" t="s">
        <v>89</v>
      </c>
      <c r="Q14" s="18"/>
      <c r="R14" s="18"/>
      <c r="S14" s="18"/>
      <c r="T14" s="18"/>
      <c r="U14" s="18"/>
      <c r="V14" s="18"/>
    </row>
    <row r="15" spans="1:27" x14ac:dyDescent="0.25">
      <c r="A15" t="s">
        <v>77</v>
      </c>
      <c r="B15">
        <f>B18/(B16^B17)</f>
        <v>3084.0998748711568</v>
      </c>
      <c r="C15">
        <f t="shared" ref="C15:E15" si="9">C18/(C16^C17)</f>
        <v>9616.9213175821751</v>
      </c>
      <c r="D15">
        <f t="shared" si="9"/>
        <v>113244.05359147559</v>
      </c>
      <c r="E15">
        <f t="shared" si="9"/>
        <v>12395053.207512364</v>
      </c>
      <c r="H15" s="13" t="s">
        <v>40</v>
      </c>
      <c r="I15" t="s">
        <v>28</v>
      </c>
      <c r="J15" t="s">
        <v>81</v>
      </c>
      <c r="K15" t="s">
        <v>82</v>
      </c>
      <c r="L15" t="s">
        <v>2</v>
      </c>
      <c r="M15" t="s">
        <v>3</v>
      </c>
      <c r="N15" t="s">
        <v>80</v>
      </c>
      <c r="P15" t="s">
        <v>40</v>
      </c>
      <c r="Q15" t="s">
        <v>103</v>
      </c>
      <c r="R15" t="s">
        <v>104</v>
      </c>
      <c r="S15" t="s">
        <v>105</v>
      </c>
      <c r="T15" t="s">
        <v>107</v>
      </c>
      <c r="U15" t="s">
        <v>108</v>
      </c>
      <c r="V15" t="s">
        <v>115</v>
      </c>
    </row>
    <row r="16" spans="1:27" x14ac:dyDescent="0.25">
      <c r="A16" t="s">
        <v>76</v>
      </c>
      <c r="B16">
        <v>261</v>
      </c>
      <c r="C16">
        <v>4498</v>
      </c>
      <c r="D16">
        <v>7099</v>
      </c>
      <c r="E16">
        <v>18928</v>
      </c>
      <c r="H16" s="13">
        <v>2025</v>
      </c>
      <c r="I16" s="10">
        <v>100</v>
      </c>
      <c r="J16" s="10">
        <v>0</v>
      </c>
      <c r="K16" s="10">
        <v>100</v>
      </c>
      <c r="L16" s="10">
        <v>600</v>
      </c>
      <c r="M16" s="10">
        <v>100</v>
      </c>
      <c r="N16" s="10">
        <v>400</v>
      </c>
      <c r="P16" s="13">
        <v>2025</v>
      </c>
      <c r="Q16" s="16">
        <v>0</v>
      </c>
      <c r="R16" s="16">
        <v>118</v>
      </c>
      <c r="S16" s="16">
        <f>R16*3</f>
        <v>354</v>
      </c>
      <c r="T16" s="16">
        <v>700</v>
      </c>
      <c r="U16" s="16">
        <v>700</v>
      </c>
      <c r="V16" s="16">
        <v>0</v>
      </c>
    </row>
    <row r="17" spans="1:22" x14ac:dyDescent="0.25">
      <c r="A17" t="s">
        <v>74</v>
      </c>
      <c r="B17" s="5">
        <f>B3</f>
        <v>-7.1999999999999995E-2</v>
      </c>
      <c r="C17" s="5">
        <f>B4</f>
        <v>-7.8E-2</v>
      </c>
      <c r="D17" s="5">
        <f>B5</f>
        <v>-0.45</v>
      </c>
      <c r="E17" s="5">
        <f>B6</f>
        <v>-0.82899999999999996</v>
      </c>
      <c r="H17" s="13">
        <v>2030</v>
      </c>
      <c r="I17" s="10">
        <v>0</v>
      </c>
      <c r="J17" s="10">
        <v>300</v>
      </c>
      <c r="K17" s="10">
        <v>200</v>
      </c>
      <c r="L17" s="10">
        <v>500</v>
      </c>
      <c r="M17" s="10">
        <v>100</v>
      </c>
      <c r="N17" s="10">
        <v>400</v>
      </c>
      <c r="P17" s="13">
        <v>2030</v>
      </c>
      <c r="Q17" s="16">
        <v>600</v>
      </c>
      <c r="R17" s="16">
        <v>118</v>
      </c>
      <c r="S17" s="16">
        <f t="shared" ref="S17:S21" si="10">R17*3</f>
        <v>354</v>
      </c>
      <c r="T17" s="16">
        <v>0</v>
      </c>
      <c r="U17" s="16">
        <v>0</v>
      </c>
      <c r="V17" s="16">
        <v>1800</v>
      </c>
    </row>
    <row r="18" spans="1:22" x14ac:dyDescent="0.25">
      <c r="A18" t="s">
        <v>73</v>
      </c>
      <c r="B18">
        <v>2066</v>
      </c>
      <c r="C18">
        <v>4990</v>
      </c>
      <c r="D18">
        <v>2094</v>
      </c>
      <c r="E18">
        <v>3528</v>
      </c>
      <c r="H18" s="13">
        <v>2035</v>
      </c>
      <c r="I18" s="10">
        <v>0</v>
      </c>
      <c r="J18" s="10">
        <v>300</v>
      </c>
      <c r="K18" s="10">
        <v>300</v>
      </c>
      <c r="L18" s="10">
        <v>400</v>
      </c>
      <c r="M18" s="10">
        <v>100</v>
      </c>
      <c r="N18" s="10">
        <v>400</v>
      </c>
      <c r="P18" s="13">
        <v>2035</v>
      </c>
      <c r="Q18" s="16">
        <v>600</v>
      </c>
      <c r="R18" s="16">
        <v>118</v>
      </c>
      <c r="S18" s="16">
        <f t="shared" si="10"/>
        <v>354</v>
      </c>
      <c r="T18" s="16">
        <v>0</v>
      </c>
      <c r="U18" s="16">
        <v>0</v>
      </c>
      <c r="V18" s="16">
        <v>1800</v>
      </c>
    </row>
    <row r="19" spans="1:22" x14ac:dyDescent="0.25">
      <c r="A19" s="4" t="s">
        <v>78</v>
      </c>
      <c r="H19" s="13">
        <v>2040</v>
      </c>
      <c r="I19" s="10">
        <v>0</v>
      </c>
      <c r="J19" s="10">
        <v>0</v>
      </c>
      <c r="K19" s="10">
        <v>400</v>
      </c>
      <c r="L19" s="10">
        <v>300</v>
      </c>
      <c r="M19" s="10">
        <v>100</v>
      </c>
      <c r="N19" s="10">
        <v>400</v>
      </c>
      <c r="P19" s="13">
        <v>2040</v>
      </c>
      <c r="Q19" s="16">
        <v>0</v>
      </c>
      <c r="R19" s="16">
        <v>118</v>
      </c>
      <c r="S19" s="16">
        <f t="shared" si="10"/>
        <v>354</v>
      </c>
      <c r="T19" s="16">
        <v>0</v>
      </c>
      <c r="U19" s="16">
        <v>0</v>
      </c>
      <c r="V19" s="16">
        <v>0</v>
      </c>
    </row>
    <row r="20" spans="1:22" x14ac:dyDescent="0.25">
      <c r="A20" t="s">
        <v>77</v>
      </c>
      <c r="B20">
        <f>B15</f>
        <v>3084.0998748711568</v>
      </c>
      <c r="C20">
        <f t="shared" ref="C20:E20" si="11">C15</f>
        <v>9616.9213175821751</v>
      </c>
      <c r="D20">
        <f t="shared" si="11"/>
        <v>113244.05359147559</v>
      </c>
      <c r="E20">
        <f t="shared" si="11"/>
        <v>12395053.207512364</v>
      </c>
      <c r="H20" s="13">
        <v>2045</v>
      </c>
      <c r="I20" s="10">
        <v>0</v>
      </c>
      <c r="J20" s="10">
        <v>0</v>
      </c>
      <c r="K20" s="10">
        <v>500</v>
      </c>
      <c r="L20" s="10">
        <v>200</v>
      </c>
      <c r="M20" s="10">
        <v>100</v>
      </c>
      <c r="N20" s="10">
        <v>400</v>
      </c>
      <c r="P20" s="13">
        <v>2045</v>
      </c>
      <c r="Q20" s="16">
        <v>0</v>
      </c>
      <c r="R20" s="16">
        <v>118</v>
      </c>
      <c r="S20" s="16">
        <f t="shared" si="10"/>
        <v>354</v>
      </c>
      <c r="T20" s="16">
        <v>0</v>
      </c>
      <c r="U20" s="16">
        <v>0</v>
      </c>
      <c r="V20" s="16">
        <v>0</v>
      </c>
    </row>
    <row r="21" spans="1:22" x14ac:dyDescent="0.25">
      <c r="A21" t="s">
        <v>76</v>
      </c>
      <c r="B21">
        <f>B16+100</f>
        <v>361</v>
      </c>
      <c r="C21">
        <f t="shared" ref="C21:E21" si="12">C16+100</f>
        <v>4598</v>
      </c>
      <c r="D21">
        <f t="shared" si="12"/>
        <v>7199</v>
      </c>
      <c r="E21">
        <f t="shared" si="12"/>
        <v>19028</v>
      </c>
      <c r="H21" s="13">
        <v>2050</v>
      </c>
      <c r="I21" s="10">
        <v>0</v>
      </c>
      <c r="J21" s="10">
        <v>0</v>
      </c>
      <c r="K21" s="10">
        <v>600</v>
      </c>
      <c r="L21" s="10">
        <v>100</v>
      </c>
      <c r="M21" s="10">
        <v>100</v>
      </c>
      <c r="N21" s="10">
        <v>400</v>
      </c>
      <c r="P21" s="13">
        <v>2050</v>
      </c>
      <c r="Q21" s="16">
        <v>0</v>
      </c>
      <c r="R21" s="16">
        <v>118</v>
      </c>
      <c r="S21" s="16">
        <f t="shared" si="10"/>
        <v>354</v>
      </c>
      <c r="T21" s="16">
        <v>0</v>
      </c>
      <c r="U21" s="16">
        <v>0</v>
      </c>
      <c r="V21" s="16">
        <v>0</v>
      </c>
    </row>
    <row r="22" spans="1:22" x14ac:dyDescent="0.25">
      <c r="A22" t="s">
        <v>74</v>
      </c>
      <c r="B22" s="5">
        <f>B17</f>
        <v>-7.1999999999999995E-2</v>
      </c>
      <c r="C22" s="5">
        <f t="shared" ref="C22:E22" si="13">C17</f>
        <v>-7.8E-2</v>
      </c>
      <c r="D22" s="5">
        <f t="shared" si="13"/>
        <v>-0.45</v>
      </c>
      <c r="E22" s="5">
        <f t="shared" si="13"/>
        <v>-0.82899999999999996</v>
      </c>
      <c r="P22" s="12" t="s">
        <v>5</v>
      </c>
      <c r="Q22" t="s">
        <v>49</v>
      </c>
      <c r="R22" t="s">
        <v>106</v>
      </c>
      <c r="S22" t="s">
        <v>106</v>
      </c>
      <c r="T22" t="s">
        <v>106</v>
      </c>
      <c r="U22" t="s">
        <v>106</v>
      </c>
      <c r="V22" t="s">
        <v>49</v>
      </c>
    </row>
    <row r="23" spans="1:22" x14ac:dyDescent="0.25">
      <c r="A23" t="s">
        <v>73</v>
      </c>
      <c r="B23">
        <f>B20*(B21^B22)</f>
        <v>2018.3102007173761</v>
      </c>
      <c r="C23">
        <f t="shared" ref="C23:E23" si="14">C20*(C21^C22)</f>
        <v>4981.4489427856479</v>
      </c>
      <c r="D23">
        <f t="shared" si="14"/>
        <v>2080.8603191100246</v>
      </c>
      <c r="E23">
        <f t="shared" si="14"/>
        <v>3512.6225095265308</v>
      </c>
      <c r="H23" s="18" t="s">
        <v>90</v>
      </c>
      <c r="I23" s="18"/>
      <c r="J23" s="18"/>
      <c r="K23" s="18"/>
      <c r="L23" s="18"/>
      <c r="M23" s="18"/>
      <c r="N23" s="18"/>
      <c r="P23" s="18" t="s">
        <v>90</v>
      </c>
      <c r="Q23" s="18"/>
      <c r="R23" s="18"/>
      <c r="S23" s="18"/>
      <c r="T23" s="18"/>
      <c r="U23" s="18"/>
      <c r="V23" s="18"/>
    </row>
    <row r="24" spans="1:22" x14ac:dyDescent="0.25">
      <c r="H24" s="13" t="s">
        <v>40</v>
      </c>
      <c r="I24" t="s">
        <v>28</v>
      </c>
      <c r="J24" t="s">
        <v>81</v>
      </c>
      <c r="K24" t="s">
        <v>82</v>
      </c>
      <c r="L24" t="s">
        <v>2</v>
      </c>
      <c r="M24" t="s">
        <v>3</v>
      </c>
      <c r="N24" t="s">
        <v>80</v>
      </c>
      <c r="P24" t="s">
        <v>40</v>
      </c>
      <c r="Q24" t="s">
        <v>103</v>
      </c>
      <c r="R24" t="s">
        <v>104</v>
      </c>
      <c r="S24" t="s">
        <v>105</v>
      </c>
      <c r="T24" t="s">
        <v>107</v>
      </c>
      <c r="U24" t="s">
        <v>108</v>
      </c>
      <c r="V24" t="s">
        <v>115</v>
      </c>
    </row>
    <row r="25" spans="1:22" x14ac:dyDescent="0.25">
      <c r="H25" s="14">
        <v>2025</v>
      </c>
      <c r="I25" s="10">
        <f t="shared" ref="I25:N25" si="15">I4+I16*5</f>
        <v>2219</v>
      </c>
      <c r="J25" s="10">
        <f t="shared" si="15"/>
        <v>1719</v>
      </c>
      <c r="K25" s="10">
        <f t="shared" si="15"/>
        <v>2219</v>
      </c>
      <c r="L25" s="10">
        <f t="shared" si="15"/>
        <v>4719</v>
      </c>
      <c r="M25" s="10">
        <f t="shared" si="15"/>
        <v>2219</v>
      </c>
      <c r="N25" s="10">
        <f t="shared" si="15"/>
        <v>3719</v>
      </c>
      <c r="P25" s="14">
        <v>2025</v>
      </c>
      <c r="Q25" s="10">
        <f t="shared" ref="Q25:V25" si="16">Q4+Q16*5</f>
        <v>1719</v>
      </c>
      <c r="R25" s="10">
        <f t="shared" si="16"/>
        <v>2309</v>
      </c>
      <c r="S25" s="10">
        <f t="shared" si="16"/>
        <v>3489</v>
      </c>
      <c r="T25" s="10">
        <f t="shared" si="16"/>
        <v>5219</v>
      </c>
      <c r="U25" s="10">
        <f t="shared" si="16"/>
        <v>5219</v>
      </c>
      <c r="V25" s="10">
        <f t="shared" si="16"/>
        <v>1719</v>
      </c>
    </row>
    <row r="26" spans="1:22" x14ac:dyDescent="0.25">
      <c r="H26" s="14">
        <v>2030</v>
      </c>
      <c r="I26" s="10">
        <f t="shared" ref="I26:N26" si="17">I25+I17*5</f>
        <v>2219</v>
      </c>
      <c r="J26" s="10">
        <f t="shared" si="17"/>
        <v>3219</v>
      </c>
      <c r="K26" s="10">
        <f t="shared" si="17"/>
        <v>3219</v>
      </c>
      <c r="L26" s="10">
        <f t="shared" si="17"/>
        <v>7219</v>
      </c>
      <c r="M26" s="10">
        <f t="shared" si="17"/>
        <v>2719</v>
      </c>
      <c r="N26" s="10">
        <f t="shared" si="17"/>
        <v>5719</v>
      </c>
      <c r="P26" s="14">
        <v>2030</v>
      </c>
      <c r="Q26" s="10">
        <f t="shared" ref="Q26:V26" si="18">Q25+Q17*5</f>
        <v>4719</v>
      </c>
      <c r="R26" s="10">
        <f t="shared" si="18"/>
        <v>2899</v>
      </c>
      <c r="S26" s="10">
        <f t="shared" si="18"/>
        <v>5259</v>
      </c>
      <c r="T26" s="10">
        <f t="shared" si="18"/>
        <v>5219</v>
      </c>
      <c r="U26" s="10">
        <f t="shared" si="18"/>
        <v>5219</v>
      </c>
      <c r="V26" s="10">
        <f t="shared" si="18"/>
        <v>10719</v>
      </c>
    </row>
    <row r="27" spans="1:22" x14ac:dyDescent="0.25">
      <c r="H27" s="14">
        <v>2035</v>
      </c>
      <c r="I27" s="10">
        <f t="shared" ref="I27:N30" si="19">I26+I18*5</f>
        <v>2219</v>
      </c>
      <c r="J27" s="10">
        <f t="shared" si="19"/>
        <v>4719</v>
      </c>
      <c r="K27" s="10">
        <f t="shared" si="19"/>
        <v>4719</v>
      </c>
      <c r="L27" s="10">
        <f t="shared" si="19"/>
        <v>9219</v>
      </c>
      <c r="M27" s="10">
        <f t="shared" si="19"/>
        <v>3219</v>
      </c>
      <c r="N27" s="10">
        <f t="shared" si="19"/>
        <v>7719</v>
      </c>
      <c r="P27" s="14">
        <v>2035</v>
      </c>
      <c r="Q27" s="10">
        <f t="shared" ref="Q27:V30" si="20">Q26+Q18*5</f>
        <v>7719</v>
      </c>
      <c r="R27" s="10">
        <f t="shared" si="20"/>
        <v>3489</v>
      </c>
      <c r="S27" s="10">
        <f t="shared" si="20"/>
        <v>7029</v>
      </c>
      <c r="T27" s="10">
        <f t="shared" si="20"/>
        <v>5219</v>
      </c>
      <c r="U27" s="10">
        <f t="shared" si="20"/>
        <v>5219</v>
      </c>
      <c r="V27" s="10">
        <f t="shared" si="20"/>
        <v>19719</v>
      </c>
    </row>
    <row r="28" spans="1:22" x14ac:dyDescent="0.25">
      <c r="H28" s="14">
        <v>2040</v>
      </c>
      <c r="I28" s="10">
        <f t="shared" si="19"/>
        <v>2219</v>
      </c>
      <c r="J28" s="10">
        <f t="shared" si="19"/>
        <v>4719</v>
      </c>
      <c r="K28" s="10">
        <f t="shared" si="19"/>
        <v>6719</v>
      </c>
      <c r="L28" s="10">
        <f t="shared" si="19"/>
        <v>10719</v>
      </c>
      <c r="M28" s="10">
        <f t="shared" si="19"/>
        <v>3719</v>
      </c>
      <c r="N28" s="10">
        <f t="shared" si="19"/>
        <v>9719</v>
      </c>
      <c r="P28" s="14">
        <v>2040</v>
      </c>
      <c r="Q28" s="10">
        <f t="shared" si="20"/>
        <v>7719</v>
      </c>
      <c r="R28" s="10">
        <f t="shared" si="20"/>
        <v>4079</v>
      </c>
      <c r="S28" s="10">
        <f t="shared" si="20"/>
        <v>8799</v>
      </c>
      <c r="T28" s="10">
        <f t="shared" si="20"/>
        <v>5219</v>
      </c>
      <c r="U28" s="10">
        <f t="shared" si="20"/>
        <v>5219</v>
      </c>
      <c r="V28" s="10">
        <f t="shared" si="20"/>
        <v>19719</v>
      </c>
    </row>
    <row r="29" spans="1:22" x14ac:dyDescent="0.25">
      <c r="H29" s="14">
        <v>2045</v>
      </c>
      <c r="I29" s="10">
        <f t="shared" si="19"/>
        <v>2219</v>
      </c>
      <c r="J29" s="10">
        <f t="shared" si="19"/>
        <v>4719</v>
      </c>
      <c r="K29" s="10">
        <f t="shared" si="19"/>
        <v>9219</v>
      </c>
      <c r="L29" s="10">
        <f t="shared" si="19"/>
        <v>11719</v>
      </c>
      <c r="M29" s="10">
        <f t="shared" si="19"/>
        <v>4219</v>
      </c>
      <c r="N29" s="10">
        <f t="shared" si="19"/>
        <v>11719</v>
      </c>
      <c r="P29" s="14">
        <v>2045</v>
      </c>
      <c r="Q29" s="10">
        <f t="shared" si="20"/>
        <v>7719</v>
      </c>
      <c r="R29" s="10">
        <f t="shared" si="20"/>
        <v>4669</v>
      </c>
      <c r="S29" s="10">
        <f t="shared" si="20"/>
        <v>10569</v>
      </c>
      <c r="T29" s="10">
        <f t="shared" si="20"/>
        <v>5219</v>
      </c>
      <c r="U29" s="10">
        <f t="shared" si="20"/>
        <v>5219</v>
      </c>
      <c r="V29" s="10">
        <f t="shared" si="20"/>
        <v>19719</v>
      </c>
    </row>
    <row r="30" spans="1:22" x14ac:dyDescent="0.25">
      <c r="H30" s="14">
        <v>2050</v>
      </c>
      <c r="I30" s="10">
        <f t="shared" si="19"/>
        <v>2219</v>
      </c>
      <c r="J30" s="10">
        <f t="shared" si="19"/>
        <v>4719</v>
      </c>
      <c r="K30" s="10">
        <f t="shared" si="19"/>
        <v>12219</v>
      </c>
      <c r="L30" s="10">
        <f t="shared" si="19"/>
        <v>12219</v>
      </c>
      <c r="M30" s="10">
        <f t="shared" si="19"/>
        <v>4719</v>
      </c>
      <c r="N30" s="10">
        <f t="shared" si="19"/>
        <v>13719</v>
      </c>
      <c r="P30" s="14">
        <v>2050</v>
      </c>
      <c r="Q30" s="10">
        <f t="shared" si="20"/>
        <v>7719</v>
      </c>
      <c r="R30" s="10">
        <f t="shared" si="20"/>
        <v>5259</v>
      </c>
      <c r="S30" s="10">
        <f t="shared" si="20"/>
        <v>12339</v>
      </c>
      <c r="T30" s="10">
        <f t="shared" si="20"/>
        <v>5219</v>
      </c>
      <c r="U30" s="10">
        <f t="shared" si="20"/>
        <v>5219</v>
      </c>
      <c r="V30" s="10">
        <f t="shared" si="20"/>
        <v>19719</v>
      </c>
    </row>
    <row r="31" spans="1:22" x14ac:dyDescent="0.25">
      <c r="H31" s="14"/>
      <c r="I31" s="10"/>
      <c r="J31" s="10"/>
      <c r="K31" s="10"/>
      <c r="L31" s="10"/>
      <c r="M31" s="10"/>
      <c r="N31" s="10"/>
      <c r="P31" s="14"/>
      <c r="Q31" s="10"/>
      <c r="R31" s="10"/>
      <c r="S31" s="10"/>
      <c r="T31" s="10"/>
      <c r="U31" s="10"/>
      <c r="V31" s="10"/>
    </row>
    <row r="32" spans="1:22" x14ac:dyDescent="0.25">
      <c r="H32" s="19" t="s">
        <v>91</v>
      </c>
      <c r="I32" s="19"/>
      <c r="J32" s="19"/>
      <c r="K32" s="19"/>
      <c r="L32" s="19"/>
      <c r="M32" s="19"/>
      <c r="N32" s="19"/>
      <c r="P32" s="19" t="s">
        <v>91</v>
      </c>
      <c r="Q32" s="19"/>
      <c r="R32" s="19"/>
      <c r="S32" s="19"/>
      <c r="T32" s="19"/>
      <c r="U32" s="19"/>
      <c r="V32" s="19"/>
    </row>
    <row r="33" spans="8:22" x14ac:dyDescent="0.25">
      <c r="H33" s="14" t="s">
        <v>40</v>
      </c>
      <c r="I33" s="10" t="s">
        <v>28</v>
      </c>
      <c r="J33" s="10" t="s">
        <v>81</v>
      </c>
      <c r="K33" s="10" t="s">
        <v>82</v>
      </c>
      <c r="L33" s="10" t="s">
        <v>2</v>
      </c>
      <c r="M33" s="10" t="s">
        <v>3</v>
      </c>
      <c r="N33" s="10" t="s">
        <v>80</v>
      </c>
      <c r="P33" t="s">
        <v>40</v>
      </c>
      <c r="Q33" t="s">
        <v>103</v>
      </c>
      <c r="R33" t="s">
        <v>104</v>
      </c>
      <c r="S33" t="s">
        <v>105</v>
      </c>
      <c r="T33" t="s">
        <v>107</v>
      </c>
      <c r="U33" t="s">
        <v>108</v>
      </c>
      <c r="V33" t="s">
        <v>115</v>
      </c>
    </row>
    <row r="34" spans="8:22" x14ac:dyDescent="0.25">
      <c r="H34" s="14">
        <v>2025</v>
      </c>
      <c r="I34" s="10">
        <f>'Baseline Parameters'!G2</f>
        <v>232</v>
      </c>
      <c r="J34" s="10">
        <f>'Baseline Parameters'!B2</f>
        <v>446</v>
      </c>
      <c r="K34" s="10">
        <f>'Baseline Parameters'!C2</f>
        <v>209</v>
      </c>
      <c r="L34" s="10">
        <f>'Baseline Parameters'!E2</f>
        <v>269.98072031209182</v>
      </c>
      <c r="M34" s="10">
        <f>'Baseline Parameters'!F2</f>
        <v>140</v>
      </c>
      <c r="N34" s="10">
        <f>Procurement!J3</f>
        <v>360.50516023732143</v>
      </c>
      <c r="P34" s="14">
        <v>2025</v>
      </c>
      <c r="Q34" s="10">
        <f>$N34</f>
        <v>360.50516023732143</v>
      </c>
      <c r="R34" s="10">
        <f>$N34</f>
        <v>360.50516023732143</v>
      </c>
      <c r="S34" s="10">
        <f>$N34</f>
        <v>360.50516023732143</v>
      </c>
      <c r="T34" s="10">
        <f>J34</f>
        <v>446</v>
      </c>
      <c r="U34" s="10">
        <f>K34</f>
        <v>209</v>
      </c>
      <c r="V34" s="10">
        <f>$N34</f>
        <v>360.50516023732143</v>
      </c>
    </row>
    <row r="35" spans="8:22" x14ac:dyDescent="0.25">
      <c r="H35" s="14">
        <v>2030</v>
      </c>
      <c r="I35" s="10">
        <f>'Baseline Parameters'!G3</f>
        <v>212</v>
      </c>
      <c r="J35" s="10">
        <f>'Baseline Parameters'!B3</f>
        <v>380.16957864810638</v>
      </c>
      <c r="K35" s="10">
        <f>'Baseline Parameters'!C3</f>
        <v>178.15121510639958</v>
      </c>
      <c r="L35" s="10">
        <f>'Baseline Parameters'!E3</f>
        <v>207.95454545454541</v>
      </c>
      <c r="M35" s="10">
        <f>'Baseline Parameters'!F3</f>
        <v>126.10085958575935</v>
      </c>
      <c r="N35" s="10">
        <f>Procurement!J4</f>
        <v>296.81654796345282</v>
      </c>
      <c r="P35" s="14">
        <v>2030</v>
      </c>
      <c r="Q35" s="10">
        <f t="shared" ref="Q35:V39" si="21">$N35</f>
        <v>296.81654796345282</v>
      </c>
      <c r="R35" s="10">
        <f t="shared" si="21"/>
        <v>296.81654796345282</v>
      </c>
      <c r="S35" s="10">
        <f t="shared" si="21"/>
        <v>296.81654796345282</v>
      </c>
      <c r="T35" s="10">
        <f t="shared" ref="T35:T39" si="22">J35</f>
        <v>380.16957864810638</v>
      </c>
      <c r="U35" s="10">
        <f t="shared" ref="U35:U39" si="23">K35</f>
        <v>178.15121510639958</v>
      </c>
      <c r="V35" s="10">
        <f t="shared" si="21"/>
        <v>296.81654796345282</v>
      </c>
    </row>
    <row r="36" spans="8:22" x14ac:dyDescent="0.25">
      <c r="H36" s="14">
        <v>2035</v>
      </c>
      <c r="I36" s="10">
        <f>'Baseline Parameters'!G4</f>
        <v>193.72413793103445</v>
      </c>
      <c r="J36" s="10">
        <f>'Baseline Parameters'!B4</f>
        <v>324.05584872080431</v>
      </c>
      <c r="K36" s="10">
        <f>'Baseline Parameters'!C4</f>
        <v>151.85576767409884</v>
      </c>
      <c r="L36" s="10">
        <f>'Baseline Parameters'!E4</f>
        <v>160.17844876188263</v>
      </c>
      <c r="M36" s="10">
        <f>'Baseline Parameters'!F4</f>
        <v>113.58161991619573</v>
      </c>
      <c r="N36" s="10">
        <f>Procurement!J5</f>
        <v>220.8089461332641</v>
      </c>
      <c r="P36" s="14">
        <v>2035</v>
      </c>
      <c r="Q36" s="10">
        <f t="shared" si="21"/>
        <v>220.8089461332641</v>
      </c>
      <c r="R36" s="10">
        <f t="shared" si="21"/>
        <v>220.8089461332641</v>
      </c>
      <c r="S36" s="10">
        <f t="shared" si="21"/>
        <v>220.8089461332641</v>
      </c>
      <c r="T36" s="10">
        <f t="shared" si="22"/>
        <v>324.05584872080431</v>
      </c>
      <c r="U36" s="10">
        <f t="shared" si="23"/>
        <v>151.85576767409884</v>
      </c>
      <c r="V36" s="10">
        <f t="shared" si="21"/>
        <v>220.8089461332641</v>
      </c>
    </row>
    <row r="37" spans="8:22" x14ac:dyDescent="0.25">
      <c r="H37" s="14">
        <v>2040</v>
      </c>
      <c r="I37" s="10">
        <f>'Baseline Parameters'!G5</f>
        <v>177.02378121284181</v>
      </c>
      <c r="J37" s="10">
        <f>'Baseline Parameters'!B5</f>
        <v>276.22460866960239</v>
      </c>
      <c r="K37" s="10">
        <f>'Baseline Parameters'!C5</f>
        <v>129.4415767084011</v>
      </c>
      <c r="L37" s="10">
        <f>'Baseline Parameters'!E5</f>
        <v>123.37857483077323</v>
      </c>
      <c r="M37" s="10">
        <f>'Baseline Parameters'!F5</f>
        <v>102.30528503268064</v>
      </c>
      <c r="N37" s="10">
        <f>Procurement!J6</f>
        <v>202.50547416626196</v>
      </c>
      <c r="P37" s="14">
        <v>2040</v>
      </c>
      <c r="Q37" s="10">
        <f t="shared" si="21"/>
        <v>202.50547416626196</v>
      </c>
      <c r="R37" s="10">
        <f t="shared" si="21"/>
        <v>202.50547416626196</v>
      </c>
      <c r="S37" s="10">
        <f t="shared" si="21"/>
        <v>202.50547416626196</v>
      </c>
      <c r="T37" s="10">
        <f t="shared" si="22"/>
        <v>276.22460866960239</v>
      </c>
      <c r="U37" s="10">
        <f t="shared" si="23"/>
        <v>129.4415767084011</v>
      </c>
      <c r="V37" s="10">
        <f t="shared" si="21"/>
        <v>202.50547416626196</v>
      </c>
    </row>
    <row r="38" spans="8:22" x14ac:dyDescent="0.25">
      <c r="H38" s="14">
        <v>2045</v>
      </c>
      <c r="I38" s="10">
        <f>'Baseline Parameters'!G6</f>
        <v>161.7631104186313</v>
      </c>
      <c r="J38" s="10">
        <f>'Baseline Parameters'!B6</f>
        <v>235.45334773578654</v>
      </c>
      <c r="K38" s="10">
        <f>'Baseline Parameters'!C6</f>
        <v>110.33576160712865</v>
      </c>
      <c r="L38" s="10">
        <f>'Baseline Parameters'!E6</f>
        <v>95.033213549856328</v>
      </c>
      <c r="M38" s="10">
        <f>'Baseline Parameters'!F6</f>
        <v>92.14845987705111</v>
      </c>
      <c r="N38" s="10">
        <f>Procurement!J7</f>
        <v>184.65112037257458</v>
      </c>
      <c r="P38" s="14">
        <v>2045</v>
      </c>
      <c r="Q38" s="10">
        <f t="shared" si="21"/>
        <v>184.65112037257458</v>
      </c>
      <c r="R38" s="10">
        <f t="shared" si="21"/>
        <v>184.65112037257458</v>
      </c>
      <c r="S38" s="10">
        <f t="shared" si="21"/>
        <v>184.65112037257458</v>
      </c>
      <c r="T38" s="10">
        <f t="shared" si="22"/>
        <v>235.45334773578654</v>
      </c>
      <c r="U38" s="10">
        <f t="shared" si="23"/>
        <v>110.33576160712865</v>
      </c>
      <c r="V38" s="10">
        <f t="shared" si="21"/>
        <v>184.65112037257458</v>
      </c>
    </row>
    <row r="39" spans="8:22" x14ac:dyDescent="0.25">
      <c r="H39" s="14">
        <v>2050</v>
      </c>
      <c r="I39" s="10">
        <f>'Baseline Parameters'!G7</f>
        <v>147.8180146928872</v>
      </c>
      <c r="J39" s="10">
        <f>'Baseline Parameters'!B7</f>
        <v>200.70000000000002</v>
      </c>
      <c r="K39" s="10">
        <f>'Baseline Parameters'!C7</f>
        <v>94.05</v>
      </c>
      <c r="L39" s="10">
        <f>'Baseline Parameters'!E7</f>
        <v>73.199999999999989</v>
      </c>
      <c r="M39" s="10">
        <f>'Baseline Parameters'!F7</f>
        <v>83</v>
      </c>
      <c r="N39" s="10">
        <f>Procurement!J8</f>
        <v>172.93379856211703</v>
      </c>
      <c r="P39" s="14">
        <v>2050</v>
      </c>
      <c r="Q39" s="10">
        <f t="shared" si="21"/>
        <v>172.93379856211703</v>
      </c>
      <c r="R39" s="10">
        <f t="shared" si="21"/>
        <v>172.93379856211703</v>
      </c>
      <c r="S39" s="10">
        <f t="shared" si="21"/>
        <v>172.93379856211703</v>
      </c>
      <c r="T39" s="10">
        <f t="shared" si="22"/>
        <v>200.70000000000002</v>
      </c>
      <c r="U39" s="10">
        <f t="shared" si="23"/>
        <v>94.05</v>
      </c>
      <c r="V39" s="10">
        <f t="shared" si="21"/>
        <v>172.93379856211703</v>
      </c>
    </row>
    <row r="40" spans="8:22" x14ac:dyDescent="0.25">
      <c r="H40" s="14"/>
      <c r="I40" s="10"/>
      <c r="J40" s="10"/>
      <c r="K40" s="10"/>
      <c r="L40" s="10"/>
      <c r="M40" s="10"/>
      <c r="N40" s="10"/>
      <c r="P40" s="14"/>
      <c r="Q40" s="10"/>
      <c r="R40" s="10"/>
      <c r="S40" s="10"/>
      <c r="T40" s="10"/>
      <c r="U40" s="10"/>
      <c r="V40" s="10"/>
    </row>
    <row r="41" spans="8:22" x14ac:dyDescent="0.25">
      <c r="H41" s="19" t="s">
        <v>92</v>
      </c>
      <c r="I41" s="19"/>
      <c r="J41" s="19"/>
      <c r="K41" s="19"/>
      <c r="L41" s="19"/>
      <c r="M41" s="19"/>
      <c r="N41" s="19"/>
      <c r="P41" s="19" t="s">
        <v>92</v>
      </c>
      <c r="Q41" s="19"/>
      <c r="R41" s="19"/>
      <c r="S41" s="19"/>
      <c r="T41" s="19"/>
      <c r="U41" s="19"/>
      <c r="V41" s="19"/>
    </row>
    <row r="42" spans="8:22" x14ac:dyDescent="0.25">
      <c r="H42" s="14" t="s">
        <v>40</v>
      </c>
      <c r="I42" s="10" t="s">
        <v>28</v>
      </c>
      <c r="J42" s="10" t="s">
        <v>81</v>
      </c>
      <c r="K42" s="10" t="s">
        <v>82</v>
      </c>
      <c r="L42" s="10" t="s">
        <v>2</v>
      </c>
      <c r="M42" s="10" t="s">
        <v>3</v>
      </c>
      <c r="N42" s="10" t="s">
        <v>80</v>
      </c>
      <c r="P42" t="s">
        <v>40</v>
      </c>
      <c r="Q42" t="s">
        <v>103</v>
      </c>
      <c r="R42" t="s">
        <v>104</v>
      </c>
      <c r="S42" t="s">
        <v>105</v>
      </c>
      <c r="T42" t="s">
        <v>107</v>
      </c>
      <c r="U42" t="s">
        <v>108</v>
      </c>
      <c r="V42" t="s">
        <v>115</v>
      </c>
    </row>
    <row r="43" spans="8:22" x14ac:dyDescent="0.25">
      <c r="H43" s="14">
        <v>2025</v>
      </c>
      <c r="I43" s="10">
        <f t="shared" ref="I43:N48" si="24">I7*I25^I$3</f>
        <v>227.65791780169334</v>
      </c>
      <c r="J43" s="10">
        <f t="shared" si="24"/>
        <v>446</v>
      </c>
      <c r="K43" s="10">
        <f t="shared" si="24"/>
        <v>205.08838284721514</v>
      </c>
      <c r="L43" s="10">
        <f t="shared" si="24"/>
        <v>250.54068948498627</v>
      </c>
      <c r="M43" s="10">
        <f t="shared" si="24"/>
        <v>137.37977798378049</v>
      </c>
      <c r="N43" s="10">
        <f t="shared" si="24"/>
        <v>340.49470546798307</v>
      </c>
      <c r="P43" s="14">
        <v>2025</v>
      </c>
      <c r="Q43" s="10">
        <f t="shared" ref="Q43:V48" si="25">Q7*Q25^Q$3</f>
        <v>360.50516023732143</v>
      </c>
      <c r="R43" s="10">
        <f t="shared" si="25"/>
        <v>352.71873592109205</v>
      </c>
      <c r="S43" s="10">
        <f t="shared" si="25"/>
        <v>342.107053662032</v>
      </c>
      <c r="T43" s="10">
        <f t="shared" si="25"/>
        <v>410.81265512816464</v>
      </c>
      <c r="U43" s="10">
        <f t="shared" si="25"/>
        <v>192.51086305333277</v>
      </c>
      <c r="V43" s="10">
        <f t="shared" si="25"/>
        <v>360.50516023732143</v>
      </c>
    </row>
    <row r="44" spans="8:22" x14ac:dyDescent="0.25">
      <c r="H44" s="14">
        <v>2030</v>
      </c>
      <c r="I44" s="10">
        <f t="shared" si="24"/>
        <v>208.03223523258188</v>
      </c>
      <c r="J44" s="10">
        <f t="shared" si="24"/>
        <v>362.92461439647064</v>
      </c>
      <c r="K44" s="10">
        <f t="shared" si="24"/>
        <v>170.07005472839089</v>
      </c>
      <c r="L44" s="10">
        <f t="shared" si="24"/>
        <v>187.00427351359522</v>
      </c>
      <c r="M44" s="10">
        <f t="shared" si="24"/>
        <v>121.89395837797517</v>
      </c>
      <c r="N44" s="10">
        <f t="shared" si="24"/>
        <v>271.5543959414494</v>
      </c>
      <c r="P44" s="14">
        <v>2030</v>
      </c>
      <c r="Q44" s="10">
        <f t="shared" si="25"/>
        <v>275.44419650170983</v>
      </c>
      <c r="R44" s="10">
        <f t="shared" si="25"/>
        <v>285.55657003285313</v>
      </c>
      <c r="S44" s="10">
        <f t="shared" si="25"/>
        <v>273.24466425259618</v>
      </c>
      <c r="T44" s="10">
        <f t="shared" si="25"/>
        <v>350.17595068023365</v>
      </c>
      <c r="U44" s="10">
        <f t="shared" si="25"/>
        <v>164.09590513939193</v>
      </c>
      <c r="V44" s="10">
        <f t="shared" si="25"/>
        <v>259.2191658004752</v>
      </c>
    </row>
    <row r="45" spans="8:22" x14ac:dyDescent="0.25">
      <c r="H45" s="14">
        <v>2035</v>
      </c>
      <c r="I45" s="10">
        <f t="shared" si="24"/>
        <v>190.09842185046273</v>
      </c>
      <c r="J45" s="10">
        <f t="shared" si="24"/>
        <v>300.72212444021858</v>
      </c>
      <c r="K45" s="10">
        <f t="shared" si="24"/>
        <v>140.92135427803959</v>
      </c>
      <c r="L45" s="10">
        <f t="shared" si="24"/>
        <v>141.45812458337952</v>
      </c>
      <c r="M45" s="10">
        <f t="shared" si="24"/>
        <v>108.4294165703549</v>
      </c>
      <c r="N45" s="10">
        <f t="shared" si="24"/>
        <v>197.58208444082797</v>
      </c>
      <c r="P45" s="14">
        <v>2035</v>
      </c>
      <c r="Q45" s="10">
        <f t="shared" si="25"/>
        <v>197.58208444082797</v>
      </c>
      <c r="R45" s="10">
        <f t="shared" si="25"/>
        <v>209.54012956192068</v>
      </c>
      <c r="S45" s="10">
        <f t="shared" si="25"/>
        <v>198.9559618656977</v>
      </c>
      <c r="T45" s="10">
        <f t="shared" si="25"/>
        <v>298.48933547714006</v>
      </c>
      <c r="U45" s="10">
        <f t="shared" si="25"/>
        <v>139.8750473424266</v>
      </c>
      <c r="V45" s="10">
        <f t="shared" si="25"/>
        <v>184.33406406551856</v>
      </c>
    </row>
    <row r="46" spans="8:22" x14ac:dyDescent="0.25">
      <c r="H46" s="14">
        <v>2040</v>
      </c>
      <c r="I46" s="10">
        <f t="shared" si="24"/>
        <v>173.71062686335384</v>
      </c>
      <c r="J46" s="10">
        <f t="shared" si="24"/>
        <v>256.33498506412843</v>
      </c>
      <c r="K46" s="10">
        <f t="shared" si="24"/>
        <v>117.02096248366335</v>
      </c>
      <c r="L46" s="10">
        <f t="shared" si="24"/>
        <v>107.75036454241936</v>
      </c>
      <c r="M46" s="10">
        <f t="shared" si="24"/>
        <v>96.62665541899338</v>
      </c>
      <c r="N46" s="10">
        <f t="shared" si="24"/>
        <v>178.14071267621432</v>
      </c>
      <c r="P46" s="14">
        <v>2040</v>
      </c>
      <c r="Q46" s="10">
        <f t="shared" si="25"/>
        <v>181.20395209123592</v>
      </c>
      <c r="R46" s="10">
        <f t="shared" si="25"/>
        <v>189.9617703421664</v>
      </c>
      <c r="S46" s="10">
        <f t="shared" si="25"/>
        <v>179.45646847078069</v>
      </c>
      <c r="T46" s="10">
        <f t="shared" si="25"/>
        <v>254.43175986389599</v>
      </c>
      <c r="U46" s="10">
        <f t="shared" si="25"/>
        <v>119.22923276133241</v>
      </c>
      <c r="V46" s="10">
        <f t="shared" si="25"/>
        <v>169.05409722871059</v>
      </c>
    </row>
    <row r="47" spans="8:22" x14ac:dyDescent="0.25">
      <c r="H47" s="14">
        <v>2045</v>
      </c>
      <c r="I47" s="10">
        <f t="shared" si="24"/>
        <v>158.73557282340954</v>
      </c>
      <c r="J47" s="10">
        <f t="shared" si="24"/>
        <v>218.49946920313531</v>
      </c>
      <c r="K47" s="10">
        <f t="shared" si="24"/>
        <v>97.440635941140712</v>
      </c>
      <c r="L47" s="10">
        <f t="shared" si="24"/>
        <v>82.449481539281351</v>
      </c>
      <c r="M47" s="10">
        <f t="shared" si="24"/>
        <v>86.224957908187065</v>
      </c>
      <c r="N47" s="10">
        <f t="shared" si="24"/>
        <v>160.20071900840423</v>
      </c>
      <c r="P47" s="14">
        <v>2045</v>
      </c>
      <c r="Q47" s="10">
        <f t="shared" si="25"/>
        <v>165.2276952380752</v>
      </c>
      <c r="R47" s="10">
        <f t="shared" si="25"/>
        <v>171.49039287198505</v>
      </c>
      <c r="S47" s="10">
        <f t="shared" si="25"/>
        <v>161.42985382479438</v>
      </c>
      <c r="T47" s="10">
        <f t="shared" si="25"/>
        <v>216.87716354742938</v>
      </c>
      <c r="U47" s="10">
        <f t="shared" si="25"/>
        <v>101.63077843366084</v>
      </c>
      <c r="V47" s="10">
        <f t="shared" si="25"/>
        <v>154.14905984826089</v>
      </c>
    </row>
    <row r="48" spans="8:22" x14ac:dyDescent="0.25">
      <c r="H48" s="14">
        <v>2050</v>
      </c>
      <c r="I48" s="10">
        <f t="shared" si="24"/>
        <v>145.05147171794317</v>
      </c>
      <c r="J48" s="10">
        <f t="shared" si="24"/>
        <v>186.24854516096593</v>
      </c>
      <c r="K48" s="10">
        <f t="shared" si="24"/>
        <v>81.344571464021328</v>
      </c>
      <c r="L48" s="10">
        <f t="shared" si="24"/>
        <v>63.311245413783745</v>
      </c>
      <c r="M48" s="10">
        <f t="shared" si="24"/>
        <v>77.023563768610728</v>
      </c>
      <c r="N48" s="10">
        <f t="shared" si="24"/>
        <v>148.29565759240268</v>
      </c>
      <c r="P48" s="14">
        <v>2050</v>
      </c>
      <c r="Q48" s="10">
        <f t="shared" si="25"/>
        <v>154.74291684518829</v>
      </c>
      <c r="R48" s="10">
        <f t="shared" si="25"/>
        <v>159.200145848506</v>
      </c>
      <c r="S48" s="10">
        <f t="shared" si="25"/>
        <v>149.46364819523117</v>
      </c>
      <c r="T48" s="10">
        <f t="shared" si="25"/>
        <v>184.86569480767412</v>
      </c>
      <c r="U48" s="10">
        <f t="shared" si="25"/>
        <v>86.629888373999734</v>
      </c>
      <c r="V48" s="10">
        <f t="shared" si="25"/>
        <v>144.36729336140115</v>
      </c>
    </row>
    <row r="49" spans="8:22" x14ac:dyDescent="0.25">
      <c r="H49" s="14"/>
      <c r="I49" s="10"/>
      <c r="J49" s="10"/>
      <c r="K49" s="10"/>
      <c r="L49" s="10"/>
      <c r="M49" s="10"/>
      <c r="N49" s="10"/>
      <c r="P49" s="14"/>
      <c r="Q49" s="10"/>
      <c r="R49" s="10"/>
      <c r="S49" s="10"/>
      <c r="T49" s="10"/>
      <c r="U49" s="10"/>
      <c r="V49" s="10"/>
    </row>
    <row r="50" spans="8:22" x14ac:dyDescent="0.25">
      <c r="H50" s="19" t="s">
        <v>93</v>
      </c>
      <c r="I50" s="19"/>
      <c r="J50" s="19"/>
      <c r="K50" s="19"/>
      <c r="L50" s="19"/>
      <c r="M50" s="19"/>
      <c r="N50" s="19"/>
      <c r="P50" s="19" t="s">
        <v>93</v>
      </c>
      <c r="Q50" s="19"/>
      <c r="R50" s="19"/>
      <c r="S50" s="19"/>
      <c r="T50" s="19"/>
      <c r="U50" s="19"/>
      <c r="V50" s="19"/>
    </row>
    <row r="51" spans="8:22" x14ac:dyDescent="0.25">
      <c r="H51" s="14" t="s">
        <v>40</v>
      </c>
      <c r="I51" s="10" t="s">
        <v>28</v>
      </c>
      <c r="J51" s="10" t="s">
        <v>81</v>
      </c>
      <c r="K51" s="10" t="s">
        <v>82</v>
      </c>
      <c r="L51" s="10" t="s">
        <v>2</v>
      </c>
      <c r="M51" s="10" t="s">
        <v>3</v>
      </c>
      <c r="N51" s="10" t="s">
        <v>80</v>
      </c>
      <c r="P51" t="s">
        <v>40</v>
      </c>
      <c r="Q51" t="s">
        <v>103</v>
      </c>
      <c r="R51" t="s">
        <v>104</v>
      </c>
      <c r="S51" t="s">
        <v>105</v>
      </c>
      <c r="T51" t="s">
        <v>107</v>
      </c>
      <c r="U51" t="s">
        <v>108</v>
      </c>
      <c r="V51" t="s">
        <v>115</v>
      </c>
    </row>
    <row r="52" spans="8:22" x14ac:dyDescent="0.25">
      <c r="H52" s="14">
        <v>2025</v>
      </c>
      <c r="I52" s="10">
        <f>I34-I43</f>
        <v>4.342082198306656</v>
      </c>
      <c r="J52" s="10">
        <f t="shared" ref="J52:N52" si="26">J34-J43</f>
        <v>0</v>
      </c>
      <c r="K52" s="10">
        <f t="shared" si="26"/>
        <v>3.9116171527848564</v>
      </c>
      <c r="L52" s="10">
        <f t="shared" si="26"/>
        <v>19.440030827105545</v>
      </c>
      <c r="M52" s="10">
        <f t="shared" si="26"/>
        <v>2.6202220162195147</v>
      </c>
      <c r="N52" s="10">
        <f t="shared" si="26"/>
        <v>20.010454769338367</v>
      </c>
      <c r="P52" s="14">
        <v>2025</v>
      </c>
      <c r="Q52" s="10">
        <f>Q34-Q43</f>
        <v>0</v>
      </c>
      <c r="R52" s="10">
        <f t="shared" ref="R52:V52" si="27">R34-R43</f>
        <v>7.786424316229386</v>
      </c>
      <c r="S52" s="10">
        <f t="shared" si="27"/>
        <v>18.398106575289432</v>
      </c>
      <c r="T52" s="10">
        <f t="shared" si="27"/>
        <v>35.187344871835364</v>
      </c>
      <c r="U52" s="10">
        <f t="shared" si="27"/>
        <v>16.48913694666723</v>
      </c>
      <c r="V52" s="10">
        <f t="shared" si="27"/>
        <v>0</v>
      </c>
    </row>
    <row r="53" spans="8:22" x14ac:dyDescent="0.25">
      <c r="H53" s="14">
        <v>2030</v>
      </c>
      <c r="I53" s="10">
        <f t="shared" ref="I53:N57" si="28">I35-I44</f>
        <v>3.9677647674181173</v>
      </c>
      <c r="J53" s="10">
        <f t="shared" si="28"/>
        <v>17.244964251635736</v>
      </c>
      <c r="K53" s="10">
        <f t="shared" si="28"/>
        <v>8.0811603780086898</v>
      </c>
      <c r="L53" s="10">
        <f t="shared" si="28"/>
        <v>20.950271940950188</v>
      </c>
      <c r="M53" s="10">
        <f t="shared" si="28"/>
        <v>4.2069012077841847</v>
      </c>
      <c r="N53" s="10">
        <f t="shared" si="28"/>
        <v>25.26215202200342</v>
      </c>
      <c r="P53" s="14">
        <v>2030</v>
      </c>
      <c r="Q53" s="10">
        <f t="shared" ref="Q53:V53" si="29">Q35-Q44</f>
        <v>21.372351461742994</v>
      </c>
      <c r="R53" s="10">
        <f t="shared" si="29"/>
        <v>11.259977930599689</v>
      </c>
      <c r="S53" s="10">
        <f t="shared" si="29"/>
        <v>23.571883710856639</v>
      </c>
      <c r="T53" s="10">
        <f t="shared" si="29"/>
        <v>29.993627967872726</v>
      </c>
      <c r="U53" s="10">
        <f t="shared" si="29"/>
        <v>14.055309967007645</v>
      </c>
      <c r="V53" s="10">
        <f t="shared" si="29"/>
        <v>37.597382162977624</v>
      </c>
    </row>
    <row r="54" spans="8:22" x14ac:dyDescent="0.25">
      <c r="H54" s="14">
        <v>2035</v>
      </c>
      <c r="I54" s="10">
        <f t="shared" si="28"/>
        <v>3.6257160805717206</v>
      </c>
      <c r="J54" s="10">
        <f t="shared" si="28"/>
        <v>23.333724280585727</v>
      </c>
      <c r="K54" s="10">
        <f t="shared" si="28"/>
        <v>10.934413396059256</v>
      </c>
      <c r="L54" s="10">
        <f t="shared" si="28"/>
        <v>18.72032417850312</v>
      </c>
      <c r="M54" s="10">
        <f t="shared" si="28"/>
        <v>5.1522033458408316</v>
      </c>
      <c r="N54" s="10">
        <f t="shared" si="28"/>
        <v>23.226861692436131</v>
      </c>
      <c r="P54" s="14">
        <v>2035</v>
      </c>
      <c r="Q54" s="10">
        <f t="shared" ref="Q54:V54" si="30">Q36-Q45</f>
        <v>23.226861692436131</v>
      </c>
      <c r="R54" s="10">
        <f t="shared" si="30"/>
        <v>11.268816571343422</v>
      </c>
      <c r="S54" s="10">
        <f t="shared" si="30"/>
        <v>21.852984267566399</v>
      </c>
      <c r="T54" s="10">
        <f t="shared" si="30"/>
        <v>25.566513243664247</v>
      </c>
      <c r="U54" s="10">
        <f t="shared" si="30"/>
        <v>11.980720331672245</v>
      </c>
      <c r="V54" s="10">
        <f t="shared" si="30"/>
        <v>36.47488206774554</v>
      </c>
    </row>
    <row r="55" spans="8:22" x14ac:dyDescent="0.25">
      <c r="H55" s="14">
        <v>2040</v>
      </c>
      <c r="I55" s="10">
        <f t="shared" si="28"/>
        <v>3.3131543494879736</v>
      </c>
      <c r="J55" s="10">
        <f t="shared" si="28"/>
        <v>19.889623605473957</v>
      </c>
      <c r="K55" s="10">
        <f t="shared" si="28"/>
        <v>12.420614224737747</v>
      </c>
      <c r="L55" s="10">
        <f t="shared" si="28"/>
        <v>15.62821028835387</v>
      </c>
      <c r="M55" s="10">
        <f t="shared" si="28"/>
        <v>5.6786296136872636</v>
      </c>
      <c r="N55" s="10">
        <f t="shared" si="28"/>
        <v>24.364761490047641</v>
      </c>
      <c r="P55" s="14">
        <v>2040</v>
      </c>
      <c r="Q55" s="10">
        <f t="shared" ref="Q55:V55" si="31">Q37-Q46</f>
        <v>21.301522075026043</v>
      </c>
      <c r="R55" s="10">
        <f t="shared" si="31"/>
        <v>12.543703824095559</v>
      </c>
      <c r="S55" s="10">
        <f t="shared" si="31"/>
        <v>23.04900569548127</v>
      </c>
      <c r="T55" s="10">
        <f t="shared" si="31"/>
        <v>21.792848805706399</v>
      </c>
      <c r="U55" s="10">
        <f t="shared" si="31"/>
        <v>10.212343947068689</v>
      </c>
      <c r="V55" s="10">
        <f t="shared" si="31"/>
        <v>33.451376937551373</v>
      </c>
    </row>
    <row r="56" spans="8:22" x14ac:dyDescent="0.25">
      <c r="H56" s="14">
        <v>2045</v>
      </c>
      <c r="I56" s="10">
        <f t="shared" si="28"/>
        <v>3.0275375952217587</v>
      </c>
      <c r="J56" s="10">
        <f t="shared" si="28"/>
        <v>16.953878532651231</v>
      </c>
      <c r="K56" s="10">
        <f t="shared" si="28"/>
        <v>12.895125665987933</v>
      </c>
      <c r="L56" s="10">
        <f t="shared" si="28"/>
        <v>12.583732010574977</v>
      </c>
      <c r="M56" s="10">
        <f t="shared" si="28"/>
        <v>5.9235019688640449</v>
      </c>
      <c r="N56" s="10">
        <f t="shared" si="28"/>
        <v>24.450401364170347</v>
      </c>
      <c r="P56" s="14">
        <v>2045</v>
      </c>
      <c r="Q56" s="10">
        <f t="shared" ref="Q56:V56" si="32">Q38-Q47</f>
        <v>19.423425134499382</v>
      </c>
      <c r="R56" s="10">
        <f t="shared" si="32"/>
        <v>13.16072750058953</v>
      </c>
      <c r="S56" s="10">
        <f t="shared" si="32"/>
        <v>23.221266547780203</v>
      </c>
      <c r="T56" s="10">
        <f t="shared" si="32"/>
        <v>18.576184188357161</v>
      </c>
      <c r="U56" s="10">
        <f t="shared" si="32"/>
        <v>8.7049831734678094</v>
      </c>
      <c r="V56" s="10">
        <f t="shared" si="32"/>
        <v>30.502060524313691</v>
      </c>
    </row>
    <row r="57" spans="8:22" x14ac:dyDescent="0.25">
      <c r="H57" s="14">
        <v>2050</v>
      </c>
      <c r="I57" s="10">
        <f t="shared" si="28"/>
        <v>2.7665429749440307</v>
      </c>
      <c r="J57" s="10">
        <f t="shared" si="28"/>
        <v>14.451454839034085</v>
      </c>
      <c r="K57" s="10">
        <f t="shared" si="28"/>
        <v>12.705428535978669</v>
      </c>
      <c r="L57" s="10">
        <f t="shared" si="28"/>
        <v>9.888754586216244</v>
      </c>
      <c r="M57" s="10">
        <f t="shared" si="28"/>
        <v>5.9764362313892718</v>
      </c>
      <c r="N57" s="10">
        <f t="shared" si="28"/>
        <v>24.638140969714357</v>
      </c>
      <c r="P57" s="14">
        <v>2050</v>
      </c>
      <c r="Q57" s="10">
        <f t="shared" ref="Q57:V57" si="33">Q39-Q48</f>
        <v>18.190881716928743</v>
      </c>
      <c r="R57" s="10">
        <f t="shared" si="33"/>
        <v>13.733652713611036</v>
      </c>
      <c r="S57" s="10">
        <f t="shared" si="33"/>
        <v>23.470150366885861</v>
      </c>
      <c r="T57" s="10">
        <f t="shared" si="33"/>
        <v>15.8343051923259</v>
      </c>
      <c r="U57" s="10">
        <f t="shared" si="33"/>
        <v>7.4201116260002635</v>
      </c>
      <c r="V57" s="10">
        <f t="shared" si="33"/>
        <v>28.566505200715881</v>
      </c>
    </row>
    <row r="58" spans="8:22" x14ac:dyDescent="0.25">
      <c r="P58" s="13"/>
    </row>
    <row r="59" spans="8:22" x14ac:dyDescent="0.25">
      <c r="H59" s="19" t="s">
        <v>94</v>
      </c>
      <c r="I59" s="19"/>
      <c r="J59" s="19"/>
      <c r="K59" s="19"/>
      <c r="L59" s="19"/>
      <c r="M59" s="19"/>
      <c r="N59" s="19"/>
      <c r="P59" s="19" t="s">
        <v>94</v>
      </c>
      <c r="Q59" s="19"/>
      <c r="R59" s="19"/>
      <c r="S59" s="19"/>
      <c r="T59" s="19"/>
      <c r="U59" s="19"/>
      <c r="V59" s="19"/>
    </row>
    <row r="60" spans="8:22" x14ac:dyDescent="0.25">
      <c r="H60" s="14" t="s">
        <v>40</v>
      </c>
      <c r="I60" s="10" t="s">
        <v>28</v>
      </c>
      <c r="J60" s="10" t="s">
        <v>81</v>
      </c>
      <c r="K60" s="10" t="s">
        <v>82</v>
      </c>
      <c r="L60" s="10" t="s">
        <v>2</v>
      </c>
      <c r="M60" s="10" t="s">
        <v>3</v>
      </c>
      <c r="N60" s="10" t="s">
        <v>80</v>
      </c>
      <c r="P60" t="s">
        <v>40</v>
      </c>
      <c r="Q60" t="s">
        <v>103</v>
      </c>
      <c r="R60" t="s">
        <v>104</v>
      </c>
      <c r="S60" t="s">
        <v>105</v>
      </c>
      <c r="T60" t="s">
        <v>107</v>
      </c>
      <c r="U60" t="s">
        <v>108</v>
      </c>
      <c r="V60" t="s">
        <v>115</v>
      </c>
    </row>
    <row r="61" spans="8:22" x14ac:dyDescent="0.25">
      <c r="H61" s="14">
        <v>2025</v>
      </c>
      <c r="I61" s="15">
        <f>(1-(I52/I34))/I34</f>
        <v>4.2296729674809255E-3</v>
      </c>
      <c r="J61" s="15">
        <f t="shared" ref="J61:N61" si="34">(1-(J52/J34))/J34</f>
        <v>2.242152466367713E-3</v>
      </c>
      <c r="K61" s="15">
        <f t="shared" si="34"/>
        <v>4.6951393706008366E-3</v>
      </c>
      <c r="L61" s="15">
        <f t="shared" si="34"/>
        <v>3.4372630131788207E-3</v>
      </c>
      <c r="M61" s="15">
        <f t="shared" si="34"/>
        <v>7.0091723461112492E-3</v>
      </c>
      <c r="N61" s="15">
        <f t="shared" si="34"/>
        <v>2.6199161506589817E-3</v>
      </c>
      <c r="P61" s="14">
        <v>2025</v>
      </c>
      <c r="Q61" s="15">
        <f t="shared" ref="Q61:V66" si="35">Q52/Q34</f>
        <v>0</v>
      </c>
      <c r="R61" s="15">
        <f t="shared" si="35"/>
        <v>2.159864871588402E-2</v>
      </c>
      <c r="S61" s="15">
        <f t="shared" si="35"/>
        <v>5.1034239185863285E-2</v>
      </c>
      <c r="T61" s="15">
        <f t="shared" si="35"/>
        <v>7.8895392089316965E-2</v>
      </c>
      <c r="U61" s="15">
        <f t="shared" si="35"/>
        <v>7.8895392089316896E-2</v>
      </c>
      <c r="V61" s="15">
        <f t="shared" si="35"/>
        <v>0</v>
      </c>
    </row>
    <row r="62" spans="8:22" x14ac:dyDescent="0.25">
      <c r="H62" s="14">
        <v>2030</v>
      </c>
      <c r="I62" s="15">
        <f t="shared" ref="I62:N66" si="36">(1-(I53/I35))/I35</f>
        <v>4.6286987191300703E-3</v>
      </c>
      <c r="J62" s="15">
        <f t="shared" si="36"/>
        <v>2.5110866614096584E-3</v>
      </c>
      <c r="K62" s="15">
        <f t="shared" si="36"/>
        <v>5.358586846835922E-3</v>
      </c>
      <c r="L62" s="15">
        <f t="shared" si="36"/>
        <v>4.3242888533228281E-3</v>
      </c>
      <c r="M62" s="15">
        <f t="shared" si="36"/>
        <v>7.6655988170767544E-3</v>
      </c>
      <c r="N62" s="15">
        <f t="shared" si="36"/>
        <v>3.082340536972066E-3</v>
      </c>
      <c r="P62" s="14">
        <v>2030</v>
      </c>
      <c r="Q62" s="15">
        <f t="shared" si="35"/>
        <v>7.2005255799870646E-2</v>
      </c>
      <c r="R62" s="15">
        <f t="shared" si="35"/>
        <v>3.7935815937008122E-2</v>
      </c>
      <c r="S62" s="15">
        <f t="shared" si="35"/>
        <v>7.9415665577240849E-2</v>
      </c>
      <c r="T62" s="15">
        <f t="shared" si="35"/>
        <v>7.889539208931684E-2</v>
      </c>
      <c r="U62" s="15">
        <f t="shared" si="35"/>
        <v>7.8895392089316979E-2</v>
      </c>
      <c r="V62" s="15">
        <f t="shared" si="35"/>
        <v>0.12666875354809062</v>
      </c>
    </row>
    <row r="63" spans="8:22" x14ac:dyDescent="0.25">
      <c r="H63" s="14">
        <v>2035</v>
      </c>
      <c r="I63" s="15">
        <f t="shared" si="36"/>
        <v>5.0653684096140404E-3</v>
      </c>
      <c r="J63" s="15">
        <f t="shared" si="36"/>
        <v>2.8636876879813964E-3</v>
      </c>
      <c r="K63" s="15">
        <f t="shared" si="36"/>
        <v>6.1110273150225018E-3</v>
      </c>
      <c r="L63" s="15">
        <f t="shared" si="36"/>
        <v>5.5134028844093996E-3</v>
      </c>
      <c r="M63" s="15">
        <f t="shared" si="36"/>
        <v>8.4048700724761085E-3</v>
      </c>
      <c r="N63" s="15">
        <f t="shared" si="36"/>
        <v>4.0524179733364973E-3</v>
      </c>
      <c r="P63" s="14">
        <v>2035</v>
      </c>
      <c r="Q63" s="15">
        <f t="shared" si="35"/>
        <v>0.10518985801607014</v>
      </c>
      <c r="R63" s="15">
        <f t="shared" si="35"/>
        <v>5.1034239185863375E-2</v>
      </c>
      <c r="S63" s="15">
        <f t="shared" si="35"/>
        <v>9.8967839167066807E-2</v>
      </c>
      <c r="T63" s="15">
        <f t="shared" si="35"/>
        <v>7.8895392089316993E-2</v>
      </c>
      <c r="U63" s="15">
        <f t="shared" si="35"/>
        <v>7.889539208931691E-2</v>
      </c>
      <c r="V63" s="15">
        <f t="shared" si="35"/>
        <v>0.1651875193758317</v>
      </c>
    </row>
    <row r="64" spans="8:22" x14ac:dyDescent="0.25">
      <c r="H64" s="14">
        <v>2040</v>
      </c>
      <c r="I64" s="15">
        <f t="shared" si="36"/>
        <v>5.5432333539172512E-3</v>
      </c>
      <c r="J64" s="15">
        <f t="shared" si="36"/>
        <v>3.3595657847781462E-3</v>
      </c>
      <c r="K64" s="15">
        <f t="shared" si="36"/>
        <v>6.984190506932688E-3</v>
      </c>
      <c r="L64" s="15">
        <f t="shared" si="36"/>
        <v>7.078467616032813E-3</v>
      </c>
      <c r="M64" s="15">
        <f t="shared" si="36"/>
        <v>9.2321065465968011E-3</v>
      </c>
      <c r="N64" s="15">
        <f t="shared" si="36"/>
        <v>4.3439983353645469E-3</v>
      </c>
      <c r="P64" s="14">
        <v>2040</v>
      </c>
      <c r="Q64" s="15">
        <f t="shared" si="35"/>
        <v>0.10518985801607007</v>
      </c>
      <c r="R64" s="15">
        <f t="shared" si="35"/>
        <v>6.1942541927517823E-2</v>
      </c>
      <c r="S64" s="15">
        <f t="shared" si="35"/>
        <v>0.11381917348346579</v>
      </c>
      <c r="T64" s="15">
        <f t="shared" si="35"/>
        <v>7.8895392089316882E-2</v>
      </c>
      <c r="U64" s="15">
        <f t="shared" si="35"/>
        <v>7.8895392089316854E-2</v>
      </c>
      <c r="V64" s="15">
        <f t="shared" si="35"/>
        <v>0.16518751937583165</v>
      </c>
    </row>
    <row r="65" spans="8:22" x14ac:dyDescent="0.25">
      <c r="H65" s="14">
        <v>2045</v>
      </c>
      <c r="I65" s="15">
        <f t="shared" si="36"/>
        <v>6.0661798967396345E-3</v>
      </c>
      <c r="J65" s="15">
        <f t="shared" si="36"/>
        <v>3.9413104681844512E-3</v>
      </c>
      <c r="K65" s="15">
        <f t="shared" si="36"/>
        <v>8.0040080256891903E-3</v>
      </c>
      <c r="L65" s="15">
        <f t="shared" si="36"/>
        <v>9.129292010114377E-3</v>
      </c>
      <c r="M65" s="15">
        <f t="shared" si="36"/>
        <v>1.0154459901310238E-2</v>
      </c>
      <c r="N65" s="15">
        <f t="shared" si="36"/>
        <v>4.6985144493336935E-3</v>
      </c>
      <c r="P65" s="14">
        <v>2045</v>
      </c>
      <c r="Q65" s="15">
        <f t="shared" si="35"/>
        <v>0.10518985801607006</v>
      </c>
      <c r="R65" s="15">
        <f t="shared" si="35"/>
        <v>7.1273477648198635E-2</v>
      </c>
      <c r="S65" s="15">
        <f t="shared" si="35"/>
        <v>0.12575751774983088</v>
      </c>
      <c r="T65" s="15">
        <f t="shared" si="35"/>
        <v>7.8895392089316924E-2</v>
      </c>
      <c r="U65" s="15">
        <f t="shared" si="35"/>
        <v>7.8895392089316868E-2</v>
      </c>
      <c r="V65" s="15">
        <f t="shared" si="35"/>
        <v>0.16518751937583168</v>
      </c>
    </row>
    <row r="66" spans="8:22" x14ac:dyDescent="0.25">
      <c r="H66" s="14">
        <v>2050</v>
      </c>
      <c r="I66" s="15">
        <f t="shared" si="36"/>
        <v>6.6384610190735622E-3</v>
      </c>
      <c r="J66" s="15">
        <f t="shared" si="36"/>
        <v>4.62379045441021E-3</v>
      </c>
      <c r="K66" s="15">
        <f t="shared" si="36"/>
        <v>9.196254377799239E-3</v>
      </c>
      <c r="L66" s="15">
        <f t="shared" si="36"/>
        <v>1.1815679292787139E-2</v>
      </c>
      <c r="M66" s="15">
        <f t="shared" si="36"/>
        <v>1.1180659568676256E-2</v>
      </c>
      <c r="N66" s="15">
        <f t="shared" si="36"/>
        <v>4.9587095646873537E-3</v>
      </c>
      <c r="P66" s="14">
        <v>2050</v>
      </c>
      <c r="Q66" s="15">
        <f t="shared" si="35"/>
        <v>0.10518985801607002</v>
      </c>
      <c r="R66" s="15">
        <f t="shared" si="35"/>
        <v>7.9415665577240932E-2</v>
      </c>
      <c r="S66" s="15">
        <f t="shared" si="35"/>
        <v>0.13571754371922554</v>
      </c>
      <c r="T66" s="15">
        <f t="shared" si="35"/>
        <v>7.8895392089316882E-2</v>
      </c>
      <c r="U66" s="15">
        <f t="shared" si="35"/>
        <v>7.8895392089316993E-2</v>
      </c>
      <c r="V66" s="15">
        <f t="shared" si="35"/>
        <v>0.16518751937583168</v>
      </c>
    </row>
  </sheetData>
  <mergeCells count="14">
    <mergeCell ref="P32:V32"/>
    <mergeCell ref="P41:V41"/>
    <mergeCell ref="P59:V59"/>
    <mergeCell ref="H41:N41"/>
    <mergeCell ref="H50:N50"/>
    <mergeCell ref="H32:N32"/>
    <mergeCell ref="H59:N59"/>
    <mergeCell ref="P50:V50"/>
    <mergeCell ref="H14:N14"/>
    <mergeCell ref="H23:N23"/>
    <mergeCell ref="H5:N5"/>
    <mergeCell ref="P5:V5"/>
    <mergeCell ref="P14:V14"/>
    <mergeCell ref="P23:V23"/>
  </mergeCells>
  <phoneticPr fontId="3" type="noConversion"/>
  <conditionalFormatting sqref="I52:N57">
    <cfRule type="colorScale" priority="4">
      <colorScale>
        <cfvo type="min"/>
        <cfvo type="max"/>
        <color rgb="FFFCFCFF"/>
        <color rgb="FF63BE7B"/>
      </colorScale>
    </cfRule>
  </conditionalFormatting>
  <conditionalFormatting sqref="I61:N66">
    <cfRule type="colorScale" priority="3">
      <colorScale>
        <cfvo type="min"/>
        <cfvo type="max"/>
        <color rgb="FFFCFCFF"/>
        <color rgb="FF63BE7B"/>
      </colorScale>
    </cfRule>
  </conditionalFormatting>
  <conditionalFormatting sqref="Q52:V57">
    <cfRule type="colorScale" priority="2">
      <colorScale>
        <cfvo type="min"/>
        <cfvo type="max"/>
        <color rgb="FFFCFCFF"/>
        <color rgb="FF63BE7B"/>
      </colorScale>
    </cfRule>
  </conditionalFormatting>
  <conditionalFormatting sqref="Q61:V66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D3" r:id="rId1" xr:uid="{24FFCE81-5015-4DFC-9C15-040909BF29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7325-8713-4C29-9B32-6AF71A8D6F7B}">
  <dimension ref="A1:S53"/>
  <sheetViews>
    <sheetView tabSelected="1" topLeftCell="A13" workbookViewId="0">
      <selection activeCell="Q48" sqref="Q48:Q53"/>
    </sheetView>
  </sheetViews>
  <sheetFormatPr defaultRowHeight="15" x14ac:dyDescent="0.25"/>
  <sheetData>
    <row r="1" spans="1:19" x14ac:dyDescent="0.25">
      <c r="A1" t="s">
        <v>0</v>
      </c>
      <c r="B1" t="s">
        <v>9</v>
      </c>
      <c r="C1" t="s">
        <v>8</v>
      </c>
      <c r="D1" t="s">
        <v>38</v>
      </c>
      <c r="E1" t="s">
        <v>39</v>
      </c>
      <c r="F1" t="s">
        <v>3</v>
      </c>
      <c r="G1" t="s">
        <v>28</v>
      </c>
      <c r="L1" s="20" t="s">
        <v>117</v>
      </c>
      <c r="M1" s="20"/>
      <c r="N1" s="20"/>
      <c r="O1" s="20"/>
      <c r="P1" s="20"/>
      <c r="Q1" s="20"/>
      <c r="R1" s="20"/>
      <c r="S1" s="20"/>
    </row>
    <row r="2" spans="1:19" x14ac:dyDescent="0.25">
      <c r="A2">
        <v>2025</v>
      </c>
      <c r="B2">
        <f>(1-B14)*(1-B22)*B$10*EXP(B$11*($A2-$A$2+B30))</f>
        <v>446.00000000000006</v>
      </c>
      <c r="C2">
        <f t="shared" ref="C2:G2" si="0">(1-C14)*(1-C22)*C$10*EXP(C$11*($A2-$A$2+C30))</f>
        <v>208.99999999999997</v>
      </c>
      <c r="D2">
        <f>(1-D14)*(1-D22)*D$10*EXP(D$11*($A2-$A$3+D30))</f>
        <v>316.03815554156989</v>
      </c>
      <c r="E2">
        <f>(1-E14)*(1-E22)*E$10*EXP(E$11*($A2-$A$3+E30))</f>
        <v>269.98072031209182</v>
      </c>
      <c r="F2">
        <f t="shared" si="0"/>
        <v>139.99999999999994</v>
      </c>
      <c r="G2">
        <f t="shared" si="0"/>
        <v>231.99999999999997</v>
      </c>
      <c r="L2" t="s">
        <v>0</v>
      </c>
      <c r="M2" t="s">
        <v>9</v>
      </c>
      <c r="N2" t="s">
        <v>8</v>
      </c>
      <c r="O2" t="s">
        <v>38</v>
      </c>
      <c r="P2" t="s">
        <v>39</v>
      </c>
      <c r="Q2" t="s">
        <v>3</v>
      </c>
      <c r="R2" t="s">
        <v>28</v>
      </c>
      <c r="S2" t="s">
        <v>118</v>
      </c>
    </row>
    <row r="3" spans="1:19" x14ac:dyDescent="0.25">
      <c r="A3">
        <v>2030</v>
      </c>
      <c r="B3">
        <f>(1-B15)*(1-B23)*B$10*EXP(B$11*($A3-$A$2+B31))</f>
        <v>323.85932014785305</v>
      </c>
      <c r="C3">
        <f t="shared" ref="B3:G7" si="1">(1-C15)*(1-C23)*C$10*EXP(C$11*($A3-$A$2+C31))</f>
        <v>151.76367244596696</v>
      </c>
      <c r="D3">
        <f t="shared" ref="D3:E7" si="2">(1-D15)*(1-D23)*D$10*EXP(D$11*($A3-$A$3+D31))</f>
        <v>230.55794999999995</v>
      </c>
      <c r="E3">
        <f t="shared" si="2"/>
        <v>180.92669318181808</v>
      </c>
      <c r="F3">
        <f t="shared" si="1"/>
        <v>109.7115308653982</v>
      </c>
      <c r="G3">
        <f t="shared" si="1"/>
        <v>184.44635999999997</v>
      </c>
      <c r="L3">
        <v>2025</v>
      </c>
      <c r="M3">
        <f>'Baseline Parameters'!B2</f>
        <v>446</v>
      </c>
      <c r="N3">
        <f>'Baseline Parameters'!C2</f>
        <v>209</v>
      </c>
      <c r="O3">
        <f>'Baseline Parameters'!D2</f>
        <v>316.03815554156989</v>
      </c>
      <c r="P3">
        <f>'Baseline Parameters'!E2</f>
        <v>269.98072031209182</v>
      </c>
      <c r="Q3">
        <f>'Baseline Parameters'!F2</f>
        <v>140</v>
      </c>
      <c r="R3">
        <f>'Baseline Parameters'!G2</f>
        <v>232</v>
      </c>
      <c r="S3">
        <f>'Baseline Parameters'!H2</f>
        <v>0.13945355191256831</v>
      </c>
    </row>
    <row r="4" spans="1:19" x14ac:dyDescent="0.25">
      <c r="A4">
        <v>2035</v>
      </c>
      <c r="B4">
        <f t="shared" si="1"/>
        <v>231.91484742105459</v>
      </c>
      <c r="C4">
        <f t="shared" si="1"/>
        <v>108.67758545067353</v>
      </c>
      <c r="D4">
        <f t="shared" si="2"/>
        <v>165.92430717784811</v>
      </c>
      <c r="E4">
        <f t="shared" si="2"/>
        <v>119.608451259473</v>
      </c>
      <c r="F4">
        <f t="shared" si="1"/>
        <v>84.813667223821682</v>
      </c>
      <c r="G4">
        <f t="shared" si="1"/>
        <v>144.65768827586206</v>
      </c>
      <c r="L4">
        <v>2030</v>
      </c>
      <c r="M4">
        <f>'Baseline Parameters'!B3</f>
        <v>380.16957864810638</v>
      </c>
      <c r="N4">
        <f>'Baseline Parameters'!C3</f>
        <v>178.15121510639958</v>
      </c>
      <c r="O4">
        <f>'Baseline Parameters'!D3</f>
        <v>265</v>
      </c>
      <c r="P4">
        <f>'Baseline Parameters'!E3</f>
        <v>207.95454545454541</v>
      </c>
      <c r="Q4">
        <f>'Baseline Parameters'!F3</f>
        <v>126.10085958575935</v>
      </c>
      <c r="R4">
        <f>'Baseline Parameters'!G3</f>
        <v>212</v>
      </c>
      <c r="S4">
        <f>'Baseline Parameters'!H3</f>
        <v>0.12743169398907103</v>
      </c>
    </row>
    <row r="5" spans="1:19" x14ac:dyDescent="0.25">
      <c r="A5">
        <v>2040</v>
      </c>
      <c r="B5">
        <f t="shared" si="1"/>
        <v>186.57431874175384</v>
      </c>
      <c r="C5">
        <f t="shared" si="1"/>
        <v>87.43056640588911</v>
      </c>
      <c r="D5">
        <f t="shared" si="2"/>
        <v>134.15012486017295</v>
      </c>
      <c r="E5">
        <f t="shared" si="2"/>
        <v>88.832573878156737</v>
      </c>
      <c r="F5">
        <f t="shared" si="1"/>
        <v>73.659805223530071</v>
      </c>
      <c r="G5">
        <f t="shared" si="1"/>
        <v>127.45712247324612</v>
      </c>
      <c r="L5">
        <v>2035</v>
      </c>
      <c r="M5">
        <f>'Baseline Parameters'!B4</f>
        <v>324.05584872080431</v>
      </c>
      <c r="N5">
        <f>'Baseline Parameters'!C4</f>
        <v>151.85576767409884</v>
      </c>
      <c r="O5">
        <f>'Baseline Parameters'!D4</f>
        <v>222.20418252872307</v>
      </c>
      <c r="P5">
        <f>'Baseline Parameters'!E4</f>
        <v>160.17844876188263</v>
      </c>
      <c r="Q5">
        <f>'Baseline Parameters'!F4</f>
        <v>113.58161991619573</v>
      </c>
      <c r="R5">
        <f>'Baseline Parameters'!G4</f>
        <v>193.72413793103445</v>
      </c>
      <c r="S5">
        <f>'Baseline Parameters'!H4</f>
        <v>0.1164462031279442</v>
      </c>
    </row>
    <row r="6" spans="1:19" x14ac:dyDescent="0.25">
      <c r="A6">
        <v>2045</v>
      </c>
      <c r="B6">
        <f t="shared" si="1"/>
        <v>159.03560570091938</v>
      </c>
      <c r="C6">
        <f t="shared" si="1"/>
        <v>74.52565379258327</v>
      </c>
      <c r="D6">
        <f t="shared" si="2"/>
        <v>112.48573143653158</v>
      </c>
      <c r="E6">
        <f t="shared" si="2"/>
        <v>68.423913755896564</v>
      </c>
      <c r="F6">
        <f t="shared" si="1"/>
        <v>66.346891111476808</v>
      </c>
      <c r="G6">
        <f t="shared" si="1"/>
        <v>116.46943950141454</v>
      </c>
      <c r="L6">
        <v>2040</v>
      </c>
      <c r="M6">
        <f>'Baseline Parameters'!B5</f>
        <v>276.22460866960239</v>
      </c>
      <c r="N6">
        <f>'Baseline Parameters'!C5</f>
        <v>129.4415767084011</v>
      </c>
      <c r="O6">
        <f>'Baseline Parameters'!D5</f>
        <v>186.3196178613513</v>
      </c>
      <c r="P6">
        <f>'Baseline Parameters'!E5</f>
        <v>123.37857483077323</v>
      </c>
      <c r="Q6">
        <f>'Baseline Parameters'!F5</f>
        <v>102.30528503268064</v>
      </c>
      <c r="R6">
        <f>'Baseline Parameters'!G5</f>
        <v>177.02378121284181</v>
      </c>
      <c r="S6">
        <f>'Baseline Parameters'!H5</f>
        <v>0.10640773734105245</v>
      </c>
    </row>
    <row r="7" spans="1:19" x14ac:dyDescent="0.25">
      <c r="A7">
        <v>2050</v>
      </c>
      <c r="B7">
        <f t="shared" si="1"/>
        <v>135.56165742010066</v>
      </c>
      <c r="C7">
        <f t="shared" si="1"/>
        <v>63.525530046639084</v>
      </c>
      <c r="D7">
        <f t="shared" si="2"/>
        <v>94.319999999999965</v>
      </c>
      <c r="E7">
        <f t="shared" si="2"/>
        <v>52.703999999999972</v>
      </c>
      <c r="F7">
        <f t="shared" si="1"/>
        <v>59.760000000000026</v>
      </c>
      <c r="G7">
        <f t="shared" si="1"/>
        <v>106.42897057887879</v>
      </c>
      <c r="L7">
        <v>2045</v>
      </c>
      <c r="M7">
        <f>'Baseline Parameters'!B6</f>
        <v>235.45334773578654</v>
      </c>
      <c r="N7">
        <f>'Baseline Parameters'!C6</f>
        <v>110.33576160712865</v>
      </c>
      <c r="O7">
        <f>'Baseline Parameters'!D6</f>
        <v>156.23018255073828</v>
      </c>
      <c r="P7">
        <f>'Baseline Parameters'!E6</f>
        <v>95.033213549856328</v>
      </c>
      <c r="Q7">
        <f>'Baseline Parameters'!F6</f>
        <v>92.14845987705111</v>
      </c>
      <c r="R7">
        <f>'Baseline Parameters'!G6</f>
        <v>161.7631104186313</v>
      </c>
      <c r="S7">
        <f>'Baseline Parameters'!H6</f>
        <v>9.7234656535789318E-2</v>
      </c>
    </row>
    <row r="8" spans="1:19" x14ac:dyDescent="0.25">
      <c r="L8">
        <v>2050</v>
      </c>
      <c r="M8">
        <f>'Baseline Parameters'!B7</f>
        <v>200.70000000000002</v>
      </c>
      <c r="N8">
        <f>'Baseline Parameters'!C7</f>
        <v>94.05</v>
      </c>
      <c r="O8">
        <f>'Baseline Parameters'!D7</f>
        <v>131</v>
      </c>
      <c r="P8">
        <f>'Baseline Parameters'!E7</f>
        <v>73.199999999999989</v>
      </c>
      <c r="Q8">
        <f>'Baseline Parameters'!F7</f>
        <v>83</v>
      </c>
      <c r="R8">
        <f>'Baseline Parameters'!G7</f>
        <v>147.8180146928872</v>
      </c>
      <c r="S8">
        <f>'Baseline Parameters'!H7</f>
        <v>8.8852358558566089E-2</v>
      </c>
    </row>
    <row r="10" spans="1:19" x14ac:dyDescent="0.25">
      <c r="A10" t="s">
        <v>13</v>
      </c>
      <c r="B10">
        <f>'Baseline Parameters'!B13</f>
        <v>446.00000000000006</v>
      </c>
      <c r="C10">
        <f>'Baseline Parameters'!C13</f>
        <v>208.99999999999997</v>
      </c>
      <c r="D10">
        <f>'Baseline Parameters'!D13</f>
        <v>264.99999999999994</v>
      </c>
      <c r="E10">
        <f>'Baseline Parameters'!E13</f>
        <v>207.95454545454535</v>
      </c>
      <c r="F10">
        <f>'Baseline Parameters'!F13</f>
        <v>139.99999999999994</v>
      </c>
      <c r="G10">
        <f>'Baseline Parameters'!G13</f>
        <v>231.99999999999997</v>
      </c>
      <c r="L10" s="20" t="s">
        <v>103</v>
      </c>
      <c r="M10" s="20"/>
      <c r="N10" s="20"/>
      <c r="O10" s="20"/>
      <c r="P10" s="20"/>
      <c r="Q10" s="20"/>
      <c r="R10" s="20"/>
      <c r="S10" s="20"/>
    </row>
    <row r="11" spans="1:19" x14ac:dyDescent="0.25">
      <c r="A11" t="s">
        <v>14</v>
      </c>
      <c r="B11">
        <f>'Baseline Parameters'!B14</f>
        <v>-3.1940307848710853E-2</v>
      </c>
      <c r="C11">
        <f>'Baseline Parameters'!C14</f>
        <v>-3.1940307848710853E-2</v>
      </c>
      <c r="D11">
        <f>'Baseline Parameters'!D14</f>
        <v>-3.5226625139253544E-2</v>
      </c>
      <c r="E11">
        <f>'Baseline Parameters'!E14</f>
        <v>-5.2206205169202005E-2</v>
      </c>
      <c r="F11">
        <f>'Baseline Parameters'!F14</f>
        <v>-2.0912072592508223E-2</v>
      </c>
      <c r="G11">
        <f>'Baseline Parameters'!G14</f>
        <v>-1.8030219398859515E-2</v>
      </c>
      <c r="L11" t="s">
        <v>0</v>
      </c>
      <c r="M11" t="s">
        <v>9</v>
      </c>
      <c r="N11" t="s">
        <v>8</v>
      </c>
      <c r="O11" t="s">
        <v>38</v>
      </c>
      <c r="P11" t="s">
        <v>39</v>
      </c>
      <c r="Q11" t="s">
        <v>3</v>
      </c>
      <c r="R11" t="s">
        <v>28</v>
      </c>
      <c r="S11" t="s">
        <v>118</v>
      </c>
    </row>
    <row r="12" spans="1:19" x14ac:dyDescent="0.25">
      <c r="L12">
        <v>2025</v>
      </c>
      <c r="M12">
        <f>M3*(1-'Learning Rates'!$Q61)</f>
        <v>446</v>
      </c>
      <c r="N12">
        <f>N3*(1-'Learning Rates'!$Q61)</f>
        <v>209</v>
      </c>
      <c r="O12">
        <f>O3*(1-'Learning Rates'!$Q61)</f>
        <v>316.03815554156989</v>
      </c>
      <c r="P12">
        <f>P3*(1-'Learning Rates'!$Q61)</f>
        <v>269.98072031209182</v>
      </c>
      <c r="Q12">
        <f>Q3*(1-'Learning Rates'!$Q61)</f>
        <v>140</v>
      </c>
      <c r="R12">
        <f>R3*(1-'Learning Rates'!$Q61)</f>
        <v>232</v>
      </c>
      <c r="S12">
        <f>S3*(1-'Learning Rates'!$Q61)</f>
        <v>0.13945355191256831</v>
      </c>
    </row>
    <row r="13" spans="1:19" x14ac:dyDescent="0.25">
      <c r="A13" t="s">
        <v>31</v>
      </c>
      <c r="B13" t="s">
        <v>9</v>
      </c>
      <c r="C13" t="s">
        <v>8</v>
      </c>
      <c r="D13" t="s">
        <v>2</v>
      </c>
      <c r="E13" t="s">
        <v>2</v>
      </c>
      <c r="F13" t="s">
        <v>3</v>
      </c>
      <c r="G13" t="s">
        <v>28</v>
      </c>
      <c r="H13" t="s">
        <v>7</v>
      </c>
      <c r="L13">
        <v>2030</v>
      </c>
      <c r="M13">
        <f>M4*(1-'Learning Rates'!$Q62)</f>
        <v>352.79537089022045</v>
      </c>
      <c r="N13">
        <f>N4*(1-'Learning Rates'!$Q62)</f>
        <v>165.3233912916055</v>
      </c>
      <c r="O13">
        <f>O4*(1-'Learning Rates'!$Q62)</f>
        <v>245.91860721303428</v>
      </c>
      <c r="P13">
        <f>P4*(1-'Learning Rates'!$Q62)</f>
        <v>192.98072521434506</v>
      </c>
      <c r="Q13">
        <f>Q4*(1-'Learning Rates'!$Q62)</f>
        <v>117.02093493470319</v>
      </c>
      <c r="R13">
        <f>R4*(1-'Learning Rates'!$Q62)</f>
        <v>196.73488577042744</v>
      </c>
      <c r="S13">
        <f>S4*(1-'Learning Rates'!$Q62)</f>
        <v>0.11825594226637715</v>
      </c>
    </row>
    <row r="14" spans="1:19" x14ac:dyDescent="0.25">
      <c r="A14">
        <v>2025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t="s">
        <v>33</v>
      </c>
      <c r="L14">
        <v>2035</v>
      </c>
      <c r="M14">
        <f>M5*(1-'Learning Rates'!$Q63)</f>
        <v>289.96846000458578</v>
      </c>
      <c r="N14">
        <f>N5*(1-'Learning Rates'!$Q63)</f>
        <v>135.88208103353904</v>
      </c>
      <c r="O14">
        <f>O5*(1-'Learning Rates'!$Q63)</f>
        <v>198.83055611794975</v>
      </c>
      <c r="P14">
        <f>P5*(1-'Learning Rates'!$Q63)</f>
        <v>143.32930047938584</v>
      </c>
      <c r="Q14">
        <f>Q5*(1-'Learning Rates'!$Q63)</f>
        <v>101.63398544397586</v>
      </c>
      <c r="R14">
        <f>R5*(1-'Learning Rates'!$Q63)</f>
        <v>173.34632336778333</v>
      </c>
      <c r="S14">
        <f>S5*(1-'Learning Rates'!$Q63)</f>
        <v>0.10419724355440528</v>
      </c>
    </row>
    <row r="15" spans="1:19" x14ac:dyDescent="0.25">
      <c r="A15">
        <v>2030</v>
      </c>
      <c r="B15" s="6">
        <v>3.3300000000000003E-2</v>
      </c>
      <c r="C15" s="6">
        <v>3.3300000000000003E-2</v>
      </c>
      <c r="D15" s="6">
        <v>3.3300000000000003E-2</v>
      </c>
      <c r="E15" s="6">
        <v>3.3300000000000003E-2</v>
      </c>
      <c r="F15" s="6">
        <v>3.3300000000000003E-2</v>
      </c>
      <c r="G15" s="6">
        <v>3.3300000000000003E-2</v>
      </c>
      <c r="H15" t="s">
        <v>33</v>
      </c>
      <c r="L15">
        <v>2040</v>
      </c>
      <c r="M15">
        <f>M6*(1-'Learning Rates'!$Q64)</f>
        <v>247.1685813031024</v>
      </c>
      <c r="N15">
        <f>N6*(1-'Learning Rates'!$Q64)</f>
        <v>115.82563563306815</v>
      </c>
      <c r="O15">
        <f>O6*(1-'Learning Rates'!$Q64)</f>
        <v>166.72068371290732</v>
      </c>
      <c r="P15">
        <f>P6*(1-'Learning Rates'!$Q64)</f>
        <v>110.40040006209912</v>
      </c>
      <c r="Q15">
        <f>Q6*(1-'Learning Rates'!$Q64)</f>
        <v>91.543806625799391</v>
      </c>
      <c r="R15">
        <f>R6*(1-'Learning Rates'!$Q64)</f>
        <v>158.40267480159514</v>
      </c>
      <c r="S15">
        <f>S6*(1-'Learning Rates'!$Q64)</f>
        <v>9.5214722558335865E-2</v>
      </c>
    </row>
    <row r="16" spans="1:19" x14ac:dyDescent="0.25">
      <c r="A16">
        <v>2035</v>
      </c>
      <c r="B16" s="6">
        <v>6.6600000000000006E-2</v>
      </c>
      <c r="C16" s="6">
        <v>6.6600000000000006E-2</v>
      </c>
      <c r="D16" s="6">
        <v>6.6600000000000006E-2</v>
      </c>
      <c r="E16" s="6">
        <v>6.6600000000000006E-2</v>
      </c>
      <c r="F16" s="6">
        <v>6.6600000000000006E-2</v>
      </c>
      <c r="G16" s="6">
        <v>6.6600000000000006E-2</v>
      </c>
      <c r="H16" t="s">
        <v>33</v>
      </c>
      <c r="L16">
        <v>2045</v>
      </c>
      <c r="M16">
        <f>M7*(1-'Learning Rates'!$Q65)</f>
        <v>210.68604351805078</v>
      </c>
      <c r="N16">
        <f>N7*(1-'Learning Rates'!$Q65)</f>
        <v>98.729558509579832</v>
      </c>
      <c r="O16">
        <f>O7*(1-'Learning Rates'!$Q65)</f>
        <v>139.79635183040142</v>
      </c>
      <c r="P16">
        <f>P7*(1-'Learning Rates'!$Q65)</f>
        <v>85.036683309736077</v>
      </c>
      <c r="Q16">
        <f>Q7*(1-'Learning Rates'!$Q65)</f>
        <v>82.455376466184575</v>
      </c>
      <c r="R16">
        <f>R7*(1-'Learning Rates'!$Q65)</f>
        <v>144.7472718014576</v>
      </c>
      <c r="S16">
        <f>S7*(1-'Learning Rates'!$Q65)</f>
        <v>8.7006556820548295E-2</v>
      </c>
    </row>
    <row r="17" spans="1:19" x14ac:dyDescent="0.25">
      <c r="A17">
        <v>2040</v>
      </c>
      <c r="B17" s="6">
        <v>0.1</v>
      </c>
      <c r="C17" s="6">
        <v>0.1</v>
      </c>
      <c r="D17" s="6">
        <v>0.1</v>
      </c>
      <c r="E17" s="6">
        <v>0.1</v>
      </c>
      <c r="F17" s="6">
        <v>0.1</v>
      </c>
      <c r="G17" s="6">
        <v>0.1</v>
      </c>
      <c r="H17" t="s">
        <v>33</v>
      </c>
      <c r="L17">
        <v>2050</v>
      </c>
      <c r="M17">
        <f>M8*(1-'Learning Rates'!$Q66)</f>
        <v>179.58839549617474</v>
      </c>
      <c r="N17">
        <f>N8*(1-'Learning Rates'!$Q66)</f>
        <v>84.156893853588613</v>
      </c>
      <c r="O17">
        <f>O8*(1-'Learning Rates'!$Q66)</f>
        <v>117.22012859989482</v>
      </c>
      <c r="P17">
        <f>P8*(1-'Learning Rates'!$Q66)</f>
        <v>65.500102393223656</v>
      </c>
      <c r="Q17">
        <f>Q8*(1-'Learning Rates'!$Q66)</f>
        <v>74.269241784666178</v>
      </c>
      <c r="R17">
        <f>R8*(1-'Learning Rates'!$Q66)</f>
        <v>132.26905871512503</v>
      </c>
      <c r="S17">
        <f>S8*(1-'Learning Rates'!$Q66)</f>
        <v>7.9505991577397572E-2</v>
      </c>
    </row>
    <row r="18" spans="1:19" x14ac:dyDescent="0.25">
      <c r="A18">
        <v>2045</v>
      </c>
      <c r="B18" s="6">
        <v>0.1</v>
      </c>
      <c r="C18" s="6">
        <v>0.1</v>
      </c>
      <c r="D18" s="6">
        <v>0.1</v>
      </c>
      <c r="E18" s="6">
        <v>0.1</v>
      </c>
      <c r="F18" s="6">
        <v>0.1</v>
      </c>
      <c r="G18" s="6">
        <v>0.1</v>
      </c>
      <c r="H18" t="s">
        <v>33</v>
      </c>
    </row>
    <row r="19" spans="1:19" x14ac:dyDescent="0.25">
      <c r="A19">
        <v>2050</v>
      </c>
      <c r="B19" s="6">
        <v>0.1</v>
      </c>
      <c r="C19" s="6">
        <v>0.1</v>
      </c>
      <c r="D19" s="6">
        <v>0.1</v>
      </c>
      <c r="E19" s="6">
        <v>0.1</v>
      </c>
      <c r="F19" s="6">
        <v>0.1</v>
      </c>
      <c r="G19" s="6">
        <v>0.1</v>
      </c>
      <c r="H19" t="s">
        <v>33</v>
      </c>
      <c r="L19" s="20" t="s">
        <v>119</v>
      </c>
      <c r="M19" s="20"/>
      <c r="N19" s="20"/>
      <c r="O19" s="20"/>
      <c r="P19" s="20"/>
      <c r="Q19" s="20"/>
      <c r="R19" s="20"/>
      <c r="S19" s="20"/>
    </row>
    <row r="20" spans="1:19" x14ac:dyDescent="0.25">
      <c r="L20" t="s">
        <v>0</v>
      </c>
      <c r="M20" t="s">
        <v>9</v>
      </c>
      <c r="N20" t="s">
        <v>8</v>
      </c>
      <c r="O20" t="s">
        <v>38</v>
      </c>
      <c r="P20" t="s">
        <v>39</v>
      </c>
      <c r="Q20" t="s">
        <v>3</v>
      </c>
      <c r="R20" t="s">
        <v>28</v>
      </c>
      <c r="S20" t="s">
        <v>118</v>
      </c>
    </row>
    <row r="21" spans="1:19" x14ac:dyDescent="0.25">
      <c r="A21" t="s">
        <v>32</v>
      </c>
      <c r="B21" t="s">
        <v>9</v>
      </c>
      <c r="C21" t="s">
        <v>8</v>
      </c>
      <c r="D21" t="s">
        <v>2</v>
      </c>
      <c r="E21" t="s">
        <v>2</v>
      </c>
      <c r="F21" t="s">
        <v>3</v>
      </c>
      <c r="G21" t="s">
        <v>28</v>
      </c>
      <c r="H21" t="s">
        <v>7</v>
      </c>
      <c r="L21">
        <v>2025</v>
      </c>
      <c r="M21">
        <f>M3*(1-'Learning Rates'!$R61)</f>
        <v>436.36700267271573</v>
      </c>
      <c r="N21">
        <f>N3*(1-'Learning Rates'!$R61)</f>
        <v>204.48588241838024</v>
      </c>
      <c r="O21">
        <f>O3*(1-'Learning Rates'!$R61)</f>
        <v>309.21215843921163</v>
      </c>
      <c r="P21">
        <f>P3*(1-'Learning Rates'!$R61)</f>
        <v>264.14950157400961</v>
      </c>
      <c r="Q21">
        <f>Q3*(1-'Learning Rates'!$R61)</f>
        <v>136.97618917977624</v>
      </c>
      <c r="R21">
        <f>R3*(1-'Learning Rates'!$R61)</f>
        <v>226.9891134979149</v>
      </c>
      <c r="S21">
        <f>S3*(1-'Learning Rates'!$R61)</f>
        <v>0.13644154363262645</v>
      </c>
    </row>
    <row r="22" spans="1:19" x14ac:dyDescent="0.25">
      <c r="A22">
        <v>2025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t="s">
        <v>33</v>
      </c>
      <c r="L22">
        <v>2030</v>
      </c>
      <c r="M22">
        <f>M4*(1-'Learning Rates'!$R62)</f>
        <v>365.74753548766188</v>
      </c>
      <c r="N22">
        <f>N4*(1-'Learning Rates'!$R62)</f>
        <v>171.39290340116887</v>
      </c>
      <c r="O22">
        <f>O4*(1-'Learning Rates'!$R62)</f>
        <v>254.94700877669285</v>
      </c>
      <c r="P22">
        <f>P4*(1-'Learning Rates'!$R62)</f>
        <v>200.06562009491759</v>
      </c>
      <c r="Q22">
        <f>Q4*(1-'Learning Rates'!$R62)</f>
        <v>121.31712058701548</v>
      </c>
      <c r="R22">
        <f>R4*(1-'Learning Rates'!$R62)</f>
        <v>203.95760702135428</v>
      </c>
      <c r="S22">
        <f>S4*(1-'Learning Rates'!$R62)</f>
        <v>0.12259746870136048</v>
      </c>
    </row>
    <row r="23" spans="1:19" x14ac:dyDescent="0.25">
      <c r="A23">
        <v>2030</v>
      </c>
      <c r="B23" s="1">
        <v>0.1</v>
      </c>
      <c r="C23" s="1">
        <v>0.1</v>
      </c>
      <c r="D23" s="1">
        <v>0.1</v>
      </c>
      <c r="E23" s="1">
        <v>0.1</v>
      </c>
      <c r="F23" s="1">
        <v>0.1</v>
      </c>
      <c r="G23" s="1">
        <v>0.1</v>
      </c>
      <c r="H23" t="s">
        <v>33</v>
      </c>
      <c r="L23">
        <v>2035</v>
      </c>
      <c r="M23">
        <f>M5*(1-'Learning Rates'!$R63)</f>
        <v>307.51790502760883</v>
      </c>
      <c r="N23">
        <f>N5*(1-'Learning Rates'!$R63)</f>
        <v>144.10592410486598</v>
      </c>
      <c r="O23">
        <f>O5*(1-'Learning Rates'!$R63)</f>
        <v>210.86416112945298</v>
      </c>
      <c r="P23">
        <f>P5*(1-'Learning Rates'!$R63)</f>
        <v>152.00386349534816</v>
      </c>
      <c r="Q23">
        <f>Q5*(1-'Learning Rates'!$R63)</f>
        <v>107.78506835827478</v>
      </c>
      <c r="R23">
        <f>R5*(1-'Learning Rates'!$R63)</f>
        <v>183.83757393978686</v>
      </c>
      <c r="S23">
        <f>S5*(1-'Learning Rates'!$R63)</f>
        <v>0.11050345974522706</v>
      </c>
    </row>
    <row r="24" spans="1:19" x14ac:dyDescent="0.25">
      <c r="A24">
        <v>2035</v>
      </c>
      <c r="B24" s="1">
        <v>0.2</v>
      </c>
      <c r="C24" s="1">
        <v>0.2</v>
      </c>
      <c r="D24" s="1">
        <v>0.2</v>
      </c>
      <c r="E24" s="1">
        <v>0.2</v>
      </c>
      <c r="F24" s="1">
        <v>0.2</v>
      </c>
      <c r="G24" s="1">
        <v>0.2</v>
      </c>
      <c r="H24" t="s">
        <v>33</v>
      </c>
      <c r="L24">
        <v>2040</v>
      </c>
      <c r="M24">
        <f>M6*(1-'Learning Rates'!$R64)</f>
        <v>259.11455426567335</v>
      </c>
      <c r="N24">
        <f>N6*(1-'Learning Rates'!$R64)</f>
        <v>121.42363641597696</v>
      </c>
      <c r="O24">
        <f>O6*(1-'Learning Rates'!$R64)</f>
        <v>174.77850712005545</v>
      </c>
      <c r="P24">
        <f>P6*(1-'Learning Rates'!$R64)</f>
        <v>115.73619228636066</v>
      </c>
      <c r="Q24">
        <f>Q6*(1-'Learning Rates'!$R64)</f>
        <v>95.968235625137169</v>
      </c>
      <c r="R24">
        <f>R6*(1-'Learning Rates'!$R64)</f>
        <v>166.05847822289761</v>
      </c>
      <c r="S24">
        <f>S6*(1-'Learning Rates'!$R64)</f>
        <v>9.9816571609392016E-2</v>
      </c>
    </row>
    <row r="25" spans="1:19" x14ac:dyDescent="0.25">
      <c r="A25">
        <v>2040</v>
      </c>
      <c r="B25" s="1">
        <v>0.2</v>
      </c>
      <c r="C25" s="1">
        <v>0.2</v>
      </c>
      <c r="D25" s="1">
        <v>0.2</v>
      </c>
      <c r="E25" s="1">
        <v>0.2</v>
      </c>
      <c r="F25" s="1">
        <v>0.2</v>
      </c>
      <c r="G25" s="1">
        <v>0.2</v>
      </c>
      <c r="H25" t="s">
        <v>33</v>
      </c>
      <c r="L25">
        <v>2045</v>
      </c>
      <c r="M25">
        <f>M7*(1-'Learning Rates'!$R65)</f>
        <v>218.67176881874641</v>
      </c>
      <c r="N25">
        <f>N7*(1-'Learning Rates'!$R65)</f>
        <v>102.47174816842599</v>
      </c>
      <c r="O25">
        <f>O7*(1-'Learning Rates'!$R65)</f>
        <v>145.09511412673425</v>
      </c>
      <c r="P25">
        <f>P7*(1-'Learning Rates'!$R65)</f>
        <v>88.259865928074149</v>
      </c>
      <c r="Q25">
        <f>Q7*(1-'Learning Rates'!$R65)</f>
        <v>85.580718681688168</v>
      </c>
      <c r="R25">
        <f>R7*(1-'Learning Rates'!$R65)</f>
        <v>150.23369098390589</v>
      </c>
      <c r="S25">
        <f>S7*(1-'Learning Rates'!$R65)</f>
        <v>9.0304404416555462E-2</v>
      </c>
    </row>
    <row r="26" spans="1:19" x14ac:dyDescent="0.25">
      <c r="A26">
        <v>2045</v>
      </c>
      <c r="B26" s="1">
        <v>0.2</v>
      </c>
      <c r="C26" s="1">
        <v>0.2</v>
      </c>
      <c r="D26" s="1">
        <v>0.2</v>
      </c>
      <c r="E26" s="1">
        <v>0.2</v>
      </c>
      <c r="F26" s="1">
        <v>0.2</v>
      </c>
      <c r="G26" s="1">
        <v>0.2</v>
      </c>
      <c r="H26" t="s">
        <v>33</v>
      </c>
      <c r="L26">
        <v>2050</v>
      </c>
      <c r="M26">
        <f>M8*(1-'Learning Rates'!$R66)</f>
        <v>184.76127591864778</v>
      </c>
      <c r="N26">
        <f>N8*(1-'Learning Rates'!$R66)</f>
        <v>86.580956652460486</v>
      </c>
      <c r="O26">
        <f>O8*(1-'Learning Rates'!$R66)</f>
        <v>120.59654780938145</v>
      </c>
      <c r="P26">
        <f>P8*(1-'Learning Rates'!$R66)</f>
        <v>67.386773279745952</v>
      </c>
      <c r="Q26">
        <f>Q8*(1-'Learning Rates'!$R66)</f>
        <v>76.408499757089004</v>
      </c>
      <c r="R26">
        <f>R8*(1-'Learning Rates'!$R66)</f>
        <v>136.0789486717452</v>
      </c>
      <c r="S26">
        <f>S8*(1-'Learning Rates'!$R66)</f>
        <v>8.17960893655299E-2</v>
      </c>
    </row>
    <row r="27" spans="1:19" x14ac:dyDescent="0.25">
      <c r="A27">
        <v>2050</v>
      </c>
      <c r="B27" s="1">
        <v>0.2</v>
      </c>
      <c r="C27" s="1">
        <v>0.2</v>
      </c>
      <c r="D27" s="1">
        <v>0.2</v>
      </c>
      <c r="E27" s="1">
        <v>0.2</v>
      </c>
      <c r="F27" s="1">
        <v>0.2</v>
      </c>
      <c r="G27" s="1">
        <v>0.2</v>
      </c>
      <c r="H27" t="s">
        <v>33</v>
      </c>
    </row>
    <row r="28" spans="1:19" x14ac:dyDescent="0.25">
      <c r="L28" s="20" t="s">
        <v>120</v>
      </c>
      <c r="M28" s="20"/>
      <c r="N28" s="20"/>
      <c r="O28" s="20"/>
      <c r="P28" s="20"/>
      <c r="Q28" s="20"/>
      <c r="R28" s="20"/>
      <c r="S28" s="20"/>
    </row>
    <row r="29" spans="1:19" x14ac:dyDescent="0.25">
      <c r="A29" t="s">
        <v>34</v>
      </c>
      <c r="B29" t="s">
        <v>9</v>
      </c>
      <c r="C29" t="s">
        <v>8</v>
      </c>
      <c r="D29" t="s">
        <v>2</v>
      </c>
      <c r="E29" t="s">
        <v>2</v>
      </c>
      <c r="F29" t="s">
        <v>3</v>
      </c>
      <c r="G29" t="s">
        <v>28</v>
      </c>
      <c r="H29" t="s">
        <v>7</v>
      </c>
      <c r="L29" t="s">
        <v>0</v>
      </c>
      <c r="M29" t="s">
        <v>9</v>
      </c>
      <c r="N29" t="s">
        <v>8</v>
      </c>
      <c r="O29" t="s">
        <v>38</v>
      </c>
      <c r="P29" t="s">
        <v>39</v>
      </c>
      <c r="Q29" t="s">
        <v>3</v>
      </c>
      <c r="R29" t="s">
        <v>28</v>
      </c>
      <c r="S29" t="s">
        <v>118</v>
      </c>
    </row>
    <row r="30" spans="1:19" x14ac:dyDescent="0.25">
      <c r="A30">
        <v>2025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t="s">
        <v>35</v>
      </c>
      <c r="L30">
        <v>2025</v>
      </c>
      <c r="M30">
        <f>M3*(1-'Learning Rates'!$S61)</f>
        <v>423.23872932310496</v>
      </c>
      <c r="N30">
        <f>N3*(1-'Learning Rates'!$S61)</f>
        <v>198.33384401015459</v>
      </c>
      <c r="O30">
        <f>O3*(1-'Learning Rates'!$S61)</f>
        <v>299.90938871980234</v>
      </c>
      <c r="P30">
        <f>P3*(1-'Learning Rates'!$S61)</f>
        <v>256.20245965611286</v>
      </c>
      <c r="Q30">
        <f>Q3*(1-'Learning Rates'!$S61)</f>
        <v>132.85520651397914</v>
      </c>
      <c r="R30">
        <f>R3*(1-'Learning Rates'!$S61)</f>
        <v>220.16005650887973</v>
      </c>
      <c r="S30">
        <f>S3*(1-'Learning Rates'!$S61)</f>
        <v>0.1323366459889441</v>
      </c>
    </row>
    <row r="31" spans="1:19" x14ac:dyDescent="0.25">
      <c r="A31">
        <v>2030</v>
      </c>
      <c r="B31" s="5">
        <v>0.66</v>
      </c>
      <c r="C31" s="5">
        <v>0.66</v>
      </c>
      <c r="D31" s="5">
        <v>0</v>
      </c>
      <c r="E31" s="5">
        <v>0</v>
      </c>
      <c r="F31" s="5">
        <v>0</v>
      </c>
      <c r="G31" s="5">
        <v>0</v>
      </c>
      <c r="H31" t="s">
        <v>35</v>
      </c>
      <c r="L31">
        <v>2030</v>
      </c>
      <c r="M31">
        <f>M4*(1-'Learning Rates'!$S62)</f>
        <v>349.97815852754781</v>
      </c>
      <c r="N31">
        <f>N4*(1-'Learning Rates'!$S62)</f>
        <v>164.00321778533063</v>
      </c>
      <c r="O31">
        <f>O4*(1-'Learning Rates'!$S62)</f>
        <v>243.95484862203116</v>
      </c>
      <c r="P31">
        <f>P4*(1-'Learning Rates'!$S62)</f>
        <v>191.43969681746009</v>
      </c>
      <c r="Q31">
        <f>Q4*(1-'Learning Rates'!$S62)</f>
        <v>116.08647589189408</v>
      </c>
      <c r="R31">
        <f>R4*(1-'Learning Rates'!$S62)</f>
        <v>195.16387889762493</v>
      </c>
      <c r="S31">
        <f>S4*(1-'Learning Rates'!$S62)</f>
        <v>0.11731162119529367</v>
      </c>
    </row>
    <row r="32" spans="1:19" x14ac:dyDescent="0.25">
      <c r="A32">
        <v>2035</v>
      </c>
      <c r="B32" s="5">
        <v>1.33</v>
      </c>
      <c r="C32" s="5">
        <v>1.33</v>
      </c>
      <c r="D32" s="5">
        <v>0</v>
      </c>
      <c r="E32" s="5">
        <v>0</v>
      </c>
      <c r="F32" s="5">
        <v>0</v>
      </c>
      <c r="G32" s="5">
        <v>0</v>
      </c>
      <c r="H32" t="s">
        <v>35</v>
      </c>
      <c r="L32">
        <v>2035</v>
      </c>
      <c r="M32">
        <f>M5*(1-'Learning Rates'!$S63)</f>
        <v>291.98474160345643</v>
      </c>
      <c r="N32">
        <f>N5*(1-'Learning Rates'!$S63)</f>
        <v>136.82693048233716</v>
      </c>
      <c r="O32">
        <f>O5*(1-'Learning Rates'!$S63)</f>
        <v>200.21311472997087</v>
      </c>
      <c r="P32">
        <f>P5*(1-'Learning Rates'!$S63)</f>
        <v>144.3259338067864</v>
      </c>
      <c r="Q32">
        <f>Q5*(1-'Learning Rates'!$S63)</f>
        <v>102.34069242399477</v>
      </c>
      <c r="R32">
        <f>R5*(1-'Learning Rates'!$S63)</f>
        <v>174.55167860549719</v>
      </c>
      <c r="S32">
        <f>S5*(1-'Learning Rates'!$S63)</f>
        <v>0.10492177402516223</v>
      </c>
    </row>
    <row r="33" spans="1:19" x14ac:dyDescent="0.25">
      <c r="A33">
        <v>2040</v>
      </c>
      <c r="B33" s="5">
        <v>2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t="s">
        <v>35</v>
      </c>
      <c r="L33">
        <v>2040</v>
      </c>
      <c r="M33">
        <f>M6*(1-'Learning Rates'!$S64)</f>
        <v>244.78495201503446</v>
      </c>
      <c r="N33">
        <f>N6*(1-'Learning Rates'!$S64)</f>
        <v>114.70864343305425</v>
      </c>
      <c r="O33">
        <f>O6*(1-'Learning Rates'!$S64)</f>
        <v>165.1128729526171</v>
      </c>
      <c r="P33">
        <f>P6*(1-'Learning Rates'!$S64)</f>
        <v>109.33572741796668</v>
      </c>
      <c r="Q33">
        <f>Q6*(1-'Learning Rates'!$S64)</f>
        <v>90.660982047270551</v>
      </c>
      <c r="R33">
        <f>R6*(1-'Learning Rates'!$S64)</f>
        <v>156.87508074827826</v>
      </c>
      <c r="S33">
        <f>S6*(1-'Learning Rates'!$S64)</f>
        <v>9.4296496624648146E-2</v>
      </c>
    </row>
    <row r="34" spans="1:19" x14ac:dyDescent="0.25">
      <c r="A34">
        <v>2045</v>
      </c>
      <c r="B34" s="5">
        <v>2</v>
      </c>
      <c r="C34" s="5">
        <v>2</v>
      </c>
      <c r="D34" s="5">
        <v>0</v>
      </c>
      <c r="E34" s="5">
        <v>0</v>
      </c>
      <c r="F34" s="5">
        <v>0</v>
      </c>
      <c r="G34" s="5">
        <v>0</v>
      </c>
      <c r="H34" t="s">
        <v>35</v>
      </c>
      <c r="L34">
        <v>2045</v>
      </c>
      <c r="M34">
        <f>M7*(1-'Learning Rates'!$S65)</f>
        <v>205.84331917864625</v>
      </c>
      <c r="N34">
        <f>N7*(1-'Learning Rates'!$S65)</f>
        <v>96.460210108379059</v>
      </c>
      <c r="O34">
        <f>O7*(1-'Learning Rates'!$S65)</f>
        <v>136.58306259555448</v>
      </c>
      <c r="P34">
        <f>P7*(1-'Learning Rates'!$S65)</f>
        <v>83.082072510036795</v>
      </c>
      <c r="Q34">
        <f>Q7*(1-'Learning Rates'!$S65)</f>
        <v>80.560098298443279</v>
      </c>
      <c r="R34">
        <f>R7*(1-'Learning Rates'!$S65)</f>
        <v>141.42018318889242</v>
      </c>
      <c r="S34">
        <f>S7*(1-'Learning Rates'!$S65)</f>
        <v>8.5006667490591076E-2</v>
      </c>
    </row>
    <row r="35" spans="1:19" x14ac:dyDescent="0.25">
      <c r="A35">
        <v>2050</v>
      </c>
      <c r="B35" s="5">
        <v>2</v>
      </c>
      <c r="C35" s="5">
        <v>2</v>
      </c>
      <c r="D35" s="5">
        <v>0</v>
      </c>
      <c r="E35" s="5">
        <v>0</v>
      </c>
      <c r="F35" s="5">
        <v>0</v>
      </c>
      <c r="G35" s="5">
        <v>0</v>
      </c>
      <c r="H35" t="s">
        <v>35</v>
      </c>
      <c r="L35">
        <v>2050</v>
      </c>
      <c r="M35">
        <f>M8*(1-'Learning Rates'!$S66)</f>
        <v>173.46148897555145</v>
      </c>
      <c r="N35">
        <f>N8*(1-'Learning Rates'!$S66)</f>
        <v>81.285765013206841</v>
      </c>
      <c r="O35">
        <f>O8*(1-'Learning Rates'!$S66)</f>
        <v>113.22100177278146</v>
      </c>
      <c r="P35">
        <f>P8*(1-'Learning Rates'!$S66)</f>
        <v>63.265475799752686</v>
      </c>
      <c r="Q35">
        <f>Q8*(1-'Learning Rates'!$S66)</f>
        <v>71.735443871304284</v>
      </c>
      <c r="R35">
        <f>R8*(1-'Learning Rates'!$S66)</f>
        <v>127.75651682131617</v>
      </c>
      <c r="S35">
        <f>S8*(1-'Learning Rates'!$S66)</f>
        <v>7.6793534701337596E-2</v>
      </c>
    </row>
    <row r="37" spans="1:19" x14ac:dyDescent="0.25">
      <c r="L37" s="20" t="s">
        <v>121</v>
      </c>
      <c r="M37" s="20"/>
      <c r="N37" s="20"/>
      <c r="O37" s="20"/>
      <c r="P37" s="20"/>
      <c r="Q37" s="20"/>
      <c r="R37" s="20"/>
      <c r="S37" s="20"/>
    </row>
    <row r="38" spans="1:19" x14ac:dyDescent="0.25">
      <c r="L38" t="s">
        <v>0</v>
      </c>
      <c r="M38" t="s">
        <v>9</v>
      </c>
      <c r="N38" t="s">
        <v>8</v>
      </c>
      <c r="O38" t="s">
        <v>38</v>
      </c>
      <c r="P38" t="s">
        <v>39</v>
      </c>
      <c r="Q38" t="s">
        <v>3</v>
      </c>
      <c r="R38" t="s">
        <v>28</v>
      </c>
      <c r="S38" t="s">
        <v>118</v>
      </c>
    </row>
    <row r="39" spans="1:19" x14ac:dyDescent="0.25">
      <c r="L39">
        <v>2025</v>
      </c>
      <c r="M39">
        <f>M12*(1-'Learning Rates'!T61)</f>
        <v>410.81265512816464</v>
      </c>
      <c r="N39">
        <f>N12*(1-'Learning Rates'!U61)</f>
        <v>192.51086305333277</v>
      </c>
      <c r="O39">
        <f>O12</f>
        <v>316.03815554156989</v>
      </c>
      <c r="P39">
        <f t="shared" ref="P39:S39" si="3">P12</f>
        <v>269.98072031209182</v>
      </c>
      <c r="Q39">
        <f t="shared" si="3"/>
        <v>140</v>
      </c>
      <c r="R39">
        <f t="shared" si="3"/>
        <v>232</v>
      </c>
      <c r="S39">
        <f t="shared" si="3"/>
        <v>0.13945355191256831</v>
      </c>
    </row>
    <row r="40" spans="1:19" x14ac:dyDescent="0.25">
      <c r="L40">
        <v>2030</v>
      </c>
      <c r="M40">
        <f>M13*(1-'Learning Rates'!T62)</f>
        <v>324.96144177654054</v>
      </c>
      <c r="N40">
        <f>N13*(1-'Learning Rates'!U62)</f>
        <v>152.28013751411871</v>
      </c>
      <c r="O40">
        <f t="shared" ref="O40:S44" si="4">O13</f>
        <v>245.91860721303428</v>
      </c>
      <c r="P40">
        <f t="shared" si="4"/>
        <v>192.98072521434506</v>
      </c>
      <c r="Q40">
        <f t="shared" si="4"/>
        <v>117.02093493470319</v>
      </c>
      <c r="R40">
        <f t="shared" si="4"/>
        <v>196.73488577042744</v>
      </c>
      <c r="S40">
        <f t="shared" si="4"/>
        <v>0.11825594226637715</v>
      </c>
    </row>
    <row r="41" spans="1:19" x14ac:dyDescent="0.25">
      <c r="L41">
        <v>2035</v>
      </c>
      <c r="M41">
        <f>M14*(1-'Learning Rates'!T63)</f>
        <v>267.09128465898857</v>
      </c>
      <c r="N41">
        <f>N14*(1-'Learning Rates'!U63)</f>
        <v>125.16161097248563</v>
      </c>
      <c r="O41">
        <f t="shared" si="4"/>
        <v>198.83055611794975</v>
      </c>
      <c r="P41">
        <f t="shared" si="4"/>
        <v>143.32930047938584</v>
      </c>
      <c r="Q41">
        <f t="shared" si="4"/>
        <v>101.63398544397586</v>
      </c>
      <c r="R41">
        <f t="shared" si="4"/>
        <v>173.34632336778333</v>
      </c>
      <c r="S41">
        <f t="shared" si="4"/>
        <v>0.10419724355440528</v>
      </c>
    </row>
    <row r="42" spans="1:19" x14ac:dyDescent="0.25">
      <c r="L42">
        <v>2040</v>
      </c>
      <c r="M42">
        <f>M15*(1-'Learning Rates'!T64)</f>
        <v>227.66811916903396</v>
      </c>
      <c r="N42">
        <f>N15*(1-'Learning Rates'!U64)</f>
        <v>106.68752669580289</v>
      </c>
      <c r="O42">
        <f t="shared" si="4"/>
        <v>166.72068371290732</v>
      </c>
      <c r="P42">
        <f t="shared" si="4"/>
        <v>110.40040006209912</v>
      </c>
      <c r="Q42">
        <f t="shared" si="4"/>
        <v>91.543806625799391</v>
      </c>
      <c r="R42">
        <f t="shared" si="4"/>
        <v>158.40267480159514</v>
      </c>
      <c r="S42">
        <f t="shared" si="4"/>
        <v>9.5214722558335865E-2</v>
      </c>
    </row>
    <row r="43" spans="1:19" x14ac:dyDescent="0.25">
      <c r="L43">
        <v>2045</v>
      </c>
      <c r="M43">
        <f>M16*(1-'Learning Rates'!T65)</f>
        <v>194.06388550694726</v>
      </c>
      <c r="N43">
        <f>N16*(1-'Learning Rates'!U65)</f>
        <v>90.940251280161377</v>
      </c>
      <c r="O43">
        <f t="shared" si="4"/>
        <v>139.79635183040142</v>
      </c>
      <c r="P43">
        <f t="shared" si="4"/>
        <v>85.036683309736077</v>
      </c>
      <c r="Q43">
        <f t="shared" si="4"/>
        <v>82.455376466184575</v>
      </c>
      <c r="R43">
        <f t="shared" si="4"/>
        <v>144.7472718014576</v>
      </c>
      <c r="S43">
        <f t="shared" si="4"/>
        <v>8.7006556820548295E-2</v>
      </c>
    </row>
    <row r="44" spans="1:19" x14ac:dyDescent="0.25">
      <c r="L44">
        <v>2050</v>
      </c>
      <c r="M44">
        <f>M17*(1-'Learning Rates'!T66)</f>
        <v>165.41969861881273</v>
      </c>
      <c r="N44">
        <f>N17*(1-'Learning Rates'!U66)</f>
        <v>77.517302715990709</v>
      </c>
      <c r="O44">
        <f t="shared" si="4"/>
        <v>117.22012859989482</v>
      </c>
      <c r="P44">
        <f t="shared" si="4"/>
        <v>65.500102393223656</v>
      </c>
      <c r="Q44">
        <f t="shared" si="4"/>
        <v>74.269241784666178</v>
      </c>
      <c r="R44">
        <f t="shared" si="4"/>
        <v>132.26905871512503</v>
      </c>
      <c r="S44">
        <f t="shared" si="4"/>
        <v>7.9505991577397572E-2</v>
      </c>
    </row>
    <row r="46" spans="1:19" x14ac:dyDescent="0.25">
      <c r="L46" s="20" t="s">
        <v>115</v>
      </c>
      <c r="M46" s="20"/>
      <c r="N46" s="20"/>
      <c r="O46" s="20"/>
      <c r="P46" s="20"/>
      <c r="Q46" s="20"/>
      <c r="R46" s="20"/>
      <c r="S46" s="20"/>
    </row>
    <row r="47" spans="1:19" x14ac:dyDescent="0.25">
      <c r="L47" t="s">
        <v>0</v>
      </c>
      <c r="M47" t="s">
        <v>9</v>
      </c>
      <c r="N47" t="s">
        <v>8</v>
      </c>
      <c r="O47" t="s">
        <v>38</v>
      </c>
      <c r="P47" t="s">
        <v>39</v>
      </c>
      <c r="Q47" t="s">
        <v>3</v>
      </c>
      <c r="R47" t="s">
        <v>28</v>
      </c>
      <c r="S47" t="s">
        <v>118</v>
      </c>
    </row>
    <row r="48" spans="1:19" x14ac:dyDescent="0.25">
      <c r="L48">
        <v>2025</v>
      </c>
      <c r="M48">
        <f>M12*(1-'Learning Rates'!$V61)</f>
        <v>446</v>
      </c>
      <c r="N48">
        <f>N12*(1-'Learning Rates'!$V61)</f>
        <v>209</v>
      </c>
      <c r="O48">
        <f>O12*(1-'Learning Rates'!$V61)</f>
        <v>316.03815554156989</v>
      </c>
      <c r="P48">
        <f>P12*(1-'Learning Rates'!$V61)</f>
        <v>269.98072031209182</v>
      </c>
      <c r="Q48">
        <f>Q12*(1-'Learning Rates'!$V61)</f>
        <v>140</v>
      </c>
      <c r="R48">
        <f>R12*(1-'Learning Rates'!$V61)</f>
        <v>232</v>
      </c>
      <c r="S48">
        <f>S12*(1-'Learning Rates'!$V61)</f>
        <v>0.13945355191256831</v>
      </c>
    </row>
    <row r="49" spans="12:19" x14ac:dyDescent="0.25">
      <c r="L49">
        <v>2030</v>
      </c>
      <c r="M49">
        <f>M13*(1-'Learning Rates'!$V62)</f>
        <v>308.10722100201991</v>
      </c>
      <c r="N49">
        <f>N13*(1-'Learning Rates'!$V62)</f>
        <v>144.38208338435459</v>
      </c>
      <c r="O49">
        <f>O13*(1-'Learning Rates'!$V62)</f>
        <v>214.76840376307675</v>
      </c>
      <c r="P49">
        <f>P13*(1-'Learning Rates'!$V62)</f>
        <v>168.53609729263738</v>
      </c>
      <c r="Q49">
        <f>Q13*(1-'Learning Rates'!$V62)</f>
        <v>102.19803896749212</v>
      </c>
      <c r="R49">
        <f>R13*(1-'Learning Rates'!$V62)</f>
        <v>171.81472301046142</v>
      </c>
      <c r="S49">
        <f>S13*(1-'Learning Rates'!$V62)</f>
        <v>0.10327660945984019</v>
      </c>
    </row>
    <row r="50" spans="12:19" x14ac:dyDescent="0.25">
      <c r="L50">
        <v>2035</v>
      </c>
      <c r="M50">
        <f>M14*(1-'Learning Rates'!$V63)</f>
        <v>242.0692893991982</v>
      </c>
      <c r="N50">
        <f>N14*(1-'Learning Rates'!$V63)</f>
        <v>113.43605713998298</v>
      </c>
      <c r="O50">
        <f>O14*(1-'Learning Rates'!$V63)</f>
        <v>165.98622977670854</v>
      </c>
      <c r="P50">
        <f>P14*(1-'Learning Rates'!$V63)</f>
        <v>119.65308887932289</v>
      </c>
      <c r="Q50">
        <f>Q14*(1-'Learning Rates'!$V63)</f>
        <v>84.845319504206103</v>
      </c>
      <c r="R50">
        <f>R14*(1-'Learning Rates'!$V63)</f>
        <v>144.71167421773845</v>
      </c>
      <c r="S50">
        <f>S14*(1-'Learning Rates'!$V63)</f>
        <v>8.6985159365853715E-2</v>
      </c>
    </row>
    <row r="51" spans="12:19" x14ac:dyDescent="0.25">
      <c r="L51">
        <v>2040</v>
      </c>
      <c r="M51">
        <f>M15*(1-'Learning Rates'!$V64)</f>
        <v>206.33941648999937</v>
      </c>
      <c r="N51">
        <f>N15*(1-'Learning Rates'!$V64)</f>
        <v>96.692686202712679</v>
      </c>
      <c r="O51">
        <f>O15*(1-'Learning Rates'!$V64)</f>
        <v>139.18050754172953</v>
      </c>
      <c r="P51">
        <f>P15*(1-'Learning Rates'!$V64)</f>
        <v>92.163631837741562</v>
      </c>
      <c r="Q51">
        <f>Q15*(1-'Learning Rates'!$V64)</f>
        <v>76.421912295062768</v>
      </c>
      <c r="R51">
        <f>R15*(1-'Learning Rates'!$V64)</f>
        <v>132.2365298886231</v>
      </c>
      <c r="S51">
        <f>S15*(1-'Learning Rates'!$V64)</f>
        <v>7.9486438730866318E-2</v>
      </c>
    </row>
    <row r="52" spans="12:19" x14ac:dyDescent="0.25">
      <c r="L52">
        <v>2045</v>
      </c>
      <c r="M52">
        <f>M16*(1-'Learning Rates'!$V65)</f>
        <v>175.88333862219545</v>
      </c>
      <c r="N52">
        <f>N16*(1-'Learning Rates'!$V65)</f>
        <v>82.420667650311316</v>
      </c>
      <c r="O52">
        <f>O16*(1-'Learning Rates'!$V65)</f>
        <v>116.70373925374641</v>
      </c>
      <c r="P52">
        <f>P16*(1-'Learning Rates'!$V65)</f>
        <v>70.989684537852582</v>
      </c>
      <c r="Q52">
        <f>Q16*(1-'Learning Rates'!$V65)</f>
        <v>68.834777368535214</v>
      </c>
      <c r="R52">
        <f>R16*(1-'Learning Rates'!$V65)</f>
        <v>120.83682903615555</v>
      </c>
      <c r="S52">
        <f>S16*(1-'Learning Rates'!$V65)</f>
        <v>7.2634159529929576E-2</v>
      </c>
    </row>
    <row r="53" spans="12:19" x14ac:dyDescent="0.25">
      <c r="L53">
        <v>2050</v>
      </c>
      <c r="M53">
        <f>M17*(1-'Learning Rates'!$V66)</f>
        <v>149.92263393547586</v>
      </c>
      <c r="N53">
        <f>N17*(1-'Learning Rates'!$V66)</f>
        <v>70.255225319539136</v>
      </c>
      <c r="O53">
        <f>O17*(1-'Learning Rates'!$V66)</f>
        <v>97.856826335562218</v>
      </c>
      <c r="P53">
        <f>P17*(1-'Learning Rates'!$V66)</f>
        <v>54.680302960024065</v>
      </c>
      <c r="Q53">
        <f>Q17*(1-'Learning Rates'!$V66)</f>
        <v>62.000889968333311</v>
      </c>
      <c r="R53">
        <f>R17*(1-'Learning Rates'!$V66)</f>
        <v>110.4198610157973</v>
      </c>
      <c r="S53">
        <f>S17*(1-'Learning Rates'!$V66)</f>
        <v>6.6372594053211498E-2</v>
      </c>
    </row>
  </sheetData>
  <mergeCells count="6">
    <mergeCell ref="L1:S1"/>
    <mergeCell ref="L10:S10"/>
    <mergeCell ref="L19:S19"/>
    <mergeCell ref="L28:S28"/>
    <mergeCell ref="L37:S37"/>
    <mergeCell ref="L46:S4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7DDB-ECAA-4988-BB02-23E7116C40BF}">
  <dimension ref="A1:L20"/>
  <sheetViews>
    <sheetView workbookViewId="0">
      <selection activeCell="H15" sqref="H15"/>
    </sheetView>
  </sheetViews>
  <sheetFormatPr defaultRowHeight="15" x14ac:dyDescent="0.25"/>
  <sheetData>
    <row r="1" spans="1:12" x14ac:dyDescent="0.25">
      <c r="A1" t="s">
        <v>0</v>
      </c>
      <c r="B1" t="s">
        <v>9</v>
      </c>
      <c r="C1" t="s">
        <v>8</v>
      </c>
      <c r="D1" t="s">
        <v>2</v>
      </c>
      <c r="E1" t="s">
        <v>3</v>
      </c>
      <c r="F1" t="s">
        <v>28</v>
      </c>
      <c r="G1" t="s">
        <v>28</v>
      </c>
      <c r="I1" t="s">
        <v>22</v>
      </c>
      <c r="J1" t="s">
        <v>23</v>
      </c>
      <c r="K1" t="s">
        <v>24</v>
      </c>
      <c r="L1" t="s">
        <v>36</v>
      </c>
    </row>
    <row r="2" spans="1:12" x14ac:dyDescent="0.25">
      <c r="A2">
        <v>2025</v>
      </c>
      <c r="B2">
        <v>446</v>
      </c>
      <c r="C2">
        <v>209</v>
      </c>
      <c r="D2">
        <f>D$13*EXP(D$14*($A2-$A$3))</f>
        <v>316.03815554156989</v>
      </c>
      <c r="E2">
        <v>140</v>
      </c>
      <c r="F2">
        <v>301</v>
      </c>
      <c r="G2">
        <f>F2/6.1/1000*44/12</f>
        <v>0.18092896174863385</v>
      </c>
      <c r="I2">
        <v>13.5</v>
      </c>
      <c r="J2">
        <v>13.5</v>
      </c>
      <c r="K2">
        <v>13.5</v>
      </c>
      <c r="L2">
        <v>13.5</v>
      </c>
    </row>
    <row r="3" spans="1:12" x14ac:dyDescent="0.25">
      <c r="A3">
        <v>2030</v>
      </c>
      <c r="B3">
        <f t="shared" ref="B3:C6" si="0">B$13*EXP(B$14*($A3-$A$2))</f>
        <v>380.16957864810638</v>
      </c>
      <c r="C3">
        <f t="shared" si="0"/>
        <v>178.15121510639958</v>
      </c>
      <c r="D3">
        <v>265</v>
      </c>
      <c r="E3">
        <f>E$13*EXP(E$14*($A3-$A$2))</f>
        <v>126.10085958575935</v>
      </c>
      <c r="F3">
        <v>265</v>
      </c>
      <c r="G3">
        <f t="shared" ref="G3:G7" si="1">F3/6.1/1000*44/12</f>
        <v>0.1592896174863388</v>
      </c>
      <c r="I3">
        <f t="shared" ref="I3:L6" si="2">I$13*EXP(I$14*($A3-$A$2))</f>
        <v>20.149627171231938</v>
      </c>
      <c r="J3">
        <f t="shared" si="2"/>
        <v>27.801038275533536</v>
      </c>
      <c r="K3">
        <f t="shared" si="2"/>
        <v>34.63261353326736</v>
      </c>
      <c r="L3">
        <f t="shared" si="2"/>
        <v>38.046022739216987</v>
      </c>
    </row>
    <row r="4" spans="1:12" x14ac:dyDescent="0.25">
      <c r="A4">
        <v>2035</v>
      </c>
      <c r="B4">
        <f t="shared" si="0"/>
        <v>324.05584872080431</v>
      </c>
      <c r="C4">
        <f t="shared" si="0"/>
        <v>151.85576767409884</v>
      </c>
      <c r="D4">
        <f>D$13*EXP(D$14*($A4-$A$3))</f>
        <v>222.20418252872307</v>
      </c>
      <c r="E4">
        <f>E$13*EXP(E$14*($A4-$A$2))</f>
        <v>113.58161991619573</v>
      </c>
      <c r="F4">
        <f>F$13*EXP(F$14*($A4-$A$2))</f>
        <v>233.30564784053155</v>
      </c>
      <c r="G4">
        <f t="shared" si="1"/>
        <v>0.1402383675544179</v>
      </c>
      <c r="I4">
        <f t="shared" si="2"/>
        <v>30.074627788122108</v>
      </c>
      <c r="J4">
        <f t="shared" si="2"/>
        <v>57.251683644272632</v>
      </c>
      <c r="K4">
        <f t="shared" si="2"/>
        <v>88.845771862566906</v>
      </c>
      <c r="L4">
        <f t="shared" si="2"/>
        <v>107.22221083503824</v>
      </c>
    </row>
    <row r="5" spans="1:12" x14ac:dyDescent="0.25">
      <c r="A5">
        <v>2040</v>
      </c>
      <c r="B5">
        <f t="shared" si="0"/>
        <v>276.22460866960239</v>
      </c>
      <c r="C5">
        <f t="shared" si="0"/>
        <v>129.4415767084011</v>
      </c>
      <c r="D5">
        <f>D$13*EXP(D$14*($A5-$A$3))</f>
        <v>186.3196178613513</v>
      </c>
      <c r="E5">
        <f>E$13*EXP(E$14*($A5-$A$2))</f>
        <v>102.30528503268064</v>
      </c>
      <c r="F5">
        <f>F$13*EXP(F$14*($A5-$A$2))</f>
        <v>205.40198231807599</v>
      </c>
      <c r="G5">
        <f t="shared" si="1"/>
        <v>0.12346567243163038</v>
      </c>
      <c r="I5">
        <f t="shared" si="2"/>
        <v>44.888336092165353</v>
      </c>
      <c r="J5">
        <f t="shared" si="2"/>
        <v>117.90046283949337</v>
      </c>
      <c r="K5">
        <f t="shared" si="2"/>
        <v>227.9230578504532</v>
      </c>
      <c r="L5">
        <f t="shared" si="2"/>
        <v>302.17619789473957</v>
      </c>
    </row>
    <row r="6" spans="1:12" x14ac:dyDescent="0.25">
      <c r="A6">
        <v>2045</v>
      </c>
      <c r="B6">
        <f t="shared" si="0"/>
        <v>235.45334773578654</v>
      </c>
      <c r="C6">
        <f t="shared" si="0"/>
        <v>110.33576160712865</v>
      </c>
      <c r="D6">
        <f>D$13*EXP(D$14*($A6-$A$3))</f>
        <v>156.23018255073828</v>
      </c>
      <c r="E6">
        <f>E$13*EXP(E$14*($A6-$A$2))</f>
        <v>92.14845987705111</v>
      </c>
      <c r="F6">
        <f>F$13*EXP(F$14*($A6-$A$2))</f>
        <v>180.83563227338919</v>
      </c>
      <c r="G6">
        <f t="shared" si="1"/>
        <v>0.1086990139348241</v>
      </c>
      <c r="I6">
        <f t="shared" si="2"/>
        <v>66.998758266228606</v>
      </c>
      <c r="J6">
        <f t="shared" si="2"/>
        <v>242.79668741510181</v>
      </c>
      <c r="K6">
        <f t="shared" si="2"/>
        <v>584.70897613742852</v>
      </c>
      <c r="L6">
        <f t="shared" si="2"/>
        <v>851.60018491506594</v>
      </c>
    </row>
    <row r="7" spans="1:12" x14ac:dyDescent="0.25">
      <c r="A7">
        <v>2050</v>
      </c>
      <c r="B7">
        <f>B2*B17</f>
        <v>200.70000000000002</v>
      </c>
      <c r="C7">
        <f>C2*C17</f>
        <v>94.05</v>
      </c>
      <c r="D7">
        <v>131</v>
      </c>
      <c r="E7">
        <v>83</v>
      </c>
      <c r="F7">
        <f>F$13*EXP(F$14*($A7-$A$2))</f>
        <v>159.20745034035926</v>
      </c>
      <c r="G7">
        <f t="shared" si="1"/>
        <v>9.5698467417702285E-2</v>
      </c>
      <c r="I7">
        <v>100</v>
      </c>
      <c r="J7">
        <v>500</v>
      </c>
      <c r="K7">
        <v>1500</v>
      </c>
      <c r="L7">
        <v>2400</v>
      </c>
    </row>
    <row r="8" spans="1:12" x14ac:dyDescent="0.25">
      <c r="A8" t="s">
        <v>5</v>
      </c>
      <c r="B8" t="s">
        <v>6</v>
      </c>
      <c r="C8" t="s">
        <v>6</v>
      </c>
      <c r="D8" t="s">
        <v>18</v>
      </c>
      <c r="E8" t="s">
        <v>20</v>
      </c>
      <c r="F8" s="3" t="s">
        <v>17</v>
      </c>
      <c r="I8" s="4" t="s">
        <v>25</v>
      </c>
      <c r="J8" s="4" t="s">
        <v>25</v>
      </c>
      <c r="K8" s="4" t="s">
        <v>25</v>
      </c>
      <c r="L8" s="4" t="s">
        <v>25</v>
      </c>
    </row>
    <row r="9" spans="1:12" x14ac:dyDescent="0.25">
      <c r="A9" t="s">
        <v>1</v>
      </c>
      <c r="B9" s="2" t="s">
        <v>12</v>
      </c>
      <c r="C9" s="2" t="s">
        <v>12</v>
      </c>
      <c r="D9">
        <v>432</v>
      </c>
      <c r="E9">
        <v>8</v>
      </c>
      <c r="F9">
        <v>4</v>
      </c>
    </row>
    <row r="10" spans="1:12" x14ac:dyDescent="0.25">
      <c r="A10" t="s">
        <v>15</v>
      </c>
      <c r="B10" t="s">
        <v>16</v>
      </c>
      <c r="C10" t="s">
        <v>16</v>
      </c>
      <c r="D10" t="s">
        <v>19</v>
      </c>
      <c r="E10" t="s">
        <v>21</v>
      </c>
    </row>
    <row r="11" spans="1:12" x14ac:dyDescent="0.25">
      <c r="A11" t="s">
        <v>7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27</v>
      </c>
      <c r="I11" t="s">
        <v>29</v>
      </c>
      <c r="J11" t="s">
        <v>29</v>
      </c>
      <c r="K11" t="s">
        <v>29</v>
      </c>
    </row>
    <row r="13" spans="1:12" x14ac:dyDescent="0.25">
      <c r="A13" t="s">
        <v>13</v>
      </c>
      <c r="B13">
        <f>EXP(LN(B2)-B14*0)</f>
        <v>446.00000000000006</v>
      </c>
      <c r="C13">
        <f>EXP(LN(C2)-C14*0)</f>
        <v>208.99999999999997</v>
      </c>
      <c r="D13">
        <f>EXP(LN(D3)-D14*0)</f>
        <v>264.99999999999994</v>
      </c>
      <c r="E13">
        <f t="shared" ref="E13:F13" si="3">EXP(LN(E2)-E14*0)</f>
        <v>139.99999999999994</v>
      </c>
      <c r="F13">
        <f t="shared" si="3"/>
        <v>300.99999999999989</v>
      </c>
      <c r="I13">
        <f t="shared" ref="I13:L13" si="4">EXP(LN(I2)-I14*0)</f>
        <v>13.5</v>
      </c>
      <c r="J13">
        <f t="shared" si="4"/>
        <v>13.5</v>
      </c>
      <c r="K13">
        <f t="shared" si="4"/>
        <v>13.5</v>
      </c>
      <c r="L13">
        <f t="shared" si="4"/>
        <v>13.5</v>
      </c>
    </row>
    <row r="14" spans="1:12" x14ac:dyDescent="0.25">
      <c r="A14" t="s">
        <v>14</v>
      </c>
      <c r="B14">
        <f>(LN(B2)-LN(B7))/($A2-$A7)</f>
        <v>-3.1940307848710853E-2</v>
      </c>
      <c r="C14">
        <f>(LN(C2)-LN(C7))/($A2-$A7)</f>
        <v>-3.1940307848710853E-2</v>
      </c>
      <c r="D14">
        <f>(LN(D3)-LN(D7))/($A3-$A7)</f>
        <v>-3.5226625139253544E-2</v>
      </c>
      <c r="E14">
        <f>(LN(E2)-LN(E7))/($A2-$A7)</f>
        <v>-2.0912072592508223E-2</v>
      </c>
      <c r="F14">
        <f>(LN(F2)-LN(F3))/($A2-$A3)</f>
        <v>-2.5476087752530675E-2</v>
      </c>
      <c r="I14">
        <f>(LN(I2)-LN(I7))/($A2-$A7)</f>
        <v>8.0099220021748324E-2</v>
      </c>
      <c r="J14">
        <f t="shared" ref="J14:L14" si="5">(LN(J2)-LN(J7))/($A2-$A7)</f>
        <v>0.1444767365191123</v>
      </c>
      <c r="K14">
        <f t="shared" si="5"/>
        <v>0.18842122806583672</v>
      </c>
      <c r="L14">
        <f t="shared" si="5"/>
        <v>0.20722137323566614</v>
      </c>
    </row>
    <row r="17" spans="1:11" x14ac:dyDescent="0.25">
      <c r="A17" t="s">
        <v>10</v>
      </c>
      <c r="B17" s="1">
        <v>0.45</v>
      </c>
      <c r="C17" s="1">
        <v>0.45</v>
      </c>
      <c r="H17" t="s">
        <v>30</v>
      </c>
      <c r="I17" t="s">
        <v>4</v>
      </c>
      <c r="J17" t="s">
        <v>4</v>
      </c>
      <c r="K17" t="s">
        <v>4</v>
      </c>
    </row>
    <row r="18" spans="1:11" x14ac:dyDescent="0.25">
      <c r="A18" t="s">
        <v>11</v>
      </c>
      <c r="B18">
        <v>25</v>
      </c>
      <c r="C18">
        <v>25</v>
      </c>
      <c r="H18" t="s">
        <v>1</v>
      </c>
      <c r="I18">
        <v>42</v>
      </c>
      <c r="J18">
        <v>42</v>
      </c>
      <c r="K18">
        <v>42</v>
      </c>
    </row>
    <row r="19" spans="1:11" x14ac:dyDescent="0.25">
      <c r="A19" t="s">
        <v>5</v>
      </c>
      <c r="B19" t="s">
        <v>4</v>
      </c>
      <c r="C19" t="s">
        <v>4</v>
      </c>
    </row>
    <row r="20" spans="1:11" x14ac:dyDescent="0.25">
      <c r="A20" t="s">
        <v>1</v>
      </c>
      <c r="B20">
        <v>44</v>
      </c>
      <c r="C20">
        <v>44</v>
      </c>
    </row>
  </sheetData>
  <hyperlinks>
    <hyperlink ref="F8" r:id="rId1" display="https://info.opisnet.com/hubfs/CDR Price Survey White Paper-Email.pdf" xr:uid="{A8AC4E09-B357-43EA-99AB-751470BD001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A587-BA09-4421-98D4-BDAFBA104359}">
  <dimension ref="A1:L20"/>
  <sheetViews>
    <sheetView workbookViewId="0">
      <selection activeCell="I37" sqref="I37"/>
    </sheetView>
  </sheetViews>
  <sheetFormatPr defaultRowHeight="15" x14ac:dyDescent="0.25"/>
  <sheetData>
    <row r="1" spans="1:12" x14ac:dyDescent="0.25">
      <c r="A1" s="4" t="s">
        <v>47</v>
      </c>
      <c r="B1" t="s">
        <v>41</v>
      </c>
      <c r="C1" t="s">
        <v>42</v>
      </c>
      <c r="D1" t="s">
        <v>45</v>
      </c>
      <c r="I1" t="s">
        <v>46</v>
      </c>
    </row>
    <row r="2" spans="1:12" x14ac:dyDescent="0.25">
      <c r="A2" t="s">
        <v>40</v>
      </c>
      <c r="B2" t="s">
        <v>44</v>
      </c>
      <c r="C2" t="s">
        <v>44</v>
      </c>
      <c r="D2" t="s">
        <v>44</v>
      </c>
      <c r="I2" t="s">
        <v>40</v>
      </c>
      <c r="J2" t="s">
        <v>53</v>
      </c>
      <c r="K2" t="s">
        <v>48</v>
      </c>
      <c r="L2" t="s">
        <v>51</v>
      </c>
    </row>
    <row r="3" spans="1:12" x14ac:dyDescent="0.25">
      <c r="A3">
        <v>2025</v>
      </c>
      <c r="B3">
        <v>0.05</v>
      </c>
      <c r="C3">
        <f>K3/$J3</f>
        <v>9.1538218144439369</v>
      </c>
      <c r="D3">
        <f>L3/$J3</f>
        <v>0</v>
      </c>
      <c r="I3">
        <f>A3</f>
        <v>2025</v>
      </c>
      <c r="J3">
        <v>360.50516023732143</v>
      </c>
      <c r="K3">
        <v>3300</v>
      </c>
      <c r="L3">
        <v>0</v>
      </c>
    </row>
    <row r="4" spans="1:12" x14ac:dyDescent="0.25">
      <c r="A4">
        <v>2030</v>
      </c>
      <c r="B4">
        <v>5</v>
      </c>
      <c r="C4">
        <f t="shared" ref="C4:C8" si="0">K4/$J4</f>
        <v>11.117978504373452</v>
      </c>
      <c r="D4">
        <f t="shared" ref="D4:D8" si="1">L4/$J4</f>
        <v>67.381687905293646</v>
      </c>
      <c r="I4">
        <f t="shared" ref="I4:I8" si="2">A4</f>
        <v>2030</v>
      </c>
      <c r="J4">
        <v>296.81654796345282</v>
      </c>
      <c r="K4">
        <v>3300</v>
      </c>
      <c r="L4">
        <v>20000</v>
      </c>
    </row>
    <row r="5" spans="1:12" x14ac:dyDescent="0.25">
      <c r="A5">
        <v>2035</v>
      </c>
      <c r="B5">
        <v>10</v>
      </c>
      <c r="C5">
        <f t="shared" si="0"/>
        <v>14.945046646834507</v>
      </c>
      <c r="D5">
        <f t="shared" si="1"/>
        <v>158.50807049672963</v>
      </c>
      <c r="I5">
        <f t="shared" si="2"/>
        <v>2035</v>
      </c>
      <c r="J5">
        <v>220.8089461332641</v>
      </c>
      <c r="K5">
        <v>3300</v>
      </c>
      <c r="L5">
        <f>(L4+L6)/2</f>
        <v>35000</v>
      </c>
    </row>
    <row r="6" spans="1:12" x14ac:dyDescent="0.25">
      <c r="A6">
        <v>2040</v>
      </c>
      <c r="B6">
        <v>0</v>
      </c>
      <c r="C6">
        <f t="shared" si="0"/>
        <v>0</v>
      </c>
      <c r="D6">
        <f t="shared" si="1"/>
        <v>246.90690563233255</v>
      </c>
      <c r="I6">
        <f t="shared" si="2"/>
        <v>2040</v>
      </c>
      <c r="J6">
        <v>202.50547416626196</v>
      </c>
      <c r="K6">
        <v>0</v>
      </c>
      <c r="L6">
        <v>50000</v>
      </c>
    </row>
    <row r="7" spans="1:12" x14ac:dyDescent="0.25">
      <c r="A7">
        <v>2045</v>
      </c>
      <c r="B7">
        <v>0</v>
      </c>
      <c r="C7">
        <f t="shared" si="0"/>
        <v>0</v>
      </c>
      <c r="D7">
        <f t="shared" si="1"/>
        <v>406.1713779405772</v>
      </c>
      <c r="I7">
        <f t="shared" si="2"/>
        <v>2045</v>
      </c>
      <c r="J7">
        <v>184.65112037257458</v>
      </c>
      <c r="K7">
        <v>0</v>
      </c>
      <c r="L7">
        <f>(L6+L8)/2</f>
        <v>75000</v>
      </c>
    </row>
    <row r="8" spans="1:12" x14ac:dyDescent="0.25">
      <c r="A8">
        <v>2050</v>
      </c>
      <c r="B8">
        <v>0</v>
      </c>
      <c r="C8">
        <f t="shared" si="0"/>
        <v>0</v>
      </c>
      <c r="D8">
        <f t="shared" si="1"/>
        <v>578.25596171173243</v>
      </c>
      <c r="I8">
        <f t="shared" si="2"/>
        <v>2050</v>
      </c>
      <c r="J8">
        <v>172.93379856211703</v>
      </c>
      <c r="K8">
        <v>0</v>
      </c>
      <c r="L8">
        <v>100000</v>
      </c>
    </row>
    <row r="9" spans="1:12" x14ac:dyDescent="0.25">
      <c r="A9" t="s">
        <v>5</v>
      </c>
      <c r="B9" t="s">
        <v>43</v>
      </c>
      <c r="J9" t="s">
        <v>52</v>
      </c>
      <c r="K9" t="s">
        <v>50</v>
      </c>
      <c r="L9" t="s">
        <v>49</v>
      </c>
    </row>
    <row r="12" spans="1:12" x14ac:dyDescent="0.25">
      <c r="A12" s="4" t="s">
        <v>54</v>
      </c>
      <c r="B12" t="s">
        <v>41</v>
      </c>
      <c r="C12" t="s">
        <v>42</v>
      </c>
      <c r="D12" t="s">
        <v>45</v>
      </c>
      <c r="I12" t="s">
        <v>46</v>
      </c>
    </row>
    <row r="13" spans="1:12" x14ac:dyDescent="0.25">
      <c r="A13" t="s">
        <v>40</v>
      </c>
      <c r="B13" t="s">
        <v>44</v>
      </c>
      <c r="C13" t="s">
        <v>44</v>
      </c>
      <c r="D13" t="s">
        <v>44</v>
      </c>
      <c r="I13" t="s">
        <v>40</v>
      </c>
      <c r="J13" t="s">
        <v>53</v>
      </c>
      <c r="K13" t="s">
        <v>48</v>
      </c>
      <c r="L13" t="s">
        <v>51</v>
      </c>
    </row>
    <row r="14" spans="1:12" x14ac:dyDescent="0.25">
      <c r="A14">
        <v>2025</v>
      </c>
      <c r="B14">
        <v>0.05</v>
      </c>
      <c r="C14">
        <f>K14/$J14</f>
        <v>9.1527704871198079</v>
      </c>
      <c r="D14">
        <f>L14/$J14</f>
        <v>0</v>
      </c>
      <c r="I14">
        <f>A14</f>
        <v>2025</v>
      </c>
      <c r="J14">
        <v>360.54656943970235</v>
      </c>
      <c r="K14">
        <v>3300</v>
      </c>
      <c r="L14">
        <v>0</v>
      </c>
    </row>
    <row r="15" spans="1:12" x14ac:dyDescent="0.25">
      <c r="A15">
        <v>2030</v>
      </c>
      <c r="B15">
        <v>5</v>
      </c>
      <c r="C15">
        <f t="shared" ref="C15:C19" si="3">K15/$J15</f>
        <v>11.123317675046577</v>
      </c>
      <c r="D15">
        <f t="shared" ref="D15:D19" si="4">L15/$J15</f>
        <v>67.41404651543381</v>
      </c>
      <c r="I15">
        <f t="shared" ref="I15:I19" si="5">A15</f>
        <v>2030</v>
      </c>
      <c r="J15">
        <v>296.67407660243612</v>
      </c>
      <c r="K15">
        <v>3300</v>
      </c>
      <c r="L15">
        <v>20000</v>
      </c>
    </row>
    <row r="16" spans="1:12" x14ac:dyDescent="0.25">
      <c r="A16">
        <v>2035</v>
      </c>
      <c r="B16">
        <v>10</v>
      </c>
      <c r="C16">
        <f t="shared" si="3"/>
        <v>14.849857137390348</v>
      </c>
      <c r="D16">
        <f t="shared" si="4"/>
        <v>157.49848479050368</v>
      </c>
      <c r="I16">
        <f t="shared" si="5"/>
        <v>2035</v>
      </c>
      <c r="J16">
        <v>222.22436010451264</v>
      </c>
      <c r="K16">
        <v>3300</v>
      </c>
      <c r="L16">
        <f>(L15+L17)/2</f>
        <v>35000</v>
      </c>
    </row>
    <row r="17" spans="1:12" x14ac:dyDescent="0.25">
      <c r="A17">
        <v>2040</v>
      </c>
      <c r="B17">
        <v>0</v>
      </c>
      <c r="C17">
        <f t="shared" si="3"/>
        <v>0</v>
      </c>
      <c r="D17">
        <f t="shared" si="4"/>
        <v>243.06758416564975</v>
      </c>
      <c r="I17">
        <f t="shared" si="5"/>
        <v>2040</v>
      </c>
      <c r="J17">
        <v>205.70410559527826</v>
      </c>
      <c r="K17">
        <v>0</v>
      </c>
      <c r="L17">
        <v>50000</v>
      </c>
    </row>
    <row r="18" spans="1:12" x14ac:dyDescent="0.25">
      <c r="A18">
        <v>2045</v>
      </c>
      <c r="B18">
        <v>0</v>
      </c>
      <c r="C18">
        <f t="shared" si="3"/>
        <v>0</v>
      </c>
      <c r="D18">
        <f t="shared" si="4"/>
        <v>380.4751980809001</v>
      </c>
      <c r="I18">
        <f t="shared" si="5"/>
        <v>2045</v>
      </c>
      <c r="J18">
        <v>197.12191590489118</v>
      </c>
      <c r="K18">
        <v>0</v>
      </c>
      <c r="L18">
        <f>(L17+L19)/2</f>
        <v>75000</v>
      </c>
    </row>
    <row r="19" spans="1:12" x14ac:dyDescent="0.25">
      <c r="A19">
        <v>2050</v>
      </c>
      <c r="B19">
        <v>0</v>
      </c>
      <c r="C19">
        <f t="shared" si="3"/>
        <v>0</v>
      </c>
      <c r="D19">
        <f t="shared" si="4"/>
        <v>474.18677475115379</v>
      </c>
      <c r="I19">
        <f t="shared" si="5"/>
        <v>2050</v>
      </c>
      <c r="J19">
        <v>210.88736617017318</v>
      </c>
      <c r="K19">
        <v>0</v>
      </c>
      <c r="L19">
        <v>100000</v>
      </c>
    </row>
    <row r="20" spans="1:12" x14ac:dyDescent="0.25">
      <c r="A20" t="s">
        <v>5</v>
      </c>
      <c r="B20" t="s">
        <v>43</v>
      </c>
      <c r="J20" t="s">
        <v>52</v>
      </c>
      <c r="K20" t="s">
        <v>50</v>
      </c>
      <c r="L2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Parameters</vt:lpstr>
      <vt:lpstr>Learning Rates</vt:lpstr>
      <vt:lpstr>Innovation Policy Scenarios</vt:lpstr>
      <vt:lpstr>verify-2025</vt:lpstr>
      <vt:lpstr>Procurement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2025-08-22T16:57:01Z</dcterms:created>
  <dcterms:modified xsi:type="dcterms:W3CDTF">2025-10-17T14:03:20Z</dcterms:modified>
</cp:coreProperties>
</file>