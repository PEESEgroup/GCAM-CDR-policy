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EF1C2942-AEEB-4E04-A14D-7D3AADFE1E20}" xr6:coauthVersionLast="47" xr6:coauthVersionMax="47" xr10:uidLastSave="{00000000-0000-0000-0000-000000000000}"/>
  <bookViews>
    <workbookView xWindow="-120" yWindow="-120" windowWidth="29040" windowHeight="17520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Rates'!$Y$1:$AA$1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" l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N48" i="2"/>
  <c r="O48" i="2"/>
  <c r="P48" i="2"/>
  <c r="Q48" i="2"/>
  <c r="R48" i="2"/>
  <c r="S48" i="2"/>
  <c r="N49" i="2"/>
  <c r="O49" i="2"/>
  <c r="P49" i="2"/>
  <c r="Q49" i="2"/>
  <c r="R49" i="2"/>
  <c r="S49" i="2"/>
  <c r="N50" i="2"/>
  <c r="O50" i="2"/>
  <c r="P50" i="2"/>
  <c r="Q50" i="2"/>
  <c r="R50" i="2"/>
  <c r="S50" i="2"/>
  <c r="N51" i="2"/>
  <c r="O51" i="2"/>
  <c r="P51" i="2"/>
  <c r="Q51" i="2"/>
  <c r="R51" i="2"/>
  <c r="S51" i="2"/>
  <c r="N52" i="2"/>
  <c r="O52" i="2"/>
  <c r="P52" i="2"/>
  <c r="Q52" i="2"/>
  <c r="R52" i="2"/>
  <c r="S52" i="2"/>
  <c r="N53" i="2"/>
  <c r="O53" i="2"/>
  <c r="P53" i="2"/>
  <c r="Q53" i="2"/>
  <c r="R53" i="2"/>
  <c r="S53" i="2"/>
  <c r="M49" i="2"/>
  <c r="M50" i="2"/>
  <c r="M51" i="2"/>
  <c r="M52" i="2"/>
  <c r="M53" i="2"/>
  <c r="M48" i="2"/>
  <c r="P39" i="2"/>
  <c r="Q39" i="2"/>
  <c r="R39" i="2"/>
  <c r="S39" i="2"/>
  <c r="P40" i="2"/>
  <c r="Q40" i="2"/>
  <c r="R40" i="2"/>
  <c r="S40" i="2"/>
  <c r="P41" i="2"/>
  <c r="Q41" i="2"/>
  <c r="R41" i="2"/>
  <c r="S41" i="2"/>
  <c r="P42" i="2"/>
  <c r="Q42" i="2"/>
  <c r="R42" i="2"/>
  <c r="S42" i="2"/>
  <c r="P43" i="2"/>
  <c r="Q43" i="2"/>
  <c r="R43" i="2"/>
  <c r="S43" i="2"/>
  <c r="P44" i="2"/>
  <c r="Q44" i="2"/>
  <c r="R44" i="2"/>
  <c r="S44" i="2"/>
  <c r="O40" i="2"/>
  <c r="O41" i="2"/>
  <c r="O42" i="2"/>
  <c r="O43" i="2"/>
  <c r="O44" i="2"/>
  <c r="O39" i="2"/>
  <c r="N39" i="2"/>
  <c r="N40" i="2"/>
  <c r="N41" i="2"/>
  <c r="N42" i="2"/>
  <c r="N43" i="2"/>
  <c r="N44" i="2"/>
  <c r="M40" i="2"/>
  <c r="M41" i="2"/>
  <c r="M42" i="2"/>
  <c r="M43" i="2"/>
  <c r="M44" i="2"/>
  <c r="M39" i="2"/>
  <c r="N30" i="2"/>
  <c r="O30" i="2"/>
  <c r="P30" i="2"/>
  <c r="Q30" i="2"/>
  <c r="R30" i="2"/>
  <c r="S30" i="2"/>
  <c r="N31" i="2"/>
  <c r="O31" i="2"/>
  <c r="P31" i="2"/>
  <c r="Q31" i="2"/>
  <c r="R31" i="2"/>
  <c r="S31" i="2"/>
  <c r="N32" i="2"/>
  <c r="O32" i="2"/>
  <c r="P32" i="2"/>
  <c r="Q32" i="2"/>
  <c r="R32" i="2"/>
  <c r="S32" i="2"/>
  <c r="N33" i="2"/>
  <c r="O33" i="2"/>
  <c r="P33" i="2"/>
  <c r="Q33" i="2"/>
  <c r="R33" i="2"/>
  <c r="S33" i="2"/>
  <c r="N34" i="2"/>
  <c r="O34" i="2"/>
  <c r="P34" i="2"/>
  <c r="Q34" i="2"/>
  <c r="R34" i="2"/>
  <c r="S34" i="2"/>
  <c r="N35" i="2"/>
  <c r="O35" i="2"/>
  <c r="P35" i="2"/>
  <c r="Q35" i="2"/>
  <c r="R35" i="2"/>
  <c r="S35" i="2"/>
  <c r="M31" i="2"/>
  <c r="M32" i="2"/>
  <c r="M33" i="2"/>
  <c r="M34" i="2"/>
  <c r="M35" i="2"/>
  <c r="N21" i="2"/>
  <c r="O21" i="2"/>
  <c r="P21" i="2"/>
  <c r="Q21" i="2"/>
  <c r="R21" i="2"/>
  <c r="S21" i="2"/>
  <c r="N22" i="2"/>
  <c r="O22" i="2"/>
  <c r="P22" i="2"/>
  <c r="Q22" i="2"/>
  <c r="R22" i="2"/>
  <c r="S22" i="2"/>
  <c r="N23" i="2"/>
  <c r="O23" i="2"/>
  <c r="P23" i="2"/>
  <c r="Q23" i="2"/>
  <c r="R23" i="2"/>
  <c r="S23" i="2"/>
  <c r="N24" i="2"/>
  <c r="O24" i="2"/>
  <c r="P24" i="2"/>
  <c r="Q24" i="2"/>
  <c r="R24" i="2"/>
  <c r="S24" i="2"/>
  <c r="N25" i="2"/>
  <c r="O25" i="2"/>
  <c r="P25" i="2"/>
  <c r="Q25" i="2"/>
  <c r="R25" i="2"/>
  <c r="S25" i="2"/>
  <c r="N26" i="2"/>
  <c r="O26" i="2"/>
  <c r="P26" i="2"/>
  <c r="Q26" i="2"/>
  <c r="R26" i="2"/>
  <c r="S26" i="2"/>
  <c r="M22" i="2"/>
  <c r="M23" i="2"/>
  <c r="M24" i="2"/>
  <c r="M25" i="2"/>
  <c r="M26" i="2"/>
  <c r="M21" i="2"/>
  <c r="M30" i="2"/>
  <c r="N12" i="2"/>
  <c r="O12" i="2"/>
  <c r="P12" i="2"/>
  <c r="Q12" i="2"/>
  <c r="R12" i="2"/>
  <c r="S12" i="2"/>
  <c r="N13" i="2"/>
  <c r="O13" i="2"/>
  <c r="P13" i="2"/>
  <c r="Q13" i="2"/>
  <c r="R13" i="2"/>
  <c r="S13" i="2"/>
  <c r="N14" i="2"/>
  <c r="O14" i="2"/>
  <c r="P14" i="2"/>
  <c r="Q14" i="2"/>
  <c r="R14" i="2"/>
  <c r="S14" i="2"/>
  <c r="N15" i="2"/>
  <c r="O15" i="2"/>
  <c r="P15" i="2"/>
  <c r="Q15" i="2"/>
  <c r="R15" i="2"/>
  <c r="S15" i="2"/>
  <c r="N16" i="2"/>
  <c r="O16" i="2"/>
  <c r="P16" i="2"/>
  <c r="Q16" i="2"/>
  <c r="R16" i="2"/>
  <c r="S16" i="2"/>
  <c r="N17" i="2"/>
  <c r="O17" i="2"/>
  <c r="P17" i="2"/>
  <c r="Q17" i="2"/>
  <c r="R17" i="2"/>
  <c r="S17" i="2"/>
  <c r="M13" i="2"/>
  <c r="M14" i="2"/>
  <c r="M15" i="2"/>
  <c r="M16" i="2"/>
  <c r="M17" i="2"/>
  <c r="M12" i="2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Z9" i="5"/>
  <c r="N4" i="5" s="1"/>
  <c r="U35" i="5"/>
  <c r="U36" i="5"/>
  <c r="U37" i="5"/>
  <c r="U38" i="5"/>
  <c r="U39" i="5"/>
  <c r="T35" i="5"/>
  <c r="T36" i="5"/>
  <c r="T37" i="5"/>
  <c r="T38" i="5"/>
  <c r="T39" i="5"/>
  <c r="U34" i="5"/>
  <c r="T34" i="5"/>
  <c r="S17" i="5"/>
  <c r="S18" i="5"/>
  <c r="S19" i="5"/>
  <c r="S20" i="5"/>
  <c r="S21" i="5"/>
  <c r="S16" i="5"/>
  <c r="R35" i="5"/>
  <c r="S35" i="5"/>
  <c r="V35" i="5"/>
  <c r="R36" i="5"/>
  <c r="S36" i="5"/>
  <c r="V36" i="5"/>
  <c r="R37" i="5"/>
  <c r="S37" i="5"/>
  <c r="V37" i="5"/>
  <c r="R38" i="5"/>
  <c r="S38" i="5"/>
  <c r="V38" i="5"/>
  <c r="R39" i="5"/>
  <c r="S39" i="5"/>
  <c r="V39" i="5"/>
  <c r="V34" i="5"/>
  <c r="S34" i="5"/>
  <c r="R34" i="5"/>
  <c r="Q34" i="5"/>
  <c r="Q35" i="5"/>
  <c r="Q36" i="5"/>
  <c r="Q37" i="5"/>
  <c r="Q38" i="5"/>
  <c r="Q39" i="5"/>
  <c r="V2" i="5"/>
  <c r="U2" i="5"/>
  <c r="T2" i="5"/>
  <c r="S2" i="5"/>
  <c r="R2" i="5"/>
  <c r="Q2" i="5"/>
  <c r="I35" i="5"/>
  <c r="J35" i="5"/>
  <c r="K35" i="5"/>
  <c r="L35" i="5"/>
  <c r="M35" i="5"/>
  <c r="N35" i="5"/>
  <c r="I36" i="5"/>
  <c r="J36" i="5"/>
  <c r="K36" i="5"/>
  <c r="L36" i="5"/>
  <c r="M36" i="5"/>
  <c r="N36" i="5"/>
  <c r="I37" i="5"/>
  <c r="J37" i="5"/>
  <c r="K37" i="5"/>
  <c r="L37" i="5"/>
  <c r="M37" i="5"/>
  <c r="N37" i="5"/>
  <c r="I38" i="5"/>
  <c r="J38" i="5"/>
  <c r="K38" i="5"/>
  <c r="L38" i="5"/>
  <c r="M38" i="5"/>
  <c r="N38" i="5"/>
  <c r="I39" i="5"/>
  <c r="J39" i="5"/>
  <c r="K39" i="5"/>
  <c r="L39" i="5"/>
  <c r="M39" i="5"/>
  <c r="N39" i="5"/>
  <c r="N34" i="5"/>
  <c r="M34" i="5"/>
  <c r="L34" i="5"/>
  <c r="K34" i="5"/>
  <c r="J34" i="5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N3" i="1" l="1"/>
  <c r="N4" i="1"/>
  <c r="N5" i="1"/>
  <c r="N6" i="1"/>
  <c r="Q4" i="5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10" i="5"/>
  <c r="Q9" i="5"/>
  <c r="Q12" i="5"/>
  <c r="N9" i="5"/>
  <c r="N12" i="5"/>
  <c r="N48" i="5" s="1"/>
  <c r="N57" i="5" s="1"/>
  <c r="N66" i="5" s="1"/>
  <c r="N11" i="5"/>
  <c r="Q8" i="5"/>
  <c r="R4" i="5"/>
  <c r="R9" i="5" s="1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N46" i="5" s="1"/>
  <c r="N55" i="5" s="1"/>
  <c r="N64" i="5" s="1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R25" i="5"/>
  <c r="R26" i="5" s="1"/>
  <c r="R27" i="5" s="1"/>
  <c r="R28" i="5" s="1"/>
  <c r="R29" i="5" s="1"/>
  <c r="R30" i="5" s="1"/>
  <c r="S4" i="5"/>
  <c r="S10" i="5" s="1"/>
  <c r="Q11" i="5"/>
  <c r="D22" i="5"/>
  <c r="D23" i="5"/>
  <c r="E22" i="5"/>
  <c r="E23" i="5" s="1"/>
  <c r="C22" i="5"/>
  <c r="C23" i="5" s="1"/>
  <c r="B22" i="5"/>
  <c r="B23" i="5" s="1"/>
  <c r="J2" i="5"/>
  <c r="E2" i="1"/>
  <c r="E4" i="1"/>
  <c r="E5" i="1"/>
  <c r="E6" i="1"/>
  <c r="K12" i="5" l="1"/>
  <c r="K48" i="5" s="1"/>
  <c r="K57" i="5" s="1"/>
  <c r="K66" i="5" s="1"/>
  <c r="M7" i="5"/>
  <c r="M43" i="5" s="1"/>
  <c r="M52" i="5" s="1"/>
  <c r="M61" i="5" s="1"/>
  <c r="R8" i="5"/>
  <c r="R11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S11" i="5"/>
  <c r="S47" i="5" s="1"/>
  <c r="S56" i="5" s="1"/>
  <c r="S65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S8" i="5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S7" i="5"/>
  <c r="K11" i="5"/>
  <c r="K47" i="5" s="1"/>
  <c r="K56" i="5" s="1"/>
  <c r="K65" i="5" s="1"/>
  <c r="L10" i="5"/>
  <c r="L46" i="5" s="1"/>
  <c r="L55" i="5" s="1"/>
  <c r="L64" i="5" s="1"/>
  <c r="R7" i="5"/>
  <c r="R43" i="5" s="1"/>
  <c r="R52" i="5" s="1"/>
  <c r="R61" i="5" s="1"/>
  <c r="L11" i="5"/>
  <c r="L47" i="5" s="1"/>
  <c r="L56" i="5" s="1"/>
  <c r="L65" i="5" s="1"/>
  <c r="L7" i="5"/>
  <c r="L43" i="5" s="1"/>
  <c r="L52" i="5" s="1"/>
  <c r="L61" i="5" s="1"/>
  <c r="R10" i="5"/>
  <c r="R46" i="5" s="1"/>
  <c r="R55" i="5" s="1"/>
  <c r="R64" i="5" s="1"/>
  <c r="M9" i="5"/>
  <c r="M45" i="5" s="1"/>
  <c r="M54" i="5" s="1"/>
  <c r="M63" i="5" s="1"/>
  <c r="L12" i="5"/>
  <c r="L48" i="5" s="1"/>
  <c r="L57" i="5" s="1"/>
  <c r="L66" i="5" s="1"/>
  <c r="R12" i="5"/>
  <c r="R48" i="5" s="1"/>
  <c r="R57" i="5" s="1"/>
  <c r="R66" i="5" s="1"/>
  <c r="M10" i="5"/>
  <c r="M46" i="5" s="1"/>
  <c r="M55" i="5" s="1"/>
  <c r="M64" i="5" s="1"/>
  <c r="S12" i="5"/>
  <c r="S48" i="5" s="1"/>
  <c r="S57" i="5" s="1"/>
  <c r="S66" i="5" s="1"/>
  <c r="M12" i="5"/>
  <c r="M48" i="5" s="1"/>
  <c r="M57" i="5" s="1"/>
  <c r="M66" i="5" s="1"/>
  <c r="K7" i="5"/>
  <c r="K43" i="5" s="1"/>
  <c r="K52" i="5" s="1"/>
  <c r="K61" i="5" s="1"/>
  <c r="S9" i="5"/>
  <c r="M11" i="5"/>
  <c r="M47" i="5" s="1"/>
  <c r="M56" i="5" s="1"/>
  <c r="M65" i="5" s="1"/>
  <c r="L9" i="5"/>
  <c r="L45" i="5" s="1"/>
  <c r="L54" i="5" s="1"/>
  <c r="L63" i="5" s="1"/>
  <c r="T4" i="5"/>
  <c r="S25" i="5"/>
  <c r="S26" i="5" s="1"/>
  <c r="S27" i="5" s="1"/>
  <c r="S28" i="5" s="1"/>
  <c r="S29" i="5" s="1"/>
  <c r="S30" i="5" s="1"/>
  <c r="R44" i="5"/>
  <c r="R53" i="5" s="1"/>
  <c r="R62" i="5" s="1"/>
  <c r="R47" i="5"/>
  <c r="R56" i="5" s="1"/>
  <c r="R65" i="5" s="1"/>
  <c r="R45" i="5"/>
  <c r="R54" i="5" s="1"/>
  <c r="R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Q44" i="5" l="1"/>
  <c r="Q53" i="5" s="1"/>
  <c r="Q62" i="5" s="1"/>
  <c r="S45" i="5"/>
  <c r="S54" i="5" s="1"/>
  <c r="S63" i="5" s="1"/>
  <c r="S44" i="5"/>
  <c r="S53" i="5" s="1"/>
  <c r="S62" i="5" s="1"/>
  <c r="Q28" i="5"/>
  <c r="Q45" i="5"/>
  <c r="Q54" i="5" s="1"/>
  <c r="Q63" i="5" s="1"/>
  <c r="S43" i="5"/>
  <c r="S52" i="5" s="1"/>
  <c r="S61" i="5" s="1"/>
  <c r="S46" i="5"/>
  <c r="S55" i="5" s="1"/>
  <c r="S64" i="5" s="1"/>
  <c r="T9" i="5"/>
  <c r="T25" i="5"/>
  <c r="T26" i="5" s="1"/>
  <c r="T27" i="5" s="1"/>
  <c r="T28" i="5" s="1"/>
  <c r="T29" i="5" s="1"/>
  <c r="T30" i="5" s="1"/>
  <c r="V4" i="5"/>
  <c r="U4" i="5"/>
  <c r="T10" i="5"/>
  <c r="T12" i="5"/>
  <c r="T7" i="5"/>
  <c r="T11" i="5"/>
  <c r="T8" i="5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Q29" i="5" l="1"/>
  <c r="Q46" i="5"/>
  <c r="Q55" i="5" s="1"/>
  <c r="Q64" i="5" s="1"/>
  <c r="T45" i="5"/>
  <c r="T54" i="5" s="1"/>
  <c r="T63" i="5" s="1"/>
  <c r="T43" i="5"/>
  <c r="T52" i="5" s="1"/>
  <c r="T61" i="5" s="1"/>
  <c r="T44" i="5"/>
  <c r="T53" i="5" s="1"/>
  <c r="T62" i="5" s="1"/>
  <c r="T47" i="5"/>
  <c r="T56" i="5" s="1"/>
  <c r="T65" i="5" s="1"/>
  <c r="V12" i="5"/>
  <c r="V11" i="5"/>
  <c r="V25" i="5"/>
  <c r="V26" i="5" s="1"/>
  <c r="V27" i="5" s="1"/>
  <c r="V28" i="5" s="1"/>
  <c r="V29" i="5" s="1"/>
  <c r="V30" i="5" s="1"/>
  <c r="V9" i="5"/>
  <c r="V8" i="5"/>
  <c r="V10" i="5"/>
  <c r="V7" i="5"/>
  <c r="V43" i="5" s="1"/>
  <c r="V52" i="5" s="1"/>
  <c r="V61" i="5" s="1"/>
  <c r="T48" i="5"/>
  <c r="T57" i="5" s="1"/>
  <c r="T66" i="5" s="1"/>
  <c r="T46" i="5"/>
  <c r="T55" i="5" s="1"/>
  <c r="T64" i="5" s="1"/>
  <c r="U25" i="5"/>
  <c r="U26" i="5" s="1"/>
  <c r="U27" i="5" s="1"/>
  <c r="U28" i="5" s="1"/>
  <c r="U29" i="5" s="1"/>
  <c r="U30" i="5" s="1"/>
  <c r="U12" i="5"/>
  <c r="U48" i="5" s="1"/>
  <c r="U57" i="5" s="1"/>
  <c r="U66" i="5" s="1"/>
  <c r="U8" i="5"/>
  <c r="U44" i="5" s="1"/>
  <c r="U53" i="5" s="1"/>
  <c r="U62" i="5" s="1"/>
  <c r="U9" i="5"/>
  <c r="U45" i="5" s="1"/>
  <c r="U54" i="5" s="1"/>
  <c r="U63" i="5" s="1"/>
  <c r="U11" i="5"/>
  <c r="U47" i="5" s="1"/>
  <c r="U56" i="5" s="1"/>
  <c r="U65" i="5" s="1"/>
  <c r="U10" i="5"/>
  <c r="U7" i="5"/>
  <c r="U43" i="5" l="1"/>
  <c r="U52" i="5" s="1"/>
  <c r="U61" i="5" s="1"/>
  <c r="U46" i="5"/>
  <c r="U55" i="5" s="1"/>
  <c r="U64" i="5" s="1"/>
  <c r="Q30" i="5"/>
  <c r="Q48" i="5" s="1"/>
  <c r="Q57" i="5" s="1"/>
  <c r="Q66" i="5" s="1"/>
  <c r="Q47" i="5"/>
  <c r="Q56" i="5" s="1"/>
  <c r="Q65" i="5" s="1"/>
  <c r="V44" i="5"/>
  <c r="V53" i="5" s="1"/>
  <c r="V62" i="5" s="1"/>
  <c r="V46" i="5"/>
  <c r="V55" i="5" s="1"/>
  <c r="V64" i="5" s="1"/>
  <c r="V45" i="5"/>
  <c r="V54" i="5" s="1"/>
  <c r="V63" i="5" s="1"/>
  <c r="V47" i="5"/>
  <c r="V56" i="5" s="1"/>
  <c r="V65" i="5" s="1"/>
  <c r="V48" i="5"/>
  <c r="V57" i="5" s="1"/>
  <c r="V66" i="5" s="1"/>
</calcChain>
</file>

<file path=xl/sharedStrings.xml><?xml version="1.0" encoding="utf-8"?>
<sst xmlns="http://schemas.openxmlformats.org/spreadsheetml/2006/main" count="471" uniqueCount="125">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</sst>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1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44" fontId="5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tabSelected="1"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A66"/>
  <sheetViews>
    <sheetView topLeftCell="G26" workbookViewId="0">
      <selection activeCell="W30" sqref="W30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</cols>
  <sheetData>
    <row r="1" spans="1:27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Y1" t="s">
        <v>40</v>
      </c>
      <c r="Z1" t="s">
        <v>109</v>
      </c>
      <c r="AA1" t="s">
        <v>5</v>
      </c>
    </row>
    <row r="2" spans="1:27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" si="4">1-2^U3</f>
        <v>4.9999617125113915E-2</v>
      </c>
      <c r="V2" s="9">
        <f t="shared" ref="V2" si="5">1-2^V3</f>
        <v>4.9999617125113915E-2</v>
      </c>
      <c r="Y2" t="s">
        <v>111</v>
      </c>
      <c r="Z2">
        <v>1045</v>
      </c>
      <c r="AA2" t="s">
        <v>112</v>
      </c>
    </row>
    <row r="3" spans="1:27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Y3">
        <v>2019</v>
      </c>
      <c r="Z3">
        <v>104</v>
      </c>
      <c r="AA3" t="s">
        <v>113</v>
      </c>
    </row>
    <row r="4" spans="1:27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6">$Z$9</f>
        <v>1719</v>
      </c>
      <c r="J4">
        <f t="shared" si="6"/>
        <v>1719</v>
      </c>
      <c r="K4">
        <f t="shared" si="6"/>
        <v>1719</v>
      </c>
      <c r="L4">
        <f t="shared" si="6"/>
        <v>1719</v>
      </c>
      <c r="M4">
        <f t="shared" si="6"/>
        <v>1719</v>
      </c>
      <c r="N4">
        <f t="shared" si="6"/>
        <v>1719</v>
      </c>
      <c r="P4" s="13" t="s">
        <v>116</v>
      </c>
      <c r="Q4">
        <f>$Z$9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Y4">
        <v>2020</v>
      </c>
      <c r="Z4">
        <v>104</v>
      </c>
      <c r="AA4" t="s">
        <v>113</v>
      </c>
    </row>
    <row r="5" spans="1:27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19" t="s">
        <v>86</v>
      </c>
      <c r="I5" s="19"/>
      <c r="J5" s="19"/>
      <c r="K5" s="19"/>
      <c r="L5" s="19"/>
      <c r="M5" s="19"/>
      <c r="N5" s="19"/>
      <c r="P5" s="19" t="s">
        <v>86</v>
      </c>
      <c r="Q5" s="19"/>
      <c r="R5" s="19"/>
      <c r="S5" s="19"/>
      <c r="T5" s="19"/>
      <c r="U5" s="19"/>
      <c r="V5" s="19"/>
      <c r="Y5">
        <v>2021</v>
      </c>
      <c r="Z5">
        <v>104</v>
      </c>
      <c r="AA5" t="s">
        <v>113</v>
      </c>
    </row>
    <row r="6" spans="1:27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Y6">
        <v>2022</v>
      </c>
      <c r="Z6">
        <v>104</v>
      </c>
      <c r="AA6" t="s">
        <v>110</v>
      </c>
    </row>
    <row r="7" spans="1:27" x14ac:dyDescent="0.25">
      <c r="H7">
        <v>2025</v>
      </c>
      <c r="I7">
        <f t="shared" ref="I7:N12" si="7">I34/(I$4^I$3)</f>
        <v>402.62283243923065</v>
      </c>
      <c r="J7">
        <f t="shared" si="7"/>
        <v>774.00768649955546</v>
      </c>
      <c r="K7">
        <f t="shared" si="7"/>
        <v>362.70763784396212</v>
      </c>
      <c r="L7">
        <f t="shared" si="7"/>
        <v>468.53621687947475</v>
      </c>
      <c r="M7">
        <f t="shared" si="7"/>
        <v>242.96205405815644</v>
      </c>
      <c r="N7">
        <f t="shared" si="7"/>
        <v>625.63624449874601</v>
      </c>
      <c r="P7">
        <v>2025</v>
      </c>
      <c r="Q7">
        <f t="shared" ref="Q7:V12" si="8">Q34/(Q$4^Q$3)</f>
        <v>625.63624449874601</v>
      </c>
      <c r="R7">
        <f t="shared" si="8"/>
        <v>625.63624449874601</v>
      </c>
      <c r="S7">
        <f t="shared" si="8"/>
        <v>625.63624449874601</v>
      </c>
      <c r="T7">
        <f t="shared" si="8"/>
        <v>774.00768649955546</v>
      </c>
      <c r="U7">
        <f t="shared" si="8"/>
        <v>362.70763784396212</v>
      </c>
      <c r="V7">
        <f t="shared" si="8"/>
        <v>625.63624449874601</v>
      </c>
      <c r="Y7">
        <v>2023</v>
      </c>
      <c r="Z7">
        <v>140</v>
      </c>
      <c r="AA7" t="s">
        <v>110</v>
      </c>
    </row>
    <row r="8" spans="1:27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7"/>
        <v>367.91396757377976</v>
      </c>
      <c r="J8">
        <f t="shared" si="7"/>
        <v>659.76272656262699</v>
      </c>
      <c r="K8">
        <f t="shared" si="7"/>
        <v>309.17132253719507</v>
      </c>
      <c r="L8">
        <f t="shared" si="7"/>
        <v>360.89331081690437</v>
      </c>
      <c r="M8">
        <f t="shared" si="7"/>
        <v>218.84088473896614</v>
      </c>
      <c r="N8">
        <f t="shared" si="7"/>
        <v>515.10827265465582</v>
      </c>
      <c r="P8">
        <v>2030</v>
      </c>
      <c r="Q8">
        <f t="shared" si="8"/>
        <v>515.10827265465582</v>
      </c>
      <c r="R8">
        <f t="shared" si="8"/>
        <v>515.10827265465582</v>
      </c>
      <c r="S8">
        <f t="shared" si="8"/>
        <v>515.10827265465582</v>
      </c>
      <c r="T8">
        <f t="shared" si="8"/>
        <v>659.76272656262699</v>
      </c>
      <c r="U8">
        <f t="shared" si="8"/>
        <v>309.17132253719507</v>
      </c>
      <c r="V8">
        <f t="shared" si="8"/>
        <v>515.10827265465582</v>
      </c>
      <c r="Y8">
        <v>2024</v>
      </c>
      <c r="Z8">
        <v>118</v>
      </c>
      <c r="AA8" t="s">
        <v>110</v>
      </c>
    </row>
    <row r="9" spans="1:27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7"/>
        <v>336.19724623121249</v>
      </c>
      <c r="J9">
        <f t="shared" si="7"/>
        <v>562.38053310547014</v>
      </c>
      <c r="K9">
        <f t="shared" si="7"/>
        <v>263.53706596198032</v>
      </c>
      <c r="L9">
        <f t="shared" si="7"/>
        <v>277.98060662168695</v>
      </c>
      <c r="M9">
        <f t="shared" si="7"/>
        <v>197.11445484351233</v>
      </c>
      <c r="N9">
        <f t="shared" si="7"/>
        <v>383.20139362110473</v>
      </c>
      <c r="P9">
        <v>2035</v>
      </c>
      <c r="Q9">
        <f t="shared" si="8"/>
        <v>383.20139362110473</v>
      </c>
      <c r="R9">
        <f t="shared" si="8"/>
        <v>383.20139362110473</v>
      </c>
      <c r="S9">
        <f t="shared" si="8"/>
        <v>383.20139362110473</v>
      </c>
      <c r="T9">
        <f t="shared" si="8"/>
        <v>562.38053310547014</v>
      </c>
      <c r="U9">
        <f t="shared" si="8"/>
        <v>263.53706596198032</v>
      </c>
      <c r="V9">
        <f t="shared" si="8"/>
        <v>383.20139362110473</v>
      </c>
      <c r="Y9" s="17" t="s">
        <v>114</v>
      </c>
      <c r="Z9" s="17">
        <f>SUM(Z2:Z8)</f>
        <v>1719</v>
      </c>
    </row>
    <row r="10" spans="1:27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7"/>
        <v>307.21472500438381</v>
      </c>
      <c r="J10">
        <f t="shared" si="7"/>
        <v>479.37213074126458</v>
      </c>
      <c r="K10">
        <f t="shared" si="7"/>
        <v>224.63850969713965</v>
      </c>
      <c r="L10">
        <f t="shared" si="7"/>
        <v>214.11651405466162</v>
      </c>
      <c r="M10">
        <f t="shared" si="7"/>
        <v>177.54501566103755</v>
      </c>
      <c r="N10">
        <f t="shared" si="7"/>
        <v>351.43675686754244</v>
      </c>
      <c r="P10">
        <v>2040</v>
      </c>
      <c r="Q10">
        <f t="shared" si="8"/>
        <v>351.43675686754244</v>
      </c>
      <c r="R10">
        <f t="shared" si="8"/>
        <v>351.43675686754244</v>
      </c>
      <c r="S10">
        <f t="shared" si="8"/>
        <v>351.43675686754244</v>
      </c>
      <c r="T10">
        <f t="shared" si="8"/>
        <v>479.37213074126458</v>
      </c>
      <c r="U10">
        <f t="shared" si="8"/>
        <v>224.63850969713965</v>
      </c>
      <c r="V10">
        <f t="shared" si="8"/>
        <v>351.43675686754244</v>
      </c>
    </row>
    <row r="11" spans="1:27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7"/>
        <v>280.73069698676449</v>
      </c>
      <c r="J11">
        <f t="shared" si="7"/>
        <v>408.61592143397195</v>
      </c>
      <c r="K11">
        <f t="shared" si="7"/>
        <v>191.48145197242181</v>
      </c>
      <c r="L11">
        <f t="shared" si="7"/>
        <v>164.92474834157514</v>
      </c>
      <c r="M11">
        <f t="shared" si="7"/>
        <v>159.91842207159965</v>
      </c>
      <c r="N11">
        <f t="shared" si="7"/>
        <v>320.45153921329012</v>
      </c>
      <c r="P11">
        <v>2045</v>
      </c>
      <c r="Q11">
        <f t="shared" si="8"/>
        <v>320.45153921329012</v>
      </c>
      <c r="R11">
        <f t="shared" si="8"/>
        <v>320.45153921329012</v>
      </c>
      <c r="S11">
        <f t="shared" si="8"/>
        <v>320.45153921329012</v>
      </c>
      <c r="T11">
        <f t="shared" si="8"/>
        <v>408.61592143397195</v>
      </c>
      <c r="U11">
        <f t="shared" si="8"/>
        <v>191.48145197242181</v>
      </c>
      <c r="V11">
        <f t="shared" si="8"/>
        <v>320.45153921329012</v>
      </c>
    </row>
    <row r="12" spans="1:27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7"/>
        <v>256.52977483273304</v>
      </c>
      <c r="J12">
        <f t="shared" si="7"/>
        <v>348.3034589248</v>
      </c>
      <c r="K12">
        <f t="shared" si="7"/>
        <v>163.21843702978293</v>
      </c>
      <c r="L12">
        <f t="shared" si="7"/>
        <v>127.03444540755035</v>
      </c>
      <c r="M12">
        <f t="shared" si="7"/>
        <v>144.04178919162132</v>
      </c>
      <c r="N12">
        <f t="shared" si="7"/>
        <v>300.11679224808154</v>
      </c>
      <c r="P12">
        <v>2050</v>
      </c>
      <c r="Q12">
        <f t="shared" si="8"/>
        <v>300.11679224808154</v>
      </c>
      <c r="R12">
        <f t="shared" si="8"/>
        <v>300.11679224808154</v>
      </c>
      <c r="S12">
        <f t="shared" si="8"/>
        <v>300.11679224808154</v>
      </c>
      <c r="T12">
        <f t="shared" si="8"/>
        <v>348.3034589248</v>
      </c>
      <c r="U12">
        <f t="shared" si="8"/>
        <v>163.21843702978293</v>
      </c>
      <c r="V12">
        <f t="shared" si="8"/>
        <v>300.11679224808154</v>
      </c>
    </row>
    <row r="13" spans="1:27" x14ac:dyDescent="0.25">
      <c r="A13" s="8" t="s">
        <v>88</v>
      </c>
      <c r="P13" s="13"/>
    </row>
    <row r="14" spans="1:27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19" t="s">
        <v>89</v>
      </c>
      <c r="I14" s="19"/>
      <c r="J14" s="19"/>
      <c r="K14" s="19"/>
      <c r="L14" s="19"/>
      <c r="M14" s="19"/>
      <c r="N14" s="19"/>
      <c r="P14" s="19" t="s">
        <v>89</v>
      </c>
      <c r="Q14" s="19"/>
      <c r="R14" s="19"/>
      <c r="S14" s="19"/>
      <c r="T14" s="19"/>
      <c r="U14" s="19"/>
      <c r="V14" s="19"/>
    </row>
    <row r="15" spans="1:27" x14ac:dyDescent="0.25">
      <c r="A15" t="s">
        <v>77</v>
      </c>
      <c r="B15">
        <f>B18/(B16^B17)</f>
        <v>3084.0998748711568</v>
      </c>
      <c r="C15">
        <f t="shared" ref="C15:E15" si="9">C18/(C16^C17)</f>
        <v>9616.9213175821751</v>
      </c>
      <c r="D15">
        <f t="shared" si="9"/>
        <v>113244.05359147559</v>
      </c>
      <c r="E15">
        <f t="shared" si="9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</row>
    <row r="16" spans="1:27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</row>
    <row r="17" spans="1:22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10">R17*3</f>
        <v>354</v>
      </c>
      <c r="T17" s="16">
        <v>0</v>
      </c>
      <c r="U17" s="16">
        <v>0</v>
      </c>
      <c r="V17" s="16">
        <v>1800</v>
      </c>
    </row>
    <row r="18" spans="1:22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10"/>
        <v>354</v>
      </c>
      <c r="T18" s="16">
        <v>0</v>
      </c>
      <c r="U18" s="16">
        <v>0</v>
      </c>
      <c r="V18" s="16">
        <v>1800</v>
      </c>
    </row>
    <row r="19" spans="1:22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10"/>
        <v>354</v>
      </c>
      <c r="T19" s="16">
        <v>0</v>
      </c>
      <c r="U19" s="16">
        <v>0</v>
      </c>
      <c r="V19" s="16">
        <v>0</v>
      </c>
    </row>
    <row r="20" spans="1:22" x14ac:dyDescent="0.25">
      <c r="A20" t="s">
        <v>77</v>
      </c>
      <c r="B20">
        <f>B15</f>
        <v>3084.0998748711568</v>
      </c>
      <c r="C20">
        <f t="shared" ref="C20:E20" si="11">C15</f>
        <v>9616.9213175821751</v>
      </c>
      <c r="D20">
        <f t="shared" si="11"/>
        <v>113244.05359147559</v>
      </c>
      <c r="E20">
        <f t="shared" si="11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10"/>
        <v>354</v>
      </c>
      <c r="T20" s="16">
        <v>0</v>
      </c>
      <c r="U20" s="16">
        <v>0</v>
      </c>
      <c r="V20" s="16">
        <v>0</v>
      </c>
    </row>
    <row r="21" spans="1:22" x14ac:dyDescent="0.25">
      <c r="A21" t="s">
        <v>76</v>
      </c>
      <c r="B21">
        <f>B16+100</f>
        <v>361</v>
      </c>
      <c r="C21">
        <f t="shared" ref="C21:E21" si="12">C16+100</f>
        <v>4598</v>
      </c>
      <c r="D21">
        <f t="shared" si="12"/>
        <v>7199</v>
      </c>
      <c r="E21">
        <f t="shared" si="12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10"/>
        <v>354</v>
      </c>
      <c r="T21" s="16">
        <v>0</v>
      </c>
      <c r="U21" s="16">
        <v>0</v>
      </c>
      <c r="V21" s="16">
        <v>0</v>
      </c>
    </row>
    <row r="22" spans="1:22" x14ac:dyDescent="0.25">
      <c r="A22" t="s">
        <v>74</v>
      </c>
      <c r="B22" s="5">
        <f>B17</f>
        <v>-7.1999999999999995E-2</v>
      </c>
      <c r="C22" s="5">
        <f t="shared" ref="C22:E22" si="13">C17</f>
        <v>-7.8E-2</v>
      </c>
      <c r="D22" s="5">
        <f t="shared" si="13"/>
        <v>-0.45</v>
      </c>
      <c r="E22" s="5">
        <f t="shared" si="13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22" x14ac:dyDescent="0.25">
      <c r="A23" t="s">
        <v>73</v>
      </c>
      <c r="B23">
        <f>B20*(B21^B22)</f>
        <v>2018.3102007173761</v>
      </c>
      <c r="C23">
        <f t="shared" ref="C23:E23" si="14">C20*(C21^C22)</f>
        <v>4981.4489427856479</v>
      </c>
      <c r="D23">
        <f t="shared" si="14"/>
        <v>2080.8603191100246</v>
      </c>
      <c r="E23">
        <f t="shared" si="14"/>
        <v>3512.6225095265308</v>
      </c>
      <c r="H23" s="19" t="s">
        <v>90</v>
      </c>
      <c r="I23" s="19"/>
      <c r="J23" s="19"/>
      <c r="K23" s="19"/>
      <c r="L23" s="19"/>
      <c r="M23" s="19"/>
      <c r="N23" s="19"/>
      <c r="P23" s="19" t="s">
        <v>90</v>
      </c>
      <c r="Q23" s="19"/>
      <c r="R23" s="19"/>
      <c r="S23" s="19"/>
      <c r="T23" s="19"/>
      <c r="U23" s="19"/>
      <c r="V23" s="19"/>
    </row>
    <row r="24" spans="1:22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</row>
    <row r="25" spans="1:22" x14ac:dyDescent="0.25">
      <c r="H25" s="14">
        <v>2025</v>
      </c>
      <c r="I25" s="10">
        <f t="shared" ref="I25:N25" si="15">I4+I16*5</f>
        <v>2219</v>
      </c>
      <c r="J25" s="10">
        <f t="shared" si="15"/>
        <v>1719</v>
      </c>
      <c r="K25" s="10">
        <f t="shared" si="15"/>
        <v>2219</v>
      </c>
      <c r="L25" s="10">
        <f t="shared" si="15"/>
        <v>4719</v>
      </c>
      <c r="M25" s="10">
        <f t="shared" si="15"/>
        <v>2219</v>
      </c>
      <c r="N25" s="10">
        <f t="shared" si="15"/>
        <v>3719</v>
      </c>
      <c r="P25" s="14">
        <v>2025</v>
      </c>
      <c r="Q25" s="10">
        <f t="shared" ref="Q25:V25" si="16">Q4+Q16*5</f>
        <v>1719</v>
      </c>
      <c r="R25" s="10">
        <f t="shared" si="16"/>
        <v>2309</v>
      </c>
      <c r="S25" s="10">
        <f t="shared" si="16"/>
        <v>3489</v>
      </c>
      <c r="T25" s="10">
        <f t="shared" si="16"/>
        <v>5219</v>
      </c>
      <c r="U25" s="10">
        <f t="shared" si="16"/>
        <v>5219</v>
      </c>
      <c r="V25" s="10">
        <f t="shared" si="16"/>
        <v>1719</v>
      </c>
    </row>
    <row r="26" spans="1:22" x14ac:dyDescent="0.25">
      <c r="H26" s="14">
        <v>2030</v>
      </c>
      <c r="I26" s="10">
        <f t="shared" ref="I26:N26" si="17">I25+I17*5</f>
        <v>2219</v>
      </c>
      <c r="J26" s="10">
        <f t="shared" si="17"/>
        <v>3219</v>
      </c>
      <c r="K26" s="10">
        <f t="shared" si="17"/>
        <v>3219</v>
      </c>
      <c r="L26" s="10">
        <f t="shared" si="17"/>
        <v>7219</v>
      </c>
      <c r="M26" s="10">
        <f t="shared" si="17"/>
        <v>2719</v>
      </c>
      <c r="N26" s="10">
        <f t="shared" si="17"/>
        <v>5719</v>
      </c>
      <c r="P26" s="14">
        <v>2030</v>
      </c>
      <c r="Q26" s="10">
        <f t="shared" ref="Q26:V26" si="18">Q25+Q17*5</f>
        <v>4719</v>
      </c>
      <c r="R26" s="10">
        <f t="shared" si="18"/>
        <v>2899</v>
      </c>
      <c r="S26" s="10">
        <f t="shared" si="18"/>
        <v>5259</v>
      </c>
      <c r="T26" s="10">
        <f t="shared" si="18"/>
        <v>5219</v>
      </c>
      <c r="U26" s="10">
        <f t="shared" si="18"/>
        <v>5219</v>
      </c>
      <c r="V26" s="10">
        <f t="shared" si="18"/>
        <v>10719</v>
      </c>
    </row>
    <row r="27" spans="1:22" x14ac:dyDescent="0.25">
      <c r="H27" s="14">
        <v>2035</v>
      </c>
      <c r="I27" s="10">
        <f t="shared" ref="I27:N30" si="19">I26+I18*5</f>
        <v>2219</v>
      </c>
      <c r="J27" s="10">
        <f t="shared" si="19"/>
        <v>4719</v>
      </c>
      <c r="K27" s="10">
        <f t="shared" si="19"/>
        <v>4719</v>
      </c>
      <c r="L27" s="10">
        <f t="shared" si="19"/>
        <v>9219</v>
      </c>
      <c r="M27" s="10">
        <f t="shared" si="19"/>
        <v>3219</v>
      </c>
      <c r="N27" s="10">
        <f t="shared" si="19"/>
        <v>7719</v>
      </c>
      <c r="P27" s="14">
        <v>2035</v>
      </c>
      <c r="Q27" s="10">
        <f t="shared" ref="Q27:V30" si="20">Q26+Q18*5</f>
        <v>7719</v>
      </c>
      <c r="R27" s="10">
        <f t="shared" si="20"/>
        <v>3489</v>
      </c>
      <c r="S27" s="10">
        <f t="shared" si="20"/>
        <v>7029</v>
      </c>
      <c r="T27" s="10">
        <f t="shared" si="20"/>
        <v>5219</v>
      </c>
      <c r="U27" s="10">
        <f t="shared" si="20"/>
        <v>5219</v>
      </c>
      <c r="V27" s="10">
        <f t="shared" si="20"/>
        <v>19719</v>
      </c>
    </row>
    <row r="28" spans="1:22" x14ac:dyDescent="0.25">
      <c r="H28" s="14">
        <v>2040</v>
      </c>
      <c r="I28" s="10">
        <f t="shared" si="19"/>
        <v>2219</v>
      </c>
      <c r="J28" s="10">
        <f t="shared" si="19"/>
        <v>4719</v>
      </c>
      <c r="K28" s="10">
        <f t="shared" si="19"/>
        <v>6719</v>
      </c>
      <c r="L28" s="10">
        <f t="shared" si="19"/>
        <v>10719</v>
      </c>
      <c r="M28" s="10">
        <f t="shared" si="19"/>
        <v>3719</v>
      </c>
      <c r="N28" s="10">
        <f t="shared" si="19"/>
        <v>9719</v>
      </c>
      <c r="P28" s="14">
        <v>2040</v>
      </c>
      <c r="Q28" s="10">
        <f t="shared" si="20"/>
        <v>7719</v>
      </c>
      <c r="R28" s="10">
        <f t="shared" si="20"/>
        <v>4079</v>
      </c>
      <c r="S28" s="10">
        <f t="shared" si="20"/>
        <v>8799</v>
      </c>
      <c r="T28" s="10">
        <f t="shared" si="20"/>
        <v>5219</v>
      </c>
      <c r="U28" s="10">
        <f t="shared" si="20"/>
        <v>5219</v>
      </c>
      <c r="V28" s="10">
        <f t="shared" si="20"/>
        <v>19719</v>
      </c>
    </row>
    <row r="29" spans="1:22" x14ac:dyDescent="0.25">
      <c r="H29" s="14">
        <v>2045</v>
      </c>
      <c r="I29" s="10">
        <f t="shared" si="19"/>
        <v>2219</v>
      </c>
      <c r="J29" s="10">
        <f t="shared" si="19"/>
        <v>4719</v>
      </c>
      <c r="K29" s="10">
        <f t="shared" si="19"/>
        <v>9219</v>
      </c>
      <c r="L29" s="10">
        <f t="shared" si="19"/>
        <v>11719</v>
      </c>
      <c r="M29" s="10">
        <f t="shared" si="19"/>
        <v>4219</v>
      </c>
      <c r="N29" s="10">
        <f t="shared" si="19"/>
        <v>11719</v>
      </c>
      <c r="P29" s="14">
        <v>2045</v>
      </c>
      <c r="Q29" s="10">
        <f t="shared" si="20"/>
        <v>7719</v>
      </c>
      <c r="R29" s="10">
        <f t="shared" si="20"/>
        <v>4669</v>
      </c>
      <c r="S29" s="10">
        <f t="shared" si="20"/>
        <v>10569</v>
      </c>
      <c r="T29" s="10">
        <f t="shared" si="20"/>
        <v>5219</v>
      </c>
      <c r="U29" s="10">
        <f t="shared" si="20"/>
        <v>5219</v>
      </c>
      <c r="V29" s="10">
        <f t="shared" si="20"/>
        <v>19719</v>
      </c>
    </row>
    <row r="30" spans="1:22" x14ac:dyDescent="0.25">
      <c r="H30" s="14">
        <v>2050</v>
      </c>
      <c r="I30" s="10">
        <f t="shared" si="19"/>
        <v>2219</v>
      </c>
      <c r="J30" s="10">
        <f t="shared" si="19"/>
        <v>4719</v>
      </c>
      <c r="K30" s="10">
        <f t="shared" si="19"/>
        <v>12219</v>
      </c>
      <c r="L30" s="10">
        <f t="shared" si="19"/>
        <v>12219</v>
      </c>
      <c r="M30" s="10">
        <f t="shared" si="19"/>
        <v>4719</v>
      </c>
      <c r="N30" s="10">
        <f t="shared" si="19"/>
        <v>13719</v>
      </c>
      <c r="P30" s="14">
        <v>2050</v>
      </c>
      <c r="Q30" s="10">
        <f t="shared" si="20"/>
        <v>7719</v>
      </c>
      <c r="R30" s="10">
        <f t="shared" si="20"/>
        <v>5259</v>
      </c>
      <c r="S30" s="10">
        <f t="shared" si="20"/>
        <v>12339</v>
      </c>
      <c r="T30" s="10">
        <f t="shared" si="20"/>
        <v>5219</v>
      </c>
      <c r="U30" s="10">
        <f t="shared" si="20"/>
        <v>5219</v>
      </c>
      <c r="V30" s="10">
        <f t="shared" si="20"/>
        <v>19719</v>
      </c>
    </row>
    <row r="31" spans="1:22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22" x14ac:dyDescent="0.25">
      <c r="H32" s="18" t="s">
        <v>91</v>
      </c>
      <c r="I32" s="18"/>
      <c r="J32" s="18"/>
      <c r="K32" s="18"/>
      <c r="L32" s="18"/>
      <c r="M32" s="18"/>
      <c r="N32" s="18"/>
      <c r="P32" s="18" t="s">
        <v>91</v>
      </c>
      <c r="Q32" s="18"/>
      <c r="R32" s="18"/>
      <c r="S32" s="18"/>
      <c r="T32" s="18"/>
      <c r="U32" s="18"/>
      <c r="V32" s="18"/>
    </row>
    <row r="33" spans="8:22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</row>
    <row r="34" spans="8:22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</row>
    <row r="35" spans="8:22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V39" si="21">$N35</f>
        <v>296.81654796345282</v>
      </c>
      <c r="R35" s="10">
        <f t="shared" si="21"/>
        <v>296.81654796345282</v>
      </c>
      <c r="S35" s="10">
        <f t="shared" si="21"/>
        <v>296.81654796345282</v>
      </c>
      <c r="T35" s="10">
        <f t="shared" ref="T35:T39" si="22">J35</f>
        <v>380.16957864810638</v>
      </c>
      <c r="U35" s="10">
        <f t="shared" ref="U35:U39" si="23">K35</f>
        <v>178.15121510639958</v>
      </c>
      <c r="V35" s="10">
        <f t="shared" si="21"/>
        <v>296.81654796345282</v>
      </c>
    </row>
    <row r="36" spans="8:22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21"/>
        <v>220.8089461332641</v>
      </c>
      <c r="R36" s="10">
        <f t="shared" si="21"/>
        <v>220.8089461332641</v>
      </c>
      <c r="S36" s="10">
        <f t="shared" si="21"/>
        <v>220.8089461332641</v>
      </c>
      <c r="T36" s="10">
        <f t="shared" si="22"/>
        <v>324.05584872080431</v>
      </c>
      <c r="U36" s="10">
        <f t="shared" si="23"/>
        <v>151.85576767409884</v>
      </c>
      <c r="V36" s="10">
        <f t="shared" si="21"/>
        <v>220.8089461332641</v>
      </c>
    </row>
    <row r="37" spans="8:22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21"/>
        <v>202.50547416626196</v>
      </c>
      <c r="R37" s="10">
        <f t="shared" si="21"/>
        <v>202.50547416626196</v>
      </c>
      <c r="S37" s="10">
        <f t="shared" si="21"/>
        <v>202.50547416626196</v>
      </c>
      <c r="T37" s="10">
        <f t="shared" si="22"/>
        <v>276.22460866960239</v>
      </c>
      <c r="U37" s="10">
        <f t="shared" si="23"/>
        <v>129.4415767084011</v>
      </c>
      <c r="V37" s="10">
        <f t="shared" si="21"/>
        <v>202.50547416626196</v>
      </c>
    </row>
    <row r="38" spans="8:22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21"/>
        <v>184.65112037257458</v>
      </c>
      <c r="R38" s="10">
        <f t="shared" si="21"/>
        <v>184.65112037257458</v>
      </c>
      <c r="S38" s="10">
        <f t="shared" si="21"/>
        <v>184.65112037257458</v>
      </c>
      <c r="T38" s="10">
        <f t="shared" si="22"/>
        <v>235.45334773578654</v>
      </c>
      <c r="U38" s="10">
        <f t="shared" si="23"/>
        <v>110.33576160712865</v>
      </c>
      <c r="V38" s="10">
        <f t="shared" si="21"/>
        <v>184.65112037257458</v>
      </c>
    </row>
    <row r="39" spans="8:22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21"/>
        <v>172.93379856211703</v>
      </c>
      <c r="R39" s="10">
        <f t="shared" si="21"/>
        <v>172.93379856211703</v>
      </c>
      <c r="S39" s="10">
        <f t="shared" si="21"/>
        <v>172.93379856211703</v>
      </c>
      <c r="T39" s="10">
        <f t="shared" si="22"/>
        <v>200.70000000000002</v>
      </c>
      <c r="U39" s="10">
        <f t="shared" si="23"/>
        <v>94.05</v>
      </c>
      <c r="V39" s="10">
        <f t="shared" si="21"/>
        <v>172.93379856211703</v>
      </c>
    </row>
    <row r="40" spans="8:22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22" x14ac:dyDescent="0.25">
      <c r="H41" s="18" t="s">
        <v>92</v>
      </c>
      <c r="I41" s="18"/>
      <c r="J41" s="18"/>
      <c r="K41" s="18"/>
      <c r="L41" s="18"/>
      <c r="M41" s="18"/>
      <c r="N41" s="18"/>
      <c r="P41" s="18" t="s">
        <v>92</v>
      </c>
      <c r="Q41" s="18"/>
      <c r="R41" s="18"/>
      <c r="S41" s="18"/>
      <c r="T41" s="18"/>
      <c r="U41" s="18"/>
      <c r="V41" s="18"/>
    </row>
    <row r="42" spans="8:22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</row>
    <row r="43" spans="8:22" x14ac:dyDescent="0.25">
      <c r="H43" s="14">
        <v>2025</v>
      </c>
      <c r="I43" s="10">
        <f t="shared" ref="I43:N48" si="24">I7*I25^I$3</f>
        <v>227.65791780169334</v>
      </c>
      <c r="J43" s="10">
        <f t="shared" si="24"/>
        <v>446</v>
      </c>
      <c r="K43" s="10">
        <f t="shared" si="24"/>
        <v>205.08838284721514</v>
      </c>
      <c r="L43" s="10">
        <f t="shared" si="24"/>
        <v>250.54068948498627</v>
      </c>
      <c r="M43" s="10">
        <f t="shared" si="24"/>
        <v>137.37977798378049</v>
      </c>
      <c r="N43" s="10">
        <f t="shared" si="24"/>
        <v>340.49470546798307</v>
      </c>
      <c r="P43" s="14">
        <v>2025</v>
      </c>
      <c r="Q43" s="10">
        <f t="shared" ref="Q43:V48" si="25">Q7*Q25^Q$3</f>
        <v>360.50516023732143</v>
      </c>
      <c r="R43" s="10">
        <f t="shared" si="25"/>
        <v>352.71873592109205</v>
      </c>
      <c r="S43" s="10">
        <f t="shared" si="25"/>
        <v>342.107053662032</v>
      </c>
      <c r="T43" s="10">
        <f t="shared" si="25"/>
        <v>410.81265512816464</v>
      </c>
      <c r="U43" s="10">
        <f t="shared" si="25"/>
        <v>192.51086305333277</v>
      </c>
      <c r="V43" s="10">
        <f t="shared" si="25"/>
        <v>360.50516023732143</v>
      </c>
    </row>
    <row r="44" spans="8:22" x14ac:dyDescent="0.25">
      <c r="H44" s="14">
        <v>2030</v>
      </c>
      <c r="I44" s="10">
        <f t="shared" si="24"/>
        <v>208.03223523258188</v>
      </c>
      <c r="J44" s="10">
        <f t="shared" si="24"/>
        <v>362.92461439647064</v>
      </c>
      <c r="K44" s="10">
        <f t="shared" si="24"/>
        <v>170.07005472839089</v>
      </c>
      <c r="L44" s="10">
        <f t="shared" si="24"/>
        <v>187.00427351359522</v>
      </c>
      <c r="M44" s="10">
        <f t="shared" si="24"/>
        <v>121.89395837797517</v>
      </c>
      <c r="N44" s="10">
        <f t="shared" si="24"/>
        <v>271.5543959414494</v>
      </c>
      <c r="P44" s="14">
        <v>2030</v>
      </c>
      <c r="Q44" s="10">
        <f t="shared" si="25"/>
        <v>275.44419650170983</v>
      </c>
      <c r="R44" s="10">
        <f t="shared" si="25"/>
        <v>285.55657003285313</v>
      </c>
      <c r="S44" s="10">
        <f t="shared" si="25"/>
        <v>273.24466425259618</v>
      </c>
      <c r="T44" s="10">
        <f t="shared" si="25"/>
        <v>350.17595068023365</v>
      </c>
      <c r="U44" s="10">
        <f t="shared" si="25"/>
        <v>164.09590513939193</v>
      </c>
      <c r="V44" s="10">
        <f t="shared" si="25"/>
        <v>259.2191658004752</v>
      </c>
    </row>
    <row r="45" spans="8:22" x14ac:dyDescent="0.25">
      <c r="H45" s="14">
        <v>2035</v>
      </c>
      <c r="I45" s="10">
        <f t="shared" si="24"/>
        <v>190.09842185046273</v>
      </c>
      <c r="J45" s="10">
        <f t="shared" si="24"/>
        <v>300.72212444021858</v>
      </c>
      <c r="K45" s="10">
        <f t="shared" si="24"/>
        <v>140.92135427803959</v>
      </c>
      <c r="L45" s="10">
        <f t="shared" si="24"/>
        <v>141.45812458337952</v>
      </c>
      <c r="M45" s="10">
        <f t="shared" si="24"/>
        <v>108.4294165703549</v>
      </c>
      <c r="N45" s="10">
        <f t="shared" si="24"/>
        <v>197.58208444082797</v>
      </c>
      <c r="P45" s="14">
        <v>2035</v>
      </c>
      <c r="Q45" s="10">
        <f t="shared" si="25"/>
        <v>197.58208444082797</v>
      </c>
      <c r="R45" s="10">
        <f t="shared" si="25"/>
        <v>209.54012956192068</v>
      </c>
      <c r="S45" s="10">
        <f t="shared" si="25"/>
        <v>198.9559618656977</v>
      </c>
      <c r="T45" s="10">
        <f t="shared" si="25"/>
        <v>298.48933547714006</v>
      </c>
      <c r="U45" s="10">
        <f t="shared" si="25"/>
        <v>139.8750473424266</v>
      </c>
      <c r="V45" s="10">
        <f t="shared" si="25"/>
        <v>184.33406406551856</v>
      </c>
    </row>
    <row r="46" spans="8:22" x14ac:dyDescent="0.25">
      <c r="H46" s="14">
        <v>2040</v>
      </c>
      <c r="I46" s="10">
        <f t="shared" si="24"/>
        <v>173.71062686335384</v>
      </c>
      <c r="J46" s="10">
        <f t="shared" si="24"/>
        <v>256.33498506412843</v>
      </c>
      <c r="K46" s="10">
        <f t="shared" si="24"/>
        <v>117.02096248366335</v>
      </c>
      <c r="L46" s="10">
        <f t="shared" si="24"/>
        <v>107.75036454241936</v>
      </c>
      <c r="M46" s="10">
        <f t="shared" si="24"/>
        <v>96.62665541899338</v>
      </c>
      <c r="N46" s="10">
        <f t="shared" si="24"/>
        <v>178.14071267621432</v>
      </c>
      <c r="P46" s="14">
        <v>2040</v>
      </c>
      <c r="Q46" s="10">
        <f t="shared" si="25"/>
        <v>181.20395209123592</v>
      </c>
      <c r="R46" s="10">
        <f t="shared" si="25"/>
        <v>189.9617703421664</v>
      </c>
      <c r="S46" s="10">
        <f t="shared" si="25"/>
        <v>179.45646847078069</v>
      </c>
      <c r="T46" s="10">
        <f t="shared" si="25"/>
        <v>254.43175986389599</v>
      </c>
      <c r="U46" s="10">
        <f t="shared" si="25"/>
        <v>119.22923276133241</v>
      </c>
      <c r="V46" s="10">
        <f t="shared" si="25"/>
        <v>169.05409722871059</v>
      </c>
    </row>
    <row r="47" spans="8:22" x14ac:dyDescent="0.25">
      <c r="H47" s="14">
        <v>2045</v>
      </c>
      <c r="I47" s="10">
        <f t="shared" si="24"/>
        <v>158.73557282340954</v>
      </c>
      <c r="J47" s="10">
        <f t="shared" si="24"/>
        <v>218.49946920313531</v>
      </c>
      <c r="K47" s="10">
        <f t="shared" si="24"/>
        <v>97.440635941140712</v>
      </c>
      <c r="L47" s="10">
        <f t="shared" si="24"/>
        <v>82.449481539281351</v>
      </c>
      <c r="M47" s="10">
        <f t="shared" si="24"/>
        <v>86.224957908187065</v>
      </c>
      <c r="N47" s="10">
        <f t="shared" si="24"/>
        <v>160.20071900840423</v>
      </c>
      <c r="P47" s="14">
        <v>2045</v>
      </c>
      <c r="Q47" s="10">
        <f t="shared" si="25"/>
        <v>165.2276952380752</v>
      </c>
      <c r="R47" s="10">
        <f t="shared" si="25"/>
        <v>171.49039287198505</v>
      </c>
      <c r="S47" s="10">
        <f t="shared" si="25"/>
        <v>161.42985382479438</v>
      </c>
      <c r="T47" s="10">
        <f t="shared" si="25"/>
        <v>216.87716354742938</v>
      </c>
      <c r="U47" s="10">
        <f t="shared" si="25"/>
        <v>101.63077843366084</v>
      </c>
      <c r="V47" s="10">
        <f t="shared" si="25"/>
        <v>154.14905984826089</v>
      </c>
    </row>
    <row r="48" spans="8:22" x14ac:dyDescent="0.25">
      <c r="H48" s="14">
        <v>2050</v>
      </c>
      <c r="I48" s="10">
        <f t="shared" si="24"/>
        <v>145.05147171794317</v>
      </c>
      <c r="J48" s="10">
        <f t="shared" si="24"/>
        <v>186.24854516096593</v>
      </c>
      <c r="K48" s="10">
        <f t="shared" si="24"/>
        <v>81.344571464021328</v>
      </c>
      <c r="L48" s="10">
        <f t="shared" si="24"/>
        <v>63.311245413783745</v>
      </c>
      <c r="M48" s="10">
        <f t="shared" si="24"/>
        <v>77.023563768610728</v>
      </c>
      <c r="N48" s="10">
        <f t="shared" si="24"/>
        <v>148.29565759240268</v>
      </c>
      <c r="P48" s="14">
        <v>2050</v>
      </c>
      <c r="Q48" s="10">
        <f t="shared" si="25"/>
        <v>154.74291684518829</v>
      </c>
      <c r="R48" s="10">
        <f t="shared" si="25"/>
        <v>159.200145848506</v>
      </c>
      <c r="S48" s="10">
        <f t="shared" si="25"/>
        <v>149.46364819523117</v>
      </c>
      <c r="T48" s="10">
        <f t="shared" si="25"/>
        <v>184.86569480767412</v>
      </c>
      <c r="U48" s="10">
        <f t="shared" si="25"/>
        <v>86.629888373999734</v>
      </c>
      <c r="V48" s="10">
        <f t="shared" si="25"/>
        <v>144.36729336140115</v>
      </c>
    </row>
    <row r="49" spans="8:22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22" x14ac:dyDescent="0.25">
      <c r="H50" s="18" t="s">
        <v>93</v>
      </c>
      <c r="I50" s="18"/>
      <c r="J50" s="18"/>
      <c r="K50" s="18"/>
      <c r="L50" s="18"/>
      <c r="M50" s="18"/>
      <c r="N50" s="18"/>
      <c r="P50" s="18" t="s">
        <v>93</v>
      </c>
      <c r="Q50" s="18"/>
      <c r="R50" s="18"/>
      <c r="S50" s="18"/>
      <c r="T50" s="18"/>
      <c r="U50" s="18"/>
      <c r="V50" s="18"/>
    </row>
    <row r="51" spans="8:22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</row>
    <row r="52" spans="8:22" x14ac:dyDescent="0.25">
      <c r="H52" s="14">
        <v>2025</v>
      </c>
      <c r="I52" s="10">
        <f>I34-I43</f>
        <v>4.342082198306656</v>
      </c>
      <c r="J52" s="10">
        <f t="shared" ref="J52:N52" si="26">J34-J43</f>
        <v>0</v>
      </c>
      <c r="K52" s="10">
        <f t="shared" si="26"/>
        <v>3.9116171527848564</v>
      </c>
      <c r="L52" s="10">
        <f t="shared" si="26"/>
        <v>19.440030827105545</v>
      </c>
      <c r="M52" s="10">
        <f t="shared" si="26"/>
        <v>2.6202220162195147</v>
      </c>
      <c r="N52" s="10">
        <f t="shared" si="26"/>
        <v>20.010454769338367</v>
      </c>
      <c r="P52" s="14">
        <v>2025</v>
      </c>
      <c r="Q52" s="10">
        <f>Q34-Q43</f>
        <v>0</v>
      </c>
      <c r="R52" s="10">
        <f t="shared" ref="R52:V52" si="27">R34-R43</f>
        <v>7.786424316229386</v>
      </c>
      <c r="S52" s="10">
        <f t="shared" si="27"/>
        <v>18.398106575289432</v>
      </c>
      <c r="T52" s="10">
        <f t="shared" si="27"/>
        <v>35.187344871835364</v>
      </c>
      <c r="U52" s="10">
        <f t="shared" si="27"/>
        <v>16.48913694666723</v>
      </c>
      <c r="V52" s="10">
        <f t="shared" si="27"/>
        <v>0</v>
      </c>
    </row>
    <row r="53" spans="8:22" x14ac:dyDescent="0.25">
      <c r="H53" s="14">
        <v>2030</v>
      </c>
      <c r="I53" s="10">
        <f t="shared" ref="I53:N57" si="28">I35-I44</f>
        <v>3.9677647674181173</v>
      </c>
      <c r="J53" s="10">
        <f t="shared" si="28"/>
        <v>17.244964251635736</v>
      </c>
      <c r="K53" s="10">
        <f t="shared" si="28"/>
        <v>8.0811603780086898</v>
      </c>
      <c r="L53" s="10">
        <f t="shared" si="28"/>
        <v>20.950271940950188</v>
      </c>
      <c r="M53" s="10">
        <f t="shared" si="28"/>
        <v>4.2069012077841847</v>
      </c>
      <c r="N53" s="10">
        <f t="shared" si="28"/>
        <v>25.26215202200342</v>
      </c>
      <c r="P53" s="14">
        <v>2030</v>
      </c>
      <c r="Q53" s="10">
        <f t="shared" ref="Q53:V53" si="29">Q35-Q44</f>
        <v>21.372351461742994</v>
      </c>
      <c r="R53" s="10">
        <f t="shared" si="29"/>
        <v>11.259977930599689</v>
      </c>
      <c r="S53" s="10">
        <f t="shared" si="29"/>
        <v>23.571883710856639</v>
      </c>
      <c r="T53" s="10">
        <f t="shared" si="29"/>
        <v>29.993627967872726</v>
      </c>
      <c r="U53" s="10">
        <f t="shared" si="29"/>
        <v>14.055309967007645</v>
      </c>
      <c r="V53" s="10">
        <f t="shared" si="29"/>
        <v>37.597382162977624</v>
      </c>
    </row>
    <row r="54" spans="8:22" x14ac:dyDescent="0.25">
      <c r="H54" s="14">
        <v>2035</v>
      </c>
      <c r="I54" s="10">
        <f t="shared" si="28"/>
        <v>3.6257160805717206</v>
      </c>
      <c r="J54" s="10">
        <f t="shared" si="28"/>
        <v>23.333724280585727</v>
      </c>
      <c r="K54" s="10">
        <f t="shared" si="28"/>
        <v>10.934413396059256</v>
      </c>
      <c r="L54" s="10">
        <f t="shared" si="28"/>
        <v>18.72032417850312</v>
      </c>
      <c r="M54" s="10">
        <f t="shared" si="28"/>
        <v>5.1522033458408316</v>
      </c>
      <c r="N54" s="10">
        <f t="shared" si="28"/>
        <v>23.226861692436131</v>
      </c>
      <c r="P54" s="14">
        <v>2035</v>
      </c>
      <c r="Q54" s="10">
        <f t="shared" ref="Q54:V54" si="30">Q36-Q45</f>
        <v>23.226861692436131</v>
      </c>
      <c r="R54" s="10">
        <f t="shared" si="30"/>
        <v>11.268816571343422</v>
      </c>
      <c r="S54" s="10">
        <f t="shared" si="30"/>
        <v>21.852984267566399</v>
      </c>
      <c r="T54" s="10">
        <f t="shared" si="30"/>
        <v>25.566513243664247</v>
      </c>
      <c r="U54" s="10">
        <f t="shared" si="30"/>
        <v>11.980720331672245</v>
      </c>
      <c r="V54" s="10">
        <f t="shared" si="30"/>
        <v>36.47488206774554</v>
      </c>
    </row>
    <row r="55" spans="8:22" x14ac:dyDescent="0.25">
      <c r="H55" s="14">
        <v>2040</v>
      </c>
      <c r="I55" s="10">
        <f t="shared" si="28"/>
        <v>3.3131543494879736</v>
      </c>
      <c r="J55" s="10">
        <f t="shared" si="28"/>
        <v>19.889623605473957</v>
      </c>
      <c r="K55" s="10">
        <f t="shared" si="28"/>
        <v>12.420614224737747</v>
      </c>
      <c r="L55" s="10">
        <f t="shared" si="28"/>
        <v>15.62821028835387</v>
      </c>
      <c r="M55" s="10">
        <f t="shared" si="28"/>
        <v>5.6786296136872636</v>
      </c>
      <c r="N55" s="10">
        <f t="shared" si="28"/>
        <v>24.364761490047641</v>
      </c>
      <c r="P55" s="14">
        <v>2040</v>
      </c>
      <c r="Q55" s="10">
        <f t="shared" ref="Q55:V55" si="31">Q37-Q46</f>
        <v>21.301522075026043</v>
      </c>
      <c r="R55" s="10">
        <f t="shared" si="31"/>
        <v>12.543703824095559</v>
      </c>
      <c r="S55" s="10">
        <f t="shared" si="31"/>
        <v>23.04900569548127</v>
      </c>
      <c r="T55" s="10">
        <f t="shared" si="31"/>
        <v>21.792848805706399</v>
      </c>
      <c r="U55" s="10">
        <f t="shared" si="31"/>
        <v>10.212343947068689</v>
      </c>
      <c r="V55" s="10">
        <f t="shared" si="31"/>
        <v>33.451376937551373</v>
      </c>
    </row>
    <row r="56" spans="8:22" x14ac:dyDescent="0.25">
      <c r="H56" s="14">
        <v>2045</v>
      </c>
      <c r="I56" s="10">
        <f t="shared" si="28"/>
        <v>3.0275375952217587</v>
      </c>
      <c r="J56" s="10">
        <f t="shared" si="28"/>
        <v>16.953878532651231</v>
      </c>
      <c r="K56" s="10">
        <f t="shared" si="28"/>
        <v>12.895125665987933</v>
      </c>
      <c r="L56" s="10">
        <f t="shared" si="28"/>
        <v>12.583732010574977</v>
      </c>
      <c r="M56" s="10">
        <f t="shared" si="28"/>
        <v>5.9235019688640449</v>
      </c>
      <c r="N56" s="10">
        <f t="shared" si="28"/>
        <v>24.450401364170347</v>
      </c>
      <c r="P56" s="14">
        <v>2045</v>
      </c>
      <c r="Q56" s="10">
        <f t="shared" ref="Q56:V56" si="32">Q38-Q47</f>
        <v>19.423425134499382</v>
      </c>
      <c r="R56" s="10">
        <f t="shared" si="32"/>
        <v>13.16072750058953</v>
      </c>
      <c r="S56" s="10">
        <f t="shared" si="32"/>
        <v>23.221266547780203</v>
      </c>
      <c r="T56" s="10">
        <f t="shared" si="32"/>
        <v>18.576184188357161</v>
      </c>
      <c r="U56" s="10">
        <f t="shared" si="32"/>
        <v>8.7049831734678094</v>
      </c>
      <c r="V56" s="10">
        <f t="shared" si="32"/>
        <v>30.502060524313691</v>
      </c>
    </row>
    <row r="57" spans="8:22" x14ac:dyDescent="0.25">
      <c r="H57" s="14">
        <v>2050</v>
      </c>
      <c r="I57" s="10">
        <f t="shared" si="28"/>
        <v>2.7665429749440307</v>
      </c>
      <c r="J57" s="10">
        <f t="shared" si="28"/>
        <v>14.451454839034085</v>
      </c>
      <c r="K57" s="10">
        <f t="shared" si="28"/>
        <v>12.705428535978669</v>
      </c>
      <c r="L57" s="10">
        <f t="shared" si="28"/>
        <v>9.888754586216244</v>
      </c>
      <c r="M57" s="10">
        <f t="shared" si="28"/>
        <v>5.9764362313892718</v>
      </c>
      <c r="N57" s="10">
        <f t="shared" si="28"/>
        <v>24.638140969714357</v>
      </c>
      <c r="P57" s="14">
        <v>2050</v>
      </c>
      <c r="Q57" s="10">
        <f t="shared" ref="Q57:V57" si="33">Q39-Q48</f>
        <v>18.190881716928743</v>
      </c>
      <c r="R57" s="10">
        <f t="shared" si="33"/>
        <v>13.733652713611036</v>
      </c>
      <c r="S57" s="10">
        <f t="shared" si="33"/>
        <v>23.470150366885861</v>
      </c>
      <c r="T57" s="10">
        <f t="shared" si="33"/>
        <v>15.8343051923259</v>
      </c>
      <c r="U57" s="10">
        <f t="shared" si="33"/>
        <v>7.4201116260002635</v>
      </c>
      <c r="V57" s="10">
        <f t="shared" si="33"/>
        <v>28.566505200715881</v>
      </c>
    </row>
    <row r="58" spans="8:22" x14ac:dyDescent="0.25">
      <c r="P58" s="13"/>
    </row>
    <row r="59" spans="8:22" x14ac:dyDescent="0.25">
      <c r="H59" s="18" t="s">
        <v>94</v>
      </c>
      <c r="I59" s="18"/>
      <c r="J59" s="18"/>
      <c r="K59" s="18"/>
      <c r="L59" s="18"/>
      <c r="M59" s="18"/>
      <c r="N59" s="18"/>
      <c r="P59" s="18" t="s">
        <v>94</v>
      </c>
      <c r="Q59" s="18"/>
      <c r="R59" s="18"/>
      <c r="S59" s="18"/>
      <c r="T59" s="18"/>
      <c r="U59" s="18"/>
      <c r="V59" s="18"/>
    </row>
    <row r="60" spans="8:22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</row>
    <row r="61" spans="8:22" x14ac:dyDescent="0.25">
      <c r="H61" s="14">
        <v>2025</v>
      </c>
      <c r="I61" s="15">
        <f>(1-(I52/I34))/I34</f>
        <v>4.2296729674809255E-3</v>
      </c>
      <c r="J61" s="15">
        <f t="shared" ref="J61:N61" si="34">(1-(J52/J34))/J34</f>
        <v>2.242152466367713E-3</v>
      </c>
      <c r="K61" s="15">
        <f t="shared" si="34"/>
        <v>4.6951393706008366E-3</v>
      </c>
      <c r="L61" s="15">
        <f t="shared" si="34"/>
        <v>3.4372630131788207E-3</v>
      </c>
      <c r="M61" s="15">
        <f t="shared" si="34"/>
        <v>7.0091723461112492E-3</v>
      </c>
      <c r="N61" s="15">
        <f t="shared" si="34"/>
        <v>2.6199161506589817E-3</v>
      </c>
      <c r="P61" s="14">
        <v>2025</v>
      </c>
      <c r="Q61" s="15">
        <f t="shared" ref="Q61:V66" si="35">Q52/Q34</f>
        <v>0</v>
      </c>
      <c r="R61" s="15">
        <f t="shared" si="35"/>
        <v>2.159864871588402E-2</v>
      </c>
      <c r="S61" s="15">
        <f t="shared" si="35"/>
        <v>5.1034239185863285E-2</v>
      </c>
      <c r="T61" s="15">
        <f t="shared" si="35"/>
        <v>7.8895392089316965E-2</v>
      </c>
      <c r="U61" s="15">
        <f t="shared" si="35"/>
        <v>7.8895392089316896E-2</v>
      </c>
      <c r="V61" s="15">
        <f t="shared" si="35"/>
        <v>0</v>
      </c>
    </row>
    <row r="62" spans="8:22" x14ac:dyDescent="0.25">
      <c r="H62" s="14">
        <v>2030</v>
      </c>
      <c r="I62" s="15">
        <f t="shared" ref="I62:N66" si="36">(1-(I53/I35))/I35</f>
        <v>4.6286987191300703E-3</v>
      </c>
      <c r="J62" s="15">
        <f t="shared" si="36"/>
        <v>2.5110866614096584E-3</v>
      </c>
      <c r="K62" s="15">
        <f t="shared" si="36"/>
        <v>5.358586846835922E-3</v>
      </c>
      <c r="L62" s="15">
        <f t="shared" si="36"/>
        <v>4.3242888533228281E-3</v>
      </c>
      <c r="M62" s="15">
        <f t="shared" si="36"/>
        <v>7.6655988170767544E-3</v>
      </c>
      <c r="N62" s="15">
        <f t="shared" si="36"/>
        <v>3.082340536972066E-3</v>
      </c>
      <c r="P62" s="14">
        <v>2030</v>
      </c>
      <c r="Q62" s="15">
        <f t="shared" si="35"/>
        <v>7.2005255799870646E-2</v>
      </c>
      <c r="R62" s="15">
        <f t="shared" si="35"/>
        <v>3.7935815937008122E-2</v>
      </c>
      <c r="S62" s="15">
        <f t="shared" si="35"/>
        <v>7.9415665577240849E-2</v>
      </c>
      <c r="T62" s="15">
        <f t="shared" si="35"/>
        <v>7.889539208931684E-2</v>
      </c>
      <c r="U62" s="15">
        <f t="shared" si="35"/>
        <v>7.8895392089316979E-2</v>
      </c>
      <c r="V62" s="15">
        <f t="shared" si="35"/>
        <v>0.12666875354809062</v>
      </c>
    </row>
    <row r="63" spans="8:22" x14ac:dyDescent="0.25">
      <c r="H63" s="14">
        <v>2035</v>
      </c>
      <c r="I63" s="15">
        <f t="shared" si="36"/>
        <v>5.0653684096140404E-3</v>
      </c>
      <c r="J63" s="15">
        <f t="shared" si="36"/>
        <v>2.8636876879813964E-3</v>
      </c>
      <c r="K63" s="15">
        <f t="shared" si="36"/>
        <v>6.1110273150225018E-3</v>
      </c>
      <c r="L63" s="15">
        <f t="shared" si="36"/>
        <v>5.5134028844093996E-3</v>
      </c>
      <c r="M63" s="15">
        <f t="shared" si="36"/>
        <v>8.4048700724761085E-3</v>
      </c>
      <c r="N63" s="15">
        <f t="shared" si="36"/>
        <v>4.0524179733364973E-3</v>
      </c>
      <c r="P63" s="14">
        <v>2035</v>
      </c>
      <c r="Q63" s="15">
        <f t="shared" si="35"/>
        <v>0.10518985801607014</v>
      </c>
      <c r="R63" s="15">
        <f t="shared" si="35"/>
        <v>5.1034239185863375E-2</v>
      </c>
      <c r="S63" s="15">
        <f t="shared" si="35"/>
        <v>9.8967839167066807E-2</v>
      </c>
      <c r="T63" s="15">
        <f t="shared" si="35"/>
        <v>7.8895392089316993E-2</v>
      </c>
      <c r="U63" s="15">
        <f t="shared" si="35"/>
        <v>7.889539208931691E-2</v>
      </c>
      <c r="V63" s="15">
        <f t="shared" si="35"/>
        <v>0.1651875193758317</v>
      </c>
    </row>
    <row r="64" spans="8:22" x14ac:dyDescent="0.25">
      <c r="H64" s="14">
        <v>2040</v>
      </c>
      <c r="I64" s="15">
        <f t="shared" si="36"/>
        <v>5.5432333539172512E-3</v>
      </c>
      <c r="J64" s="15">
        <f t="shared" si="36"/>
        <v>3.3595657847781462E-3</v>
      </c>
      <c r="K64" s="15">
        <f t="shared" si="36"/>
        <v>6.984190506932688E-3</v>
      </c>
      <c r="L64" s="15">
        <f t="shared" si="36"/>
        <v>7.078467616032813E-3</v>
      </c>
      <c r="M64" s="15">
        <f t="shared" si="36"/>
        <v>9.2321065465968011E-3</v>
      </c>
      <c r="N64" s="15">
        <f t="shared" si="36"/>
        <v>4.3439983353645469E-3</v>
      </c>
      <c r="P64" s="14">
        <v>2040</v>
      </c>
      <c r="Q64" s="15">
        <f t="shared" si="35"/>
        <v>0.10518985801607007</v>
      </c>
      <c r="R64" s="15">
        <f t="shared" si="35"/>
        <v>6.1942541927517823E-2</v>
      </c>
      <c r="S64" s="15">
        <f t="shared" si="35"/>
        <v>0.11381917348346579</v>
      </c>
      <c r="T64" s="15">
        <f t="shared" si="35"/>
        <v>7.8895392089316882E-2</v>
      </c>
      <c r="U64" s="15">
        <f t="shared" si="35"/>
        <v>7.8895392089316854E-2</v>
      </c>
      <c r="V64" s="15">
        <f t="shared" si="35"/>
        <v>0.16518751937583165</v>
      </c>
    </row>
    <row r="65" spans="8:22" x14ac:dyDescent="0.25">
      <c r="H65" s="14">
        <v>2045</v>
      </c>
      <c r="I65" s="15">
        <f t="shared" si="36"/>
        <v>6.0661798967396345E-3</v>
      </c>
      <c r="J65" s="15">
        <f t="shared" si="36"/>
        <v>3.9413104681844512E-3</v>
      </c>
      <c r="K65" s="15">
        <f t="shared" si="36"/>
        <v>8.0040080256891903E-3</v>
      </c>
      <c r="L65" s="15">
        <f t="shared" si="36"/>
        <v>9.129292010114377E-3</v>
      </c>
      <c r="M65" s="15">
        <f t="shared" si="36"/>
        <v>1.0154459901310238E-2</v>
      </c>
      <c r="N65" s="15">
        <f t="shared" si="36"/>
        <v>4.6985144493336935E-3</v>
      </c>
      <c r="P65" s="14">
        <v>2045</v>
      </c>
      <c r="Q65" s="15">
        <f t="shared" si="35"/>
        <v>0.10518985801607006</v>
      </c>
      <c r="R65" s="15">
        <f t="shared" si="35"/>
        <v>7.1273477648198635E-2</v>
      </c>
      <c r="S65" s="15">
        <f t="shared" si="35"/>
        <v>0.12575751774983088</v>
      </c>
      <c r="T65" s="15">
        <f t="shared" si="35"/>
        <v>7.8895392089316924E-2</v>
      </c>
      <c r="U65" s="15">
        <f t="shared" si="35"/>
        <v>7.8895392089316868E-2</v>
      </c>
      <c r="V65" s="15">
        <f t="shared" si="35"/>
        <v>0.16518751937583168</v>
      </c>
    </row>
    <row r="66" spans="8:22" x14ac:dyDescent="0.25">
      <c r="H66" s="14">
        <v>2050</v>
      </c>
      <c r="I66" s="15">
        <f t="shared" si="36"/>
        <v>6.6384610190735622E-3</v>
      </c>
      <c r="J66" s="15">
        <f t="shared" si="36"/>
        <v>4.62379045441021E-3</v>
      </c>
      <c r="K66" s="15">
        <f t="shared" si="36"/>
        <v>9.196254377799239E-3</v>
      </c>
      <c r="L66" s="15">
        <f t="shared" si="36"/>
        <v>1.1815679292787139E-2</v>
      </c>
      <c r="M66" s="15">
        <f t="shared" si="36"/>
        <v>1.1180659568676256E-2</v>
      </c>
      <c r="N66" s="15">
        <f t="shared" si="36"/>
        <v>4.9587095646873537E-3</v>
      </c>
      <c r="P66" s="14">
        <v>2050</v>
      </c>
      <c r="Q66" s="15">
        <f t="shared" si="35"/>
        <v>0.10518985801607002</v>
      </c>
      <c r="R66" s="15">
        <f t="shared" si="35"/>
        <v>7.9415665577240932E-2</v>
      </c>
      <c r="S66" s="15">
        <f t="shared" si="35"/>
        <v>0.13571754371922554</v>
      </c>
      <c r="T66" s="15">
        <f t="shared" si="35"/>
        <v>7.8895392089316882E-2</v>
      </c>
      <c r="U66" s="15">
        <f t="shared" si="35"/>
        <v>7.8895392089316993E-2</v>
      </c>
      <c r="V66" s="15">
        <f t="shared" si="35"/>
        <v>0.16518751937583168</v>
      </c>
    </row>
  </sheetData>
  <mergeCells count="14">
    <mergeCell ref="H14:N14"/>
    <mergeCell ref="H23:N23"/>
    <mergeCell ref="H5:N5"/>
    <mergeCell ref="P5:V5"/>
    <mergeCell ref="P14:V14"/>
    <mergeCell ref="P23:V23"/>
    <mergeCell ref="P32:V32"/>
    <mergeCell ref="P41:V41"/>
    <mergeCell ref="P59:V59"/>
    <mergeCell ref="H41:N41"/>
    <mergeCell ref="H50:N50"/>
    <mergeCell ref="H32:N32"/>
    <mergeCell ref="H59:N59"/>
    <mergeCell ref="P50:V50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V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V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0" t="s">
        <v>117</v>
      </c>
      <c r="M1" s="20"/>
      <c r="N1" s="20"/>
      <c r="O1" s="20"/>
      <c r="P1" s="20"/>
      <c r="Q1" s="20"/>
      <c r="R1" s="20"/>
      <c r="S1" s="20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0" t="s">
        <v>103</v>
      </c>
      <c r="M10" s="20"/>
      <c r="N10" s="20"/>
      <c r="O10" s="20"/>
      <c r="P10" s="20"/>
      <c r="Q10" s="20"/>
      <c r="R10" s="20"/>
      <c r="S10" s="20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0" t="s">
        <v>119</v>
      </c>
      <c r="M19" s="20"/>
      <c r="N19" s="20"/>
      <c r="O19" s="20"/>
      <c r="P19" s="20"/>
      <c r="Q19" s="20"/>
      <c r="R19" s="20"/>
      <c r="S19" s="20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0" t="s">
        <v>120</v>
      </c>
      <c r="M28" s="20"/>
      <c r="N28" s="20"/>
      <c r="O28" s="20"/>
      <c r="P28" s="20"/>
      <c r="Q28" s="20"/>
      <c r="R28" s="20"/>
      <c r="S28" s="20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0" t="s">
        <v>121</v>
      </c>
      <c r="M37" s="20"/>
      <c r="N37" s="20"/>
      <c r="O37" s="20"/>
      <c r="P37" s="20"/>
      <c r="Q37" s="20"/>
      <c r="R37" s="20"/>
      <c r="S37" s="20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0" t="s">
        <v>115</v>
      </c>
      <c r="M46" s="20"/>
      <c r="N46" s="20"/>
      <c r="O46" s="20"/>
      <c r="P46" s="20"/>
      <c r="Q46" s="20"/>
      <c r="R46" s="20"/>
      <c r="S46" s="20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workbookViewId="0">
      <selection activeCell="Q10" sqref="Q10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2025-11-25T19:48:25Z</dcterms:modified>
</cp:coreProperties>
</file>