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5D7AFFD7-FAB3-4BBA-A9A9-FC35FECD7EBA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Rates'!$AQ$1:$AS$1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5" l="1"/>
  <c r="X2" i="5"/>
  <c r="W4" i="5"/>
  <c r="W25" i="5" s="1"/>
  <c r="W26" i="5" s="1"/>
  <c r="W27" i="5" s="1"/>
  <c r="W28" i="5" s="1"/>
  <c r="W29" i="5" s="1"/>
  <c r="W30" i="5" s="1"/>
  <c r="W7" i="5"/>
  <c r="W8" i="5"/>
  <c r="W9" i="5"/>
  <c r="W10" i="5"/>
  <c r="W34" i="5"/>
  <c r="W35" i="5"/>
  <c r="W36" i="5"/>
  <c r="W37" i="5"/>
  <c r="W38" i="5"/>
  <c r="W11" i="5" s="1"/>
  <c r="W39" i="5"/>
  <c r="W12" i="5" s="1"/>
  <c r="X4" i="5"/>
  <c r="Y4" i="5"/>
  <c r="Z4" i="5"/>
  <c r="AA4" i="5"/>
  <c r="AA25" i="5" s="1"/>
  <c r="AA26" i="5" s="1"/>
  <c r="AA27" i="5" s="1"/>
  <c r="AB4" i="5"/>
  <c r="AB25" i="5" s="1"/>
  <c r="AB26" i="5" s="1"/>
  <c r="AB27" i="5" s="1"/>
  <c r="AB28" i="5" s="1"/>
  <c r="AB29" i="5" s="1"/>
  <c r="AB30" i="5" s="1"/>
  <c r="AC4" i="5"/>
  <c r="AD4" i="5"/>
  <c r="AD25" i="5" s="1"/>
  <c r="AD26" i="5" s="1"/>
  <c r="AD27" i="5" s="1"/>
  <c r="AD28" i="5" s="1"/>
  <c r="AD29" i="5" s="1"/>
  <c r="AD30" i="5" s="1"/>
  <c r="AE4" i="5"/>
  <c r="AF4" i="5"/>
  <c r="AG4" i="5"/>
  <c r="AH4" i="5"/>
  <c r="AI4" i="5"/>
  <c r="AJ4" i="5"/>
  <c r="AK4" i="5"/>
  <c r="AL4" i="5"/>
  <c r="AF2" i="5"/>
  <c r="AG2" i="5"/>
  <c r="AH2" i="5"/>
  <c r="AI2" i="5"/>
  <c r="AJ2" i="5"/>
  <c r="AK2" i="5"/>
  <c r="AL2" i="5"/>
  <c r="AM2" i="5"/>
  <c r="AB34" i="5"/>
  <c r="AC34" i="5"/>
  <c r="AC7" i="5" s="1"/>
  <c r="AD34" i="5"/>
  <c r="AD7" i="5" s="1"/>
  <c r="AE34" i="5"/>
  <c r="AA35" i="5"/>
  <c r="AA8" i="5" s="1"/>
  <c r="AB35" i="5"/>
  <c r="AC35" i="5"/>
  <c r="AC8" i="5" s="1"/>
  <c r="AD35" i="5"/>
  <c r="AD8" i="5" s="1"/>
  <c r="AE35" i="5"/>
  <c r="AA36" i="5"/>
  <c r="AA9" i="5" s="1"/>
  <c r="AA38" i="5"/>
  <c r="AB38" i="5"/>
  <c r="AC38" i="5"/>
  <c r="AC11" i="5" s="1"/>
  <c r="AD38" i="5"/>
  <c r="AD11" i="5" s="1"/>
  <c r="AE38" i="5"/>
  <c r="AA39" i="5"/>
  <c r="AA12" i="5" s="1"/>
  <c r="AB39" i="5"/>
  <c r="AC39" i="5"/>
  <c r="AC12" i="5" s="1"/>
  <c r="AD39" i="5"/>
  <c r="AD12" i="5" s="1"/>
  <c r="AE39" i="5"/>
  <c r="AC26" i="5"/>
  <c r="AC27" i="5" s="1"/>
  <c r="AC28" i="5" s="1"/>
  <c r="AK35" i="5"/>
  <c r="AL35" i="5"/>
  <c r="AM35" i="5"/>
  <c r="AM36" i="5"/>
  <c r="AJ38" i="5"/>
  <c r="AK38" i="5"/>
  <c r="AL38" i="5"/>
  <c r="AM38" i="5"/>
  <c r="AC25" i="5"/>
  <c r="AA2" i="5"/>
  <c r="AB2" i="5"/>
  <c r="AC2" i="5"/>
  <c r="AD2" i="5"/>
  <c r="AF39" i="5"/>
  <c r="Y2" i="5"/>
  <c r="Z2" i="5"/>
  <c r="AE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R9" i="5"/>
  <c r="N4" i="5" s="1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Z36" i="5" s="1"/>
  <c r="I37" i="5"/>
  <c r="J37" i="5"/>
  <c r="T37" i="5" s="1"/>
  <c r="K37" i="5"/>
  <c r="U37" i="5" s="1"/>
  <c r="L37" i="5"/>
  <c r="M37" i="5"/>
  <c r="N37" i="5"/>
  <c r="Y37" i="5" s="1"/>
  <c r="I38" i="5"/>
  <c r="J38" i="5"/>
  <c r="T38" i="5" s="1"/>
  <c r="K38" i="5"/>
  <c r="U38" i="5" s="1"/>
  <c r="L38" i="5"/>
  <c r="M38" i="5"/>
  <c r="N38" i="5"/>
  <c r="AH38" i="5" s="1"/>
  <c r="I39" i="5"/>
  <c r="J39" i="5"/>
  <c r="T39" i="5" s="1"/>
  <c r="K39" i="5"/>
  <c r="U39" i="5" s="1"/>
  <c r="L39" i="5"/>
  <c r="M39" i="5"/>
  <c r="N39" i="5"/>
  <c r="Y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W46" i="5" l="1"/>
  <c r="W55" i="5" s="1"/>
  <c r="W64" i="5" s="1"/>
  <c r="W48" i="5"/>
  <c r="W57" i="5" s="1"/>
  <c r="W66" i="5" s="1"/>
  <c r="W47" i="5"/>
  <c r="W56" i="5" s="1"/>
  <c r="W65" i="5" s="1"/>
  <c r="W45" i="5"/>
  <c r="W54" i="5" s="1"/>
  <c r="W63" i="5" s="1"/>
  <c r="W44" i="5"/>
  <c r="W53" i="5" s="1"/>
  <c r="W62" i="5" s="1"/>
  <c r="W43" i="5"/>
  <c r="W52" i="5" s="1"/>
  <c r="W61" i="5" s="1"/>
  <c r="AM37" i="5"/>
  <c r="AJ37" i="5"/>
  <c r="AK37" i="5"/>
  <c r="AK36" i="5"/>
  <c r="AK9" i="5" s="1"/>
  <c r="AA34" i="5"/>
  <c r="AJ36" i="5"/>
  <c r="AJ35" i="5"/>
  <c r="AA37" i="5"/>
  <c r="AA10" i="5" s="1"/>
  <c r="V4" i="5"/>
  <c r="AM39" i="5"/>
  <c r="AM12" i="5" s="1"/>
  <c r="AM34" i="5"/>
  <c r="AE36" i="5"/>
  <c r="U4" i="5"/>
  <c r="AK10" i="5"/>
  <c r="AL37" i="5"/>
  <c r="AL10" i="5" s="1"/>
  <c r="AL36" i="5"/>
  <c r="AL9" i="5" s="1"/>
  <c r="AL45" i="5" s="1"/>
  <c r="AL54" i="5" s="1"/>
  <c r="AL63" i="5" s="1"/>
  <c r="AE37" i="5"/>
  <c r="AD37" i="5"/>
  <c r="AD10" i="5" s="1"/>
  <c r="AD46" i="5" s="1"/>
  <c r="AD55" i="5" s="1"/>
  <c r="AD64" i="5" s="1"/>
  <c r="AB37" i="5"/>
  <c r="AB10" i="5" s="1"/>
  <c r="AB46" i="5" s="1"/>
  <c r="AB55" i="5" s="1"/>
  <c r="AB64" i="5" s="1"/>
  <c r="AL39" i="5"/>
  <c r="AK39" i="5"/>
  <c r="AK34" i="5"/>
  <c r="AC36" i="5"/>
  <c r="AC9" i="5" s="1"/>
  <c r="S4" i="5"/>
  <c r="AC37" i="5"/>
  <c r="AC10" i="5" s="1"/>
  <c r="AL34" i="5"/>
  <c r="AD36" i="5"/>
  <c r="AD9" i="5" s="1"/>
  <c r="AD45" i="5" s="1"/>
  <c r="AD54" i="5" s="1"/>
  <c r="AD63" i="5" s="1"/>
  <c r="T4" i="5"/>
  <c r="AJ39" i="5"/>
  <c r="AJ34" i="5"/>
  <c r="AJ7" i="5" s="1"/>
  <c r="AB36" i="5"/>
  <c r="AB9" i="5" s="1"/>
  <c r="AB45" i="5" s="1"/>
  <c r="AB54" i="5" s="1"/>
  <c r="AB63" i="5" s="1"/>
  <c r="AM4" i="5"/>
  <c r="AM11" i="5" s="1"/>
  <c r="AM47" i="5" s="1"/>
  <c r="AM56" i="5" s="1"/>
  <c r="AM65" i="5" s="1"/>
  <c r="R4" i="5"/>
  <c r="AB7" i="5"/>
  <c r="AB43" i="5" s="1"/>
  <c r="AB52" i="5" s="1"/>
  <c r="AB61" i="5" s="1"/>
  <c r="AA11" i="5"/>
  <c r="AA7" i="5"/>
  <c r="AA43" i="5" s="1"/>
  <c r="AA52" i="5" s="1"/>
  <c r="AA61" i="5" s="1"/>
  <c r="AD44" i="5"/>
  <c r="AD53" i="5" s="1"/>
  <c r="AD62" i="5" s="1"/>
  <c r="AB8" i="5"/>
  <c r="AB44" i="5" s="1"/>
  <c r="AB53" i="5" s="1"/>
  <c r="AB62" i="5" s="1"/>
  <c r="AB11" i="5"/>
  <c r="AK8" i="5"/>
  <c r="AL25" i="5"/>
  <c r="AL26" i="5" s="1"/>
  <c r="AL27" i="5" s="1"/>
  <c r="AL28" i="5" s="1"/>
  <c r="AL29" i="5" s="1"/>
  <c r="AL30" i="5" s="1"/>
  <c r="AK25" i="5"/>
  <c r="AK26" i="5" s="1"/>
  <c r="AK27" i="5" s="1"/>
  <c r="AK28" i="5" s="1"/>
  <c r="AK29" i="5" s="1"/>
  <c r="AK30" i="5" s="1"/>
  <c r="AL7" i="5"/>
  <c r="AL43" i="5" s="1"/>
  <c r="AL52" i="5" s="1"/>
  <c r="AL61" i="5" s="1"/>
  <c r="AK12" i="5"/>
  <c r="AK48" i="5" s="1"/>
  <c r="AK57" i="5" s="1"/>
  <c r="AK66" i="5" s="1"/>
  <c r="AK7" i="5"/>
  <c r="AB12" i="5"/>
  <c r="AB48" i="5" s="1"/>
  <c r="AB57" i="5" s="1"/>
  <c r="AB66" i="5" s="1"/>
  <c r="AL12" i="5"/>
  <c r="AL48" i="5" s="1"/>
  <c r="AL57" i="5" s="1"/>
  <c r="AL66" i="5" s="1"/>
  <c r="AJ9" i="5"/>
  <c r="AJ10" i="5"/>
  <c r="AJ25" i="5"/>
  <c r="AJ26" i="5" s="1"/>
  <c r="AJ27" i="5" s="1"/>
  <c r="AJ28" i="5" s="1"/>
  <c r="AJ29" i="5" s="1"/>
  <c r="AJ30" i="5" s="1"/>
  <c r="AM9" i="5"/>
  <c r="AM25" i="5"/>
  <c r="AM26" i="5" s="1"/>
  <c r="AM27" i="5" s="1"/>
  <c r="AM28" i="5" s="1"/>
  <c r="AM29" i="5" s="1"/>
  <c r="AM30" i="5" s="1"/>
  <c r="AJ8" i="5"/>
  <c r="AM7" i="5"/>
  <c r="AJ12" i="5"/>
  <c r="AL11" i="5"/>
  <c r="AL47" i="5" s="1"/>
  <c r="AL56" i="5" s="1"/>
  <c r="AL65" i="5" s="1"/>
  <c r="AK11" i="5"/>
  <c r="AK47" i="5" s="1"/>
  <c r="AK56" i="5" s="1"/>
  <c r="AK65" i="5" s="1"/>
  <c r="AJ11" i="5"/>
  <c r="AK43" i="5"/>
  <c r="AK52" i="5" s="1"/>
  <c r="AK61" i="5" s="1"/>
  <c r="AL8" i="5"/>
  <c r="AL44" i="5" s="1"/>
  <c r="AL53" i="5" s="1"/>
  <c r="AL62" i="5" s="1"/>
  <c r="AC44" i="5"/>
  <c r="AC53" i="5" s="1"/>
  <c r="AC62" i="5" s="1"/>
  <c r="AC45" i="5"/>
  <c r="AC54" i="5" s="1"/>
  <c r="AC63" i="5" s="1"/>
  <c r="AD43" i="5"/>
  <c r="AD52" i="5" s="1"/>
  <c r="AD61" i="5" s="1"/>
  <c r="AC43" i="5"/>
  <c r="AC52" i="5" s="1"/>
  <c r="AC61" i="5" s="1"/>
  <c r="AC29" i="5"/>
  <c r="AC30" i="5" s="1"/>
  <c r="AC48" i="5" s="1"/>
  <c r="AC57" i="5" s="1"/>
  <c r="AC66" i="5" s="1"/>
  <c r="AC46" i="5"/>
  <c r="AC55" i="5" s="1"/>
  <c r="AC64" i="5" s="1"/>
  <c r="AD47" i="5"/>
  <c r="AD56" i="5" s="1"/>
  <c r="AD65" i="5" s="1"/>
  <c r="AB47" i="5"/>
  <c r="AB56" i="5" s="1"/>
  <c r="AB65" i="5" s="1"/>
  <c r="AD48" i="5"/>
  <c r="AD57" i="5" s="1"/>
  <c r="AD66" i="5" s="1"/>
  <c r="AA28" i="5"/>
  <c r="AA45" i="5"/>
  <c r="AA54" i="5" s="1"/>
  <c r="AA63" i="5" s="1"/>
  <c r="AA44" i="5"/>
  <c r="AA53" i="5" s="1"/>
  <c r="AA62" i="5" s="1"/>
  <c r="X39" i="5"/>
  <c r="Z39" i="5"/>
  <c r="AG35" i="5"/>
  <c r="AI37" i="5"/>
  <c r="AF37" i="5"/>
  <c r="AI36" i="5"/>
  <c r="R37" i="5"/>
  <c r="AF36" i="5"/>
  <c r="S36" i="5"/>
  <c r="X36" i="5"/>
  <c r="S35" i="5"/>
  <c r="AF35" i="5"/>
  <c r="R35" i="5"/>
  <c r="Z35" i="5"/>
  <c r="Y35" i="5"/>
  <c r="V34" i="5"/>
  <c r="X35" i="5"/>
  <c r="Q37" i="5"/>
  <c r="AG37" i="5"/>
  <c r="X37" i="5"/>
  <c r="V37" i="5"/>
  <c r="S37" i="5"/>
  <c r="AH36" i="5"/>
  <c r="V36" i="5"/>
  <c r="Y36" i="5"/>
  <c r="R36" i="5"/>
  <c r="AI39" i="5"/>
  <c r="AF34" i="5"/>
  <c r="AG38" i="5"/>
  <c r="AF38" i="5"/>
  <c r="R39" i="5"/>
  <c r="AI35" i="5"/>
  <c r="V38" i="5"/>
  <c r="Z38" i="5"/>
  <c r="AH35" i="5"/>
  <c r="AH37" i="5"/>
  <c r="AI34" i="5"/>
  <c r="Y38" i="5"/>
  <c r="AH39" i="5"/>
  <c r="Z37" i="5"/>
  <c r="AH34" i="5"/>
  <c r="S38" i="5"/>
  <c r="R38" i="5"/>
  <c r="X38" i="5"/>
  <c r="Q39" i="5"/>
  <c r="V35" i="5"/>
  <c r="AG39" i="5"/>
  <c r="AG34" i="5"/>
  <c r="Z34" i="5"/>
  <c r="AG36" i="5"/>
  <c r="Y34" i="5"/>
  <c r="Q38" i="5"/>
  <c r="Q11" i="5" s="1"/>
  <c r="Q34" i="5"/>
  <c r="X34" i="5"/>
  <c r="R34" i="5"/>
  <c r="AI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AM8" i="5" l="1"/>
  <c r="AM44" i="5" s="1"/>
  <c r="AM53" i="5" s="1"/>
  <c r="AM62" i="5" s="1"/>
  <c r="AM10" i="5"/>
  <c r="AM46" i="5" s="1"/>
  <c r="AM55" i="5" s="1"/>
  <c r="AM64" i="5" s="1"/>
  <c r="AJ45" i="5"/>
  <c r="AJ54" i="5" s="1"/>
  <c r="AJ63" i="5" s="1"/>
  <c r="Q10" i="5"/>
  <c r="AJ47" i="5"/>
  <c r="AJ56" i="5" s="1"/>
  <c r="AJ65" i="5" s="1"/>
  <c r="AK45" i="5"/>
  <c r="AK54" i="5" s="1"/>
  <c r="AK63" i="5" s="1"/>
  <c r="AK46" i="5"/>
  <c r="AK55" i="5" s="1"/>
  <c r="AK64" i="5" s="1"/>
  <c r="AM48" i="5"/>
  <c r="AM57" i="5" s="1"/>
  <c r="AM66" i="5" s="1"/>
  <c r="AL46" i="5"/>
  <c r="AL55" i="5" s="1"/>
  <c r="AL64" i="5" s="1"/>
  <c r="AM43" i="5"/>
  <c r="AM52" i="5" s="1"/>
  <c r="AM61" i="5" s="1"/>
  <c r="AJ43" i="5"/>
  <c r="AJ52" i="5" s="1"/>
  <c r="AJ61" i="5" s="1"/>
  <c r="AK44" i="5"/>
  <c r="AK53" i="5" s="1"/>
  <c r="AK62" i="5" s="1"/>
  <c r="AJ44" i="5"/>
  <c r="AJ53" i="5" s="1"/>
  <c r="AJ62" i="5" s="1"/>
  <c r="AJ48" i="5"/>
  <c r="AJ57" i="5" s="1"/>
  <c r="AJ66" i="5" s="1"/>
  <c r="AM45" i="5"/>
  <c r="AM54" i="5" s="1"/>
  <c r="AM63" i="5" s="1"/>
  <c r="AJ46" i="5"/>
  <c r="AJ55" i="5" s="1"/>
  <c r="AJ64" i="5" s="1"/>
  <c r="AC47" i="5"/>
  <c r="AC56" i="5" s="1"/>
  <c r="AC65" i="5" s="1"/>
  <c r="AA29" i="5"/>
  <c r="AA46" i="5"/>
  <c r="AA55" i="5" s="1"/>
  <c r="AA64" i="5" s="1"/>
  <c r="N46" i="5"/>
  <c r="N55" i="5" s="1"/>
  <c r="N64" i="5" s="1"/>
  <c r="R11" i="5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AA30" i="5" l="1"/>
  <c r="AA48" i="5" s="1"/>
  <c r="AA57" i="5" s="1"/>
  <c r="AA66" i="5" s="1"/>
  <c r="AA47" i="5"/>
  <c r="AA56" i="5" s="1"/>
  <c r="AA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S7" i="5"/>
  <c r="S8" i="5"/>
  <c r="S25" i="5"/>
  <c r="S26" i="5" s="1"/>
  <c r="S27" i="5" s="1"/>
  <c r="S28" i="5" s="1"/>
  <c r="S29" i="5" s="1"/>
  <c r="S30" i="5" s="1"/>
  <c r="S11" i="5"/>
  <c r="S12" i="5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48" i="5" l="1"/>
  <c r="S57" i="5" s="1"/>
  <c r="S66" i="5" s="1"/>
  <c r="S35" i="2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U44" i="5" l="1"/>
  <c r="U53" i="5" s="1"/>
  <c r="U62" i="5" s="1"/>
  <c r="N40" i="2" s="1"/>
  <c r="Y8" i="5"/>
  <c r="Y25" i="5"/>
  <c r="Y26" i="5" s="1"/>
  <c r="Y27" i="5" s="1"/>
  <c r="Y28" i="5" s="1"/>
  <c r="Y29" i="5" s="1"/>
  <c r="Y30" i="5" s="1"/>
  <c r="Y9" i="5"/>
  <c r="Y10" i="5"/>
  <c r="Y46" i="5" s="1"/>
  <c r="Y55" i="5" s="1"/>
  <c r="Y64" i="5" s="1"/>
  <c r="Y12" i="5"/>
  <c r="Y48" i="5" s="1"/>
  <c r="Y57" i="5" s="1"/>
  <c r="Y66" i="5" s="1"/>
  <c r="Y11" i="5"/>
  <c r="Y47" i="5" s="1"/>
  <c r="Y56" i="5" s="1"/>
  <c r="Y65" i="5" s="1"/>
  <c r="Y7" i="5"/>
  <c r="Y43" i="5" s="1"/>
  <c r="Y52" i="5" s="1"/>
  <c r="Y61" i="5" s="1"/>
  <c r="U47" i="5"/>
  <c r="U56" i="5" s="1"/>
  <c r="U65" i="5" s="1"/>
  <c r="X10" i="5"/>
  <c r="X8" i="5"/>
  <c r="X25" i="5"/>
  <c r="X26" i="5" s="1"/>
  <c r="X27" i="5" s="1"/>
  <c r="X28" i="5" s="1"/>
  <c r="X29" i="5" s="1"/>
  <c r="X30" i="5" s="1"/>
  <c r="X9" i="5"/>
  <c r="X12" i="5"/>
  <c r="X48" i="5" s="1"/>
  <c r="X57" i="5" s="1"/>
  <c r="X66" i="5" s="1"/>
  <c r="X7" i="5"/>
  <c r="X43" i="5" s="1"/>
  <c r="X52" i="5" s="1"/>
  <c r="X61" i="5" s="1"/>
  <c r="X11" i="5"/>
  <c r="X47" i="5" s="1"/>
  <c r="X56" i="5" s="1"/>
  <c r="X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X45" i="5" l="1"/>
  <c r="X54" i="5" s="1"/>
  <c r="X63" i="5" s="1"/>
  <c r="Y45" i="5"/>
  <c r="Y54" i="5" s="1"/>
  <c r="Y63" i="5" s="1"/>
  <c r="X44" i="5"/>
  <c r="X53" i="5" s="1"/>
  <c r="X62" i="5" s="1"/>
  <c r="AE12" i="5"/>
  <c r="AE8" i="5"/>
  <c r="AE25" i="5"/>
  <c r="AE7" i="5"/>
  <c r="AE43" i="5" s="1"/>
  <c r="AE52" i="5" s="1"/>
  <c r="AE61" i="5" s="1"/>
  <c r="AE11" i="5"/>
  <c r="AE9" i="5"/>
  <c r="AE10" i="5"/>
  <c r="X46" i="5"/>
  <c r="X55" i="5" s="1"/>
  <c r="X64" i="5" s="1"/>
  <c r="Z8" i="5"/>
  <c r="Z25" i="5"/>
  <c r="Z26" i="5" s="1"/>
  <c r="Z27" i="5" s="1"/>
  <c r="Z28" i="5" s="1"/>
  <c r="Z29" i="5" s="1"/>
  <c r="Z30" i="5" s="1"/>
  <c r="Z12" i="5"/>
  <c r="Z9" i="5"/>
  <c r="Z11" i="5"/>
  <c r="Z7" i="5"/>
  <c r="Z43" i="5" s="1"/>
  <c r="Z52" i="5" s="1"/>
  <c r="Z61" i="5" s="1"/>
  <c r="Z10" i="5"/>
  <c r="Z46" i="5" s="1"/>
  <c r="Z55" i="5" s="1"/>
  <c r="Z64" i="5" s="1"/>
  <c r="Y44" i="5"/>
  <c r="Y53" i="5" s="1"/>
  <c r="Y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E26" i="5" l="1"/>
  <c r="AE27" i="5" s="1"/>
  <c r="Z47" i="5"/>
  <c r="Z56" i="5" s="1"/>
  <c r="Z65" i="5" s="1"/>
  <c r="Z45" i="5"/>
  <c r="Z54" i="5" s="1"/>
  <c r="Z63" i="5" s="1"/>
  <c r="Z48" i="5"/>
  <c r="Z57" i="5" s="1"/>
  <c r="Z66" i="5" s="1"/>
  <c r="Z44" i="5"/>
  <c r="Z53" i="5" s="1"/>
  <c r="Z62" i="5" s="1"/>
  <c r="AG8" i="5"/>
  <c r="AG25" i="5"/>
  <c r="AG26" i="5" s="1"/>
  <c r="AG27" i="5" s="1"/>
  <c r="AG28" i="5" s="1"/>
  <c r="AG29" i="5" s="1"/>
  <c r="AG30" i="5" s="1"/>
  <c r="AG10" i="5"/>
  <c r="AG46" i="5" s="1"/>
  <c r="AG55" i="5" s="1"/>
  <c r="AG64" i="5" s="1"/>
  <c r="AG7" i="5"/>
  <c r="AG43" i="5" s="1"/>
  <c r="AG52" i="5" s="1"/>
  <c r="AG61" i="5" s="1"/>
  <c r="AG11" i="5"/>
  <c r="AG47" i="5" s="1"/>
  <c r="AG56" i="5" s="1"/>
  <c r="AG65" i="5" s="1"/>
  <c r="AG9" i="5"/>
  <c r="AG45" i="5" s="1"/>
  <c r="AG54" i="5" s="1"/>
  <c r="AG63" i="5" s="1"/>
  <c r="AG12" i="5"/>
  <c r="AF9" i="5"/>
  <c r="AF25" i="5"/>
  <c r="AF26" i="5" s="1"/>
  <c r="AF27" i="5" s="1"/>
  <c r="AF28" i="5" s="1"/>
  <c r="AF29" i="5" s="1"/>
  <c r="AF30" i="5" s="1"/>
  <c r="AF8" i="5"/>
  <c r="AF12" i="5"/>
  <c r="AF7" i="5"/>
  <c r="AF43" i="5" s="1"/>
  <c r="AF52" i="5" s="1"/>
  <c r="AF61" i="5" s="1"/>
  <c r="AF10" i="5"/>
  <c r="AF11" i="5"/>
  <c r="V30" i="5"/>
  <c r="V48" i="5" s="1"/>
  <c r="V57" i="5" s="1"/>
  <c r="V66" i="5" s="1"/>
  <c r="V47" i="5"/>
  <c r="V56" i="5" s="1"/>
  <c r="V65" i="5" s="1"/>
  <c r="AE44" i="5" l="1"/>
  <c r="AE53" i="5" s="1"/>
  <c r="AE62" i="5" s="1"/>
  <c r="AE28" i="5"/>
  <c r="AE45" i="5"/>
  <c r="AE54" i="5" s="1"/>
  <c r="AE63" i="5" s="1"/>
  <c r="AF44" i="5"/>
  <c r="AF53" i="5" s="1"/>
  <c r="AF62" i="5" s="1"/>
  <c r="AF47" i="5"/>
  <c r="AF56" i="5" s="1"/>
  <c r="AF65" i="5" s="1"/>
  <c r="AF46" i="5"/>
  <c r="AF55" i="5" s="1"/>
  <c r="AF64" i="5" s="1"/>
  <c r="AF48" i="5"/>
  <c r="AF57" i="5" s="1"/>
  <c r="AF66" i="5" s="1"/>
  <c r="AF45" i="5"/>
  <c r="AF54" i="5" s="1"/>
  <c r="AF63" i="5" s="1"/>
  <c r="AG48" i="5"/>
  <c r="AG57" i="5" s="1"/>
  <c r="AG66" i="5" s="1"/>
  <c r="AI9" i="5"/>
  <c r="AI25" i="5"/>
  <c r="AI26" i="5" s="1"/>
  <c r="AI12" i="5"/>
  <c r="AI10" i="5"/>
  <c r="AI7" i="5"/>
  <c r="AI11" i="5"/>
  <c r="AI8" i="5"/>
  <c r="AG44" i="5"/>
  <c r="AG53" i="5" s="1"/>
  <c r="AG62" i="5" s="1"/>
  <c r="AH9" i="5"/>
  <c r="AH25" i="5"/>
  <c r="AH26" i="5" s="1"/>
  <c r="AH27" i="5" s="1"/>
  <c r="AH28" i="5" s="1"/>
  <c r="AH29" i="5" s="1"/>
  <c r="AH30" i="5" s="1"/>
  <c r="AH11" i="5"/>
  <c r="AH7" i="5"/>
  <c r="AH12" i="5"/>
  <c r="AH8" i="5"/>
  <c r="AH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I43" i="5" l="1"/>
  <c r="AI52" i="5" s="1"/>
  <c r="AI61" i="5" s="1"/>
  <c r="AE29" i="5"/>
  <c r="AE46" i="5"/>
  <c r="AE55" i="5" s="1"/>
  <c r="AE64" i="5" s="1"/>
  <c r="AH46" i="5"/>
  <c r="AH55" i="5" s="1"/>
  <c r="AH64" i="5" s="1"/>
  <c r="AH43" i="5"/>
  <c r="AH52" i="5" s="1"/>
  <c r="AH61" i="5" s="1"/>
  <c r="AH48" i="5"/>
  <c r="AH57" i="5" s="1"/>
  <c r="AH66" i="5" s="1"/>
  <c r="AH44" i="5"/>
  <c r="AH53" i="5" s="1"/>
  <c r="AH62" i="5" s="1"/>
  <c r="AH47" i="5"/>
  <c r="AH56" i="5" s="1"/>
  <c r="AH65" i="5" s="1"/>
  <c r="AH45" i="5"/>
  <c r="AH54" i="5" s="1"/>
  <c r="AH63" i="5" s="1"/>
  <c r="AI44" i="5"/>
  <c r="AI53" i="5" s="1"/>
  <c r="AI62" i="5" s="1"/>
  <c r="AI27" i="5"/>
  <c r="AI28" i="5" s="1"/>
  <c r="AI29" i="5" s="1"/>
  <c r="AI30" i="5" s="1"/>
  <c r="AI48" i="5" s="1"/>
  <c r="AI57" i="5" s="1"/>
  <c r="AI66" i="5" s="1"/>
  <c r="AE30" i="5" l="1"/>
  <c r="AE48" i="5" s="1"/>
  <c r="AE57" i="5" s="1"/>
  <c r="AE66" i="5" s="1"/>
  <c r="AE47" i="5"/>
  <c r="AE56" i="5" s="1"/>
  <c r="AE65" i="5" s="1"/>
  <c r="AI45" i="5"/>
  <c r="AI54" i="5" s="1"/>
  <c r="AI63" i="5" s="1"/>
  <c r="AI46" i="5"/>
  <c r="AI55" i="5" s="1"/>
  <c r="AI64" i="5" s="1"/>
  <c r="AI47" i="5"/>
  <c r="AI56" i="5" s="1"/>
  <c r="AI65" i="5" s="1"/>
</calcChain>
</file>

<file path=xl/sharedStrings.xml><?xml version="1.0" encoding="utf-8"?>
<sst xmlns="http://schemas.openxmlformats.org/spreadsheetml/2006/main" count="590" uniqueCount="147">
  <si>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</si>
  <si>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</si>
  <si>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</si>
  <si>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</si>
  <si>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</si>
  <si>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</si>
  <si>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</si>
  <si>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</si>
  <si>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</si>
  <si>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</si>
  <si>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</si>
  <si>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</si>
  <si>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</si>
  <si>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</si>
  <si>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</si>
  <si>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</si>
  <si>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</si>
  <si>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</si>
  <si>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</si>
  <si>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</si>
  <si>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</si>
  <si>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</si>
  <si>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</si>
  <si>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</si>
  <si>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</si>
  <si>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</si>
  <si>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</si>
  <si>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</si>
  <si>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</si>
  <si>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</si>
  <si>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</si>
  <si>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</si>
  <si>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</si>
  <si>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</si>
  <si>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</si>
  <si>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</si>
  <si>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</si>
  <si>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</si>
  <si>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</si>
  <si>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</si>
  <si>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</si>
  <si>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</si>
  <si>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</si>
  <si>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</si>
  <si>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</si>
  <si>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</si>
  <si>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</si>
  <si>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</si>
  <si>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</si>
  <si>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</si>
  <si>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</si>
  <si>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</si>
  <si>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</si>
  <si>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</si>
  <si>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</si>
  <si>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</si>
  <si>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</si>
  <si>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</si>
  <si>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</si>
  <si>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</si>
  <si>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</si>
  <si>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</si>
  <si>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</si>
  <si>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</si>
  <si>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</si>
  <si>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</si>
  <si>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</si>
  <si>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</si>
  <si>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</si>
  <si>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</si>
  <si>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</si>
  <si>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</si>
  <si>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</si>
  <si>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</si>
  <si>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</si>
  <si>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</si>
  <si>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</si>
  <si>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</si>
  <si>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</si>
  <si>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</si>
  <si>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</si>
  <si>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</si>
  <si>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</si>
  <si>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</si>
  <si>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</si>
  <si>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</si>
  <si>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</si>
  <si>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</si>
  <si>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</si>
  <si>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</si>
  <si>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</si>
  <si>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</si>
  <si>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</si>
  <si>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</si>
  <si>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</si>
  <si>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</si>
  <si>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</si>
  <si>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</si>
  <si>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</si>
  <si>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</si>
  <si>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</si>
  <si>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</si>
  <si>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</si>
  <si>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</si>
  <si>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</si>
  <si>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</si>
  <si>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</si>
  <si>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</si>
  <si>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</si>
  <si>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</si>
  <si>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</si>
  <si>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</si>
  <si>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</si>
  <si>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</si>
  <si>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</si>
  <si>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</si>
  <si>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</si>
  <si>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</si>
  <si>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</si>
  <si>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</si>
  <si>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</si>
  <si>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</si>
  <si>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</si>
  <si>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</si>
  <si>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</si>
  <si>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</si>
  <si>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</si>
  <si>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</si>
  <si>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</si>
  <si>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</si>
  <si>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</si>
  <si>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</si>
  <si>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</si>
  <si>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</si>
  <si>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</si>
  <si>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</si>
  <si>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</si>
  <si>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</si>
  <si>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</si>
  <si>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</si>
  <si>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</si>
  <si>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</si>
  <si>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</si>
  <si>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</si>
  <si>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</si>
  <si>
    <t>Procure-Scaling-l</t>
  </si>
  <si>
    <t>Procure-Scaling-h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</si>
</sst>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44" fontId="0" fillId="3" borderId="0" xfId="2" applyFont="1" applyFill="1"/>
    <xf numFmtId="165" fontId="0" fillId="0" borderId="0" xfId="2" applyNumberFormat="1" applyFont="1"/>
    <xf numFmtId="165" fontId="0" fillId="4" borderId="0" xfId="2" applyNumberFormat="1" applyFont="1" applyFill="1"/>
    <xf numFmtId="44" fontId="5" fillId="0" borderId="0" xfId="2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3" applyNumberFormat="1" applyFont="1" applyFill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S66"/>
  <sheetViews>
    <sheetView tabSelected="1" topLeftCell="X1" workbookViewId="0">
      <selection activeCell="AE61" sqref="AE61:AE66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6.42578125" bestFit="1" customWidth="1"/>
    <col min="24" max="24" width="17" bestFit="1" customWidth="1"/>
    <col min="25" max="25" width="11.5703125" bestFit="1" customWidth="1"/>
    <col min="26" max="26" width="16" bestFit="1" customWidth="1"/>
    <col min="27" max="30" width="16" customWidth="1"/>
    <col min="31" max="31" width="18" bestFit="1" customWidth="1"/>
    <col min="32" max="33" width="13.140625" bestFit="1" customWidth="1"/>
    <col min="34" max="35" width="15" bestFit="1" customWidth="1"/>
    <col min="36" max="37" width="13.85546875" bestFit="1" customWidth="1"/>
    <col min="38" max="39" width="15.7109375" bestFit="1" customWidth="1"/>
  </cols>
  <sheetData>
    <row r="1" spans="1:45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Q1" t="s">
        <v>40</v>
      </c>
      <c r="AR1" t="s">
        <v>109</v>
      </c>
      <c r="AS1" t="s">
        <v>5</v>
      </c>
    </row>
    <row r="2" spans="1:45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M2" si="4">1-2^U3</f>
        <v>4.9999617125113915E-2</v>
      </c>
      <c r="V2" s="9">
        <f>1-2^V3</f>
        <v>4.9999617125113915E-2</v>
      </c>
      <c r="W2" s="26">
        <f>1-2^W3</f>
        <v>2.4982512346666597E-2</v>
      </c>
      <c r="X2" s="26">
        <f>1-2^X3</f>
        <v>2.4982512346666597E-2</v>
      </c>
      <c r="Y2" s="26">
        <f t="shared" si="4"/>
        <v>2.4982512346666597E-2</v>
      </c>
      <c r="Z2" s="26">
        <f t="shared" si="4"/>
        <v>2.4982512346666597E-2</v>
      </c>
      <c r="AA2" s="26">
        <f t="shared" si="4"/>
        <v>2.4982512346666597E-2</v>
      </c>
      <c r="AB2" s="26">
        <f t="shared" si="4"/>
        <v>2.4982512346666597E-2</v>
      </c>
      <c r="AC2" s="26">
        <f t="shared" si="4"/>
        <v>2.4982512346666597E-2</v>
      </c>
      <c r="AD2" s="26">
        <f t="shared" si="4"/>
        <v>2.4982512346666597E-2</v>
      </c>
      <c r="AE2" s="26">
        <f t="shared" si="4"/>
        <v>2.4982512346666597E-2</v>
      </c>
      <c r="AF2" s="26">
        <f t="shared" si="4"/>
        <v>2.4982512346666597E-2</v>
      </c>
      <c r="AG2" s="26">
        <f t="shared" si="4"/>
        <v>2.4982512346666597E-2</v>
      </c>
      <c r="AH2" s="26">
        <f t="shared" si="4"/>
        <v>2.4982512346666597E-2</v>
      </c>
      <c r="AI2" s="26">
        <f t="shared" si="4"/>
        <v>2.4982512346666597E-2</v>
      </c>
      <c r="AJ2" s="26">
        <f t="shared" si="4"/>
        <v>2.4982512346666597E-2</v>
      </c>
      <c r="AK2" s="26">
        <f t="shared" si="4"/>
        <v>2.4982512346666597E-2</v>
      </c>
      <c r="AL2" s="26">
        <f t="shared" si="4"/>
        <v>2.4982512346666597E-2</v>
      </c>
      <c r="AM2" s="26">
        <f t="shared" si="4"/>
        <v>2.4982512346666597E-2</v>
      </c>
      <c r="AQ2" t="s">
        <v>111</v>
      </c>
      <c r="AR2">
        <v>1045</v>
      </c>
      <c r="AS2" s="3" t="s">
        <v>112</v>
      </c>
    </row>
    <row r="3" spans="1:45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-3.6499999999999998E-2</v>
      </c>
      <c r="AF3">
        <v>-3.6499999999999998E-2</v>
      </c>
      <c r="AG3">
        <v>-3.6499999999999998E-2</v>
      </c>
      <c r="AH3">
        <v>-3.6499999999999998E-2</v>
      </c>
      <c r="AI3">
        <v>-3.6499999999999998E-2</v>
      </c>
      <c r="AJ3">
        <v>-3.6499999999999998E-2</v>
      </c>
      <c r="AK3">
        <v>-3.6499999999999998E-2</v>
      </c>
      <c r="AL3">
        <v>-3.6499999999999998E-2</v>
      </c>
      <c r="AM3">
        <v>-3.6499999999999998E-2</v>
      </c>
      <c r="AQ3">
        <v>2019</v>
      </c>
      <c r="AR3">
        <v>104</v>
      </c>
      <c r="AS3" t="s">
        <v>113</v>
      </c>
    </row>
    <row r="4" spans="1:45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$AR$9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$AR$9</f>
        <v>1719</v>
      </c>
      <c r="R4">
        <f t="shared" ref="R4:AM4" si="6">$AR$9</f>
        <v>1719</v>
      </c>
      <c r="S4">
        <f t="shared" si="6"/>
        <v>1719</v>
      </c>
      <c r="T4">
        <f t="shared" si="6"/>
        <v>1719</v>
      </c>
      <c r="U4">
        <f t="shared" si="6"/>
        <v>1719</v>
      </c>
      <c r="V4">
        <f t="shared" si="6"/>
        <v>1719</v>
      </c>
      <c r="W4">
        <f t="shared" si="6"/>
        <v>1719</v>
      </c>
      <c r="X4">
        <f t="shared" si="6"/>
        <v>1719</v>
      </c>
      <c r="Y4">
        <f t="shared" si="6"/>
        <v>1719</v>
      </c>
      <c r="Z4">
        <f t="shared" si="6"/>
        <v>1719</v>
      </c>
      <c r="AA4">
        <f t="shared" si="6"/>
        <v>1719</v>
      </c>
      <c r="AB4">
        <f t="shared" si="6"/>
        <v>1719</v>
      </c>
      <c r="AC4">
        <f t="shared" si="6"/>
        <v>1719</v>
      </c>
      <c r="AD4">
        <f t="shared" si="6"/>
        <v>1719</v>
      </c>
      <c r="AE4">
        <f t="shared" si="6"/>
        <v>1719</v>
      </c>
      <c r="AF4">
        <f t="shared" si="6"/>
        <v>1719</v>
      </c>
      <c r="AG4">
        <f t="shared" si="6"/>
        <v>1719</v>
      </c>
      <c r="AH4">
        <f t="shared" si="6"/>
        <v>1719</v>
      </c>
      <c r="AI4">
        <f t="shared" si="6"/>
        <v>1719</v>
      </c>
      <c r="AJ4">
        <f t="shared" si="6"/>
        <v>1719</v>
      </c>
      <c r="AK4">
        <f t="shared" si="6"/>
        <v>1719</v>
      </c>
      <c r="AL4">
        <f t="shared" si="6"/>
        <v>1719</v>
      </c>
      <c r="AM4">
        <f t="shared" si="6"/>
        <v>1719</v>
      </c>
      <c r="AQ4">
        <v>2020</v>
      </c>
      <c r="AR4">
        <v>104</v>
      </c>
      <c r="AS4" t="s">
        <v>113</v>
      </c>
    </row>
    <row r="5" spans="1:45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4" t="s">
        <v>86</v>
      </c>
      <c r="I5" s="24"/>
      <c r="J5" s="24"/>
      <c r="K5" s="24"/>
      <c r="L5" s="24"/>
      <c r="M5" s="24"/>
      <c r="N5" s="24"/>
      <c r="P5" s="24" t="s">
        <v>86</v>
      </c>
      <c r="Q5" s="24"/>
      <c r="R5" s="24"/>
      <c r="S5" s="24"/>
      <c r="T5" s="24"/>
      <c r="U5" s="24"/>
      <c r="V5" s="24"/>
      <c r="AQ5">
        <v>2021</v>
      </c>
      <c r="AR5">
        <v>104</v>
      </c>
      <c r="AS5" t="s">
        <v>113</v>
      </c>
    </row>
    <row r="6" spans="1:45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145</v>
      </c>
      <c r="X6" t="s">
        <v>146</v>
      </c>
      <c r="Y6" t="s">
        <v>126</v>
      </c>
      <c r="Z6" t="s">
        <v>127</v>
      </c>
      <c r="AA6" t="s">
        <v>132</v>
      </c>
      <c r="AB6" t="s">
        <v>133</v>
      </c>
      <c r="AC6" t="s">
        <v>134</v>
      </c>
      <c r="AD6" t="s">
        <v>135</v>
      </c>
      <c r="AE6" t="s">
        <v>136</v>
      </c>
      <c r="AF6" t="s">
        <v>137</v>
      </c>
      <c r="AG6" t="s">
        <v>138</v>
      </c>
      <c r="AH6" t="s">
        <v>139</v>
      </c>
      <c r="AI6" t="s">
        <v>140</v>
      </c>
      <c r="AJ6" t="s">
        <v>141</v>
      </c>
      <c r="AK6" t="s">
        <v>142</v>
      </c>
      <c r="AL6" t="s">
        <v>143</v>
      </c>
      <c r="AM6" t="s">
        <v>144</v>
      </c>
      <c r="AQ6">
        <v>2022</v>
      </c>
      <c r="AR6">
        <v>104</v>
      </c>
      <c r="AS6" t="s">
        <v>110</v>
      </c>
    </row>
    <row r="7" spans="1:45" x14ac:dyDescent="0.25">
      <c r="H7">
        <v>2025</v>
      </c>
      <c r="I7">
        <f t="shared" ref="I7:N12" si="7">I34/(I$4^I$3)</f>
        <v>402.62283243923065</v>
      </c>
      <c r="J7">
        <f t="shared" si="7"/>
        <v>774.00768649955546</v>
      </c>
      <c r="K7">
        <f t="shared" si="7"/>
        <v>362.70763784396212</v>
      </c>
      <c r="L7">
        <f t="shared" si="7"/>
        <v>468.53621687947475</v>
      </c>
      <c r="M7">
        <f t="shared" si="7"/>
        <v>242.96205405815644</v>
      </c>
      <c r="N7">
        <f t="shared" si="7"/>
        <v>625.63624449874601</v>
      </c>
      <c r="P7">
        <v>2025</v>
      </c>
      <c r="Q7">
        <f t="shared" ref="Q7:W12" si="8">Q34/(Q$4^Q$3)</f>
        <v>625.63624449874601</v>
      </c>
      <c r="R7" s="19">
        <f>R34/(R$4^R$3)</f>
        <v>625.63624449874601</v>
      </c>
      <c r="S7">
        <f t="shared" si="8"/>
        <v>625.63624449874601</v>
      </c>
      <c r="T7">
        <f t="shared" si="8"/>
        <v>774.00768649955546</v>
      </c>
      <c r="U7">
        <f t="shared" si="8"/>
        <v>362.70763784396212</v>
      </c>
      <c r="V7" s="19">
        <f>V34/(V$4^V$3)</f>
        <v>625.63624449874601</v>
      </c>
      <c r="W7" s="19">
        <f t="shared" ref="W7" si="9">W34/(W$4^W$3)</f>
        <v>473.15022946675231</v>
      </c>
      <c r="X7" s="19">
        <f t="shared" ref="X7:AI7" si="10">X34/(X$4^X$3)</f>
        <v>473.15022946675231</v>
      </c>
      <c r="Y7" s="19">
        <f t="shared" si="10"/>
        <v>473.15022946675231</v>
      </c>
      <c r="Z7" s="19">
        <f t="shared" si="10"/>
        <v>473.15022946675231</v>
      </c>
      <c r="AA7" s="19">
        <f t="shared" ref="AA7:AD7" si="11">AA34/(AA$4^AA$3)</f>
        <v>473.15022946675231</v>
      </c>
      <c r="AB7" s="19">
        <f t="shared" si="11"/>
        <v>473.15022946675231</v>
      </c>
      <c r="AC7" s="19">
        <f t="shared" si="11"/>
        <v>473.15022946675231</v>
      </c>
      <c r="AD7" s="19">
        <f t="shared" si="11"/>
        <v>473.15022946675231</v>
      </c>
      <c r="AE7" s="19">
        <f t="shared" si="10"/>
        <v>473.15022946675231</v>
      </c>
      <c r="AF7" s="19">
        <f t="shared" si="10"/>
        <v>473.15022946675231</v>
      </c>
      <c r="AG7" s="19">
        <f t="shared" si="10"/>
        <v>473.15022946675231</v>
      </c>
      <c r="AH7" s="19">
        <f t="shared" si="10"/>
        <v>473.15022946675231</v>
      </c>
      <c r="AI7" s="19">
        <f t="shared" si="10"/>
        <v>473.15022946675231</v>
      </c>
      <c r="AJ7" s="19">
        <f>AJ34/(AJ$4^AJ$3)</f>
        <v>473.15022946675231</v>
      </c>
      <c r="AK7" s="19">
        <f t="shared" ref="AK7:AM7" si="12">AK34/(AK$4^AK$3)</f>
        <v>473.15022946675231</v>
      </c>
      <c r="AL7" s="19">
        <f t="shared" si="12"/>
        <v>473.15022946675231</v>
      </c>
      <c r="AM7" s="19">
        <f t="shared" si="12"/>
        <v>473.15022946675231</v>
      </c>
      <c r="AQ7">
        <v>2023</v>
      </c>
      <c r="AR7">
        <v>140</v>
      </c>
      <c r="AS7" t="s">
        <v>110</v>
      </c>
    </row>
    <row r="8" spans="1:45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7"/>
        <v>367.91396757377976</v>
      </c>
      <c r="J8">
        <f t="shared" si="7"/>
        <v>659.76272656262699</v>
      </c>
      <c r="K8">
        <f t="shared" si="7"/>
        <v>309.17132253719507</v>
      </c>
      <c r="L8">
        <f t="shared" si="7"/>
        <v>360.89331081690437</v>
      </c>
      <c r="M8">
        <f t="shared" si="7"/>
        <v>218.84088473896614</v>
      </c>
      <c r="N8">
        <f t="shared" si="7"/>
        <v>515.10827265465582</v>
      </c>
      <c r="P8">
        <v>2030</v>
      </c>
      <c r="Q8">
        <f t="shared" si="8"/>
        <v>515.10827265465582</v>
      </c>
      <c r="R8">
        <f t="shared" si="8"/>
        <v>515.10827265465582</v>
      </c>
      <c r="S8">
        <f t="shared" si="8"/>
        <v>515.10827265465582</v>
      </c>
      <c r="T8">
        <f t="shared" si="8"/>
        <v>659.76272656262699</v>
      </c>
      <c r="U8">
        <f t="shared" si="8"/>
        <v>309.17132253719507</v>
      </c>
      <c r="V8">
        <f t="shared" si="8"/>
        <v>515.10827265465582</v>
      </c>
      <c r="W8">
        <f t="shared" si="8"/>
        <v>389.56118599241626</v>
      </c>
      <c r="X8">
        <f t="shared" ref="X8:AI8" si="13">X35/(X$4^X$3)</f>
        <v>389.56118599241626</v>
      </c>
      <c r="Y8">
        <f t="shared" si="13"/>
        <v>389.56118599241626</v>
      </c>
      <c r="Z8">
        <f t="shared" si="13"/>
        <v>389.56118599241626</v>
      </c>
      <c r="AA8">
        <f t="shared" ref="AA8:AD8" si="14">AA35/(AA$4^AA$3)</f>
        <v>389.56118599241626</v>
      </c>
      <c r="AB8">
        <f t="shared" si="14"/>
        <v>389.56118599241626</v>
      </c>
      <c r="AC8">
        <f t="shared" si="14"/>
        <v>389.56118599241626</v>
      </c>
      <c r="AD8">
        <f t="shared" si="14"/>
        <v>389.56118599241626</v>
      </c>
      <c r="AE8">
        <f t="shared" si="13"/>
        <v>389.56118599241626</v>
      </c>
      <c r="AF8">
        <f t="shared" si="13"/>
        <v>389.56118599241626</v>
      </c>
      <c r="AG8">
        <f t="shared" si="13"/>
        <v>389.56118599241626</v>
      </c>
      <c r="AH8">
        <f t="shared" si="13"/>
        <v>389.56118599241626</v>
      </c>
      <c r="AI8">
        <f t="shared" si="13"/>
        <v>389.56118599241626</v>
      </c>
      <c r="AJ8">
        <f t="shared" ref="AJ8:AM8" si="15">AJ35/(AJ$4^AJ$3)</f>
        <v>389.56118599241626</v>
      </c>
      <c r="AK8">
        <f t="shared" si="15"/>
        <v>389.56118599241626</v>
      </c>
      <c r="AL8">
        <f t="shared" si="15"/>
        <v>389.56118599241626</v>
      </c>
      <c r="AM8">
        <f t="shared" si="15"/>
        <v>389.56118599241626</v>
      </c>
      <c r="AQ8">
        <v>2024</v>
      </c>
      <c r="AR8">
        <v>118</v>
      </c>
      <c r="AS8" t="s">
        <v>110</v>
      </c>
    </row>
    <row r="9" spans="1:45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7"/>
        <v>336.19724623121249</v>
      </c>
      <c r="J9">
        <f t="shared" si="7"/>
        <v>562.38053310547014</v>
      </c>
      <c r="K9">
        <f t="shared" si="7"/>
        <v>263.53706596198032</v>
      </c>
      <c r="L9">
        <f t="shared" si="7"/>
        <v>277.98060662168695</v>
      </c>
      <c r="M9">
        <f t="shared" si="7"/>
        <v>197.11445484351233</v>
      </c>
      <c r="N9">
        <f t="shared" si="7"/>
        <v>383.20139362110473</v>
      </c>
      <c r="P9">
        <v>2035</v>
      </c>
      <c r="Q9">
        <f t="shared" si="8"/>
        <v>383.20139362110473</v>
      </c>
      <c r="R9">
        <f t="shared" si="8"/>
        <v>383.20139362110473</v>
      </c>
      <c r="S9">
        <f t="shared" si="8"/>
        <v>383.20139362110473</v>
      </c>
      <c r="T9">
        <f t="shared" si="8"/>
        <v>562.38053310547014</v>
      </c>
      <c r="U9">
        <f t="shared" si="8"/>
        <v>263.53706596198032</v>
      </c>
      <c r="V9">
        <f t="shared" si="8"/>
        <v>383.20139362110473</v>
      </c>
      <c r="W9">
        <f t="shared" si="8"/>
        <v>289.80390589274498</v>
      </c>
      <c r="X9">
        <f t="shared" ref="X9:AI9" si="16">X36/(X$4^X$3)</f>
        <v>289.80390589274498</v>
      </c>
      <c r="Y9">
        <f t="shared" si="16"/>
        <v>289.80390589274498</v>
      </c>
      <c r="Z9">
        <f t="shared" si="16"/>
        <v>289.80390589274498</v>
      </c>
      <c r="AA9">
        <f t="shared" ref="AA9:AD9" si="17">AA36/(AA$4^AA$3)</f>
        <v>289.80390589274498</v>
      </c>
      <c r="AB9">
        <f t="shared" si="17"/>
        <v>289.80390589274498</v>
      </c>
      <c r="AC9">
        <f t="shared" si="17"/>
        <v>289.80390589274498</v>
      </c>
      <c r="AD9">
        <f t="shared" si="17"/>
        <v>289.80390589274498</v>
      </c>
      <c r="AE9">
        <f t="shared" si="16"/>
        <v>289.80390589274498</v>
      </c>
      <c r="AF9">
        <f t="shared" si="16"/>
        <v>289.80390589274498</v>
      </c>
      <c r="AG9">
        <f t="shared" si="16"/>
        <v>289.80390589274498</v>
      </c>
      <c r="AH9">
        <f t="shared" si="16"/>
        <v>289.80390589274498</v>
      </c>
      <c r="AI9">
        <f t="shared" si="16"/>
        <v>289.80390589274498</v>
      </c>
      <c r="AJ9">
        <f t="shared" ref="AJ9:AM9" si="18">AJ36/(AJ$4^AJ$3)</f>
        <v>289.80390589274498</v>
      </c>
      <c r="AK9">
        <f t="shared" si="18"/>
        <v>289.80390589274498</v>
      </c>
      <c r="AL9">
        <f t="shared" si="18"/>
        <v>289.80390589274498</v>
      </c>
      <c r="AM9">
        <f t="shared" si="18"/>
        <v>289.80390589274498</v>
      </c>
      <c r="AQ9" s="17" t="s">
        <v>114</v>
      </c>
      <c r="AR9" s="17">
        <f>SUM(AR2:AR8)</f>
        <v>1719</v>
      </c>
    </row>
    <row r="10" spans="1:45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7"/>
        <v>307.21472500438381</v>
      </c>
      <c r="J10">
        <f t="shared" si="7"/>
        <v>479.37213074126458</v>
      </c>
      <c r="K10">
        <f t="shared" si="7"/>
        <v>224.63850969713965</v>
      </c>
      <c r="L10">
        <f t="shared" si="7"/>
        <v>214.11651405466162</v>
      </c>
      <c r="M10">
        <f t="shared" si="7"/>
        <v>177.54501566103755</v>
      </c>
      <c r="N10">
        <f t="shared" si="7"/>
        <v>351.43675686754244</v>
      </c>
      <c r="P10">
        <v>2040</v>
      </c>
      <c r="Q10">
        <f t="shared" si="8"/>
        <v>351.43675686754244</v>
      </c>
      <c r="R10">
        <f t="shared" si="8"/>
        <v>351.43675686754244</v>
      </c>
      <c r="S10">
        <f t="shared" si="8"/>
        <v>351.43675686754244</v>
      </c>
      <c r="T10">
        <f t="shared" si="8"/>
        <v>479.37213074126458</v>
      </c>
      <c r="U10">
        <f t="shared" si="8"/>
        <v>224.63850969713965</v>
      </c>
      <c r="V10">
        <f t="shared" si="8"/>
        <v>351.43675686754244</v>
      </c>
      <c r="W10">
        <f t="shared" si="8"/>
        <v>265.78124847634564</v>
      </c>
      <c r="X10">
        <f t="shared" ref="X10:AI10" si="19">X37/(X$4^X$3)</f>
        <v>265.78124847634564</v>
      </c>
      <c r="Y10">
        <f t="shared" si="19"/>
        <v>265.78124847634564</v>
      </c>
      <c r="Z10">
        <f t="shared" si="19"/>
        <v>265.78124847634564</v>
      </c>
      <c r="AA10">
        <f t="shared" ref="AA10:AD10" si="20">AA37/(AA$4^AA$3)</f>
        <v>265.78124847634564</v>
      </c>
      <c r="AB10">
        <f t="shared" si="20"/>
        <v>265.78124847634564</v>
      </c>
      <c r="AC10">
        <f t="shared" si="20"/>
        <v>265.78124847634564</v>
      </c>
      <c r="AD10">
        <f t="shared" si="20"/>
        <v>265.78124847634564</v>
      </c>
      <c r="AE10">
        <f t="shared" si="19"/>
        <v>265.78124847634564</v>
      </c>
      <c r="AF10">
        <f t="shared" si="19"/>
        <v>265.78124847634564</v>
      </c>
      <c r="AG10">
        <f t="shared" si="19"/>
        <v>265.78124847634564</v>
      </c>
      <c r="AH10">
        <f t="shared" si="19"/>
        <v>265.78124847634564</v>
      </c>
      <c r="AI10">
        <f t="shared" si="19"/>
        <v>265.78124847634564</v>
      </c>
      <c r="AJ10">
        <f t="shared" ref="AJ10:AM10" si="21">AJ37/(AJ$4^AJ$3)</f>
        <v>265.78124847634564</v>
      </c>
      <c r="AK10">
        <f t="shared" si="21"/>
        <v>265.78124847634564</v>
      </c>
      <c r="AL10">
        <f t="shared" si="21"/>
        <v>265.78124847634564</v>
      </c>
      <c r="AM10">
        <f t="shared" si="21"/>
        <v>265.78124847634564</v>
      </c>
    </row>
    <row r="11" spans="1:45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7"/>
        <v>280.73069698676449</v>
      </c>
      <c r="J11">
        <f t="shared" si="7"/>
        <v>408.61592143397195</v>
      </c>
      <c r="K11">
        <f t="shared" si="7"/>
        <v>191.48145197242181</v>
      </c>
      <c r="L11">
        <f t="shared" si="7"/>
        <v>164.92474834157514</v>
      </c>
      <c r="M11">
        <f t="shared" si="7"/>
        <v>159.91842207159965</v>
      </c>
      <c r="N11">
        <f t="shared" si="7"/>
        <v>320.45153921329012</v>
      </c>
      <c r="P11">
        <v>2045</v>
      </c>
      <c r="Q11">
        <f t="shared" si="8"/>
        <v>320.45153921329012</v>
      </c>
      <c r="R11">
        <f t="shared" si="8"/>
        <v>320.45153921329012</v>
      </c>
      <c r="S11">
        <f t="shared" si="8"/>
        <v>320.45153921329012</v>
      </c>
      <c r="T11">
        <f t="shared" si="8"/>
        <v>408.61592143397195</v>
      </c>
      <c r="U11">
        <f t="shared" si="8"/>
        <v>191.48145197242181</v>
      </c>
      <c r="V11">
        <f t="shared" si="8"/>
        <v>320.45153921329012</v>
      </c>
      <c r="W11">
        <f t="shared" si="8"/>
        <v>242.34804272444305</v>
      </c>
      <c r="X11">
        <f t="shared" ref="X11:AI11" si="22">X38/(X$4^X$3)</f>
        <v>242.34804272444305</v>
      </c>
      <c r="Y11">
        <f t="shared" si="22"/>
        <v>242.34804272444305</v>
      </c>
      <c r="Z11">
        <f t="shared" si="22"/>
        <v>242.34804272444305</v>
      </c>
      <c r="AA11">
        <f t="shared" ref="AA11:AD11" si="23">AA38/(AA$4^AA$3)</f>
        <v>242.34804272444305</v>
      </c>
      <c r="AB11">
        <f t="shared" si="23"/>
        <v>242.34804272444305</v>
      </c>
      <c r="AC11">
        <f t="shared" si="23"/>
        <v>242.34804272444305</v>
      </c>
      <c r="AD11">
        <f t="shared" si="23"/>
        <v>242.34804272444305</v>
      </c>
      <c r="AE11">
        <f t="shared" si="22"/>
        <v>242.34804272444305</v>
      </c>
      <c r="AF11">
        <f t="shared" si="22"/>
        <v>242.34804272444305</v>
      </c>
      <c r="AG11">
        <f t="shared" si="22"/>
        <v>242.34804272444305</v>
      </c>
      <c r="AH11">
        <f t="shared" si="22"/>
        <v>242.34804272444305</v>
      </c>
      <c r="AI11">
        <f t="shared" si="22"/>
        <v>242.34804272444305</v>
      </c>
      <c r="AJ11">
        <f t="shared" ref="AJ11:AM11" si="24">AJ38/(AJ$4^AJ$3)</f>
        <v>242.34804272444305</v>
      </c>
      <c r="AK11">
        <f t="shared" si="24"/>
        <v>242.34804272444305</v>
      </c>
      <c r="AL11">
        <f t="shared" si="24"/>
        <v>242.34804272444305</v>
      </c>
      <c r="AM11">
        <f t="shared" si="24"/>
        <v>242.34804272444305</v>
      </c>
    </row>
    <row r="12" spans="1:45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7"/>
        <v>256.52977483273304</v>
      </c>
      <c r="J12">
        <f t="shared" si="7"/>
        <v>348.3034589248</v>
      </c>
      <c r="K12">
        <f t="shared" si="7"/>
        <v>163.21843702978293</v>
      </c>
      <c r="L12">
        <f t="shared" si="7"/>
        <v>127.03444540755035</v>
      </c>
      <c r="M12">
        <f t="shared" si="7"/>
        <v>144.04178919162132</v>
      </c>
      <c r="N12">
        <f t="shared" si="7"/>
        <v>300.11679224808154</v>
      </c>
      <c r="P12">
        <v>2050</v>
      </c>
      <c r="Q12">
        <f t="shared" si="8"/>
        <v>300.11679224808154</v>
      </c>
      <c r="R12">
        <f t="shared" si="8"/>
        <v>300.11679224808154</v>
      </c>
      <c r="S12">
        <f t="shared" si="8"/>
        <v>300.11679224808154</v>
      </c>
      <c r="T12">
        <f t="shared" si="8"/>
        <v>348.3034589248</v>
      </c>
      <c r="U12">
        <f t="shared" si="8"/>
        <v>163.21843702978293</v>
      </c>
      <c r="V12">
        <f t="shared" si="8"/>
        <v>300.11679224808154</v>
      </c>
      <c r="W12">
        <f t="shared" si="8"/>
        <v>226.96947366400545</v>
      </c>
      <c r="X12">
        <f t="shared" ref="X12:AI12" si="25">X39/(X$4^X$3)</f>
        <v>226.96947366400545</v>
      </c>
      <c r="Y12">
        <f t="shared" si="25"/>
        <v>226.96947366400545</v>
      </c>
      <c r="Z12">
        <f t="shared" si="25"/>
        <v>226.96947366400545</v>
      </c>
      <c r="AA12">
        <f t="shared" ref="AA12:AD12" si="26">AA39/(AA$4^AA$3)</f>
        <v>226.96947366400545</v>
      </c>
      <c r="AB12">
        <f t="shared" si="26"/>
        <v>226.96947366400545</v>
      </c>
      <c r="AC12">
        <f t="shared" si="26"/>
        <v>226.96947366400545</v>
      </c>
      <c r="AD12">
        <f t="shared" si="26"/>
        <v>226.96947366400545</v>
      </c>
      <c r="AE12">
        <f t="shared" si="25"/>
        <v>226.96947366400545</v>
      </c>
      <c r="AF12">
        <f t="shared" si="25"/>
        <v>226.96947366400545</v>
      </c>
      <c r="AG12">
        <f t="shared" si="25"/>
        <v>226.96947366400545</v>
      </c>
      <c r="AH12">
        <f t="shared" si="25"/>
        <v>226.96947366400545</v>
      </c>
      <c r="AI12">
        <f t="shared" si="25"/>
        <v>226.96947366400545</v>
      </c>
      <c r="AJ12">
        <f t="shared" ref="AJ12:AM12" si="27">AJ39/(AJ$4^AJ$3)</f>
        <v>226.96947366400545</v>
      </c>
      <c r="AK12">
        <f t="shared" si="27"/>
        <v>226.96947366400545</v>
      </c>
      <c r="AL12">
        <f t="shared" si="27"/>
        <v>226.96947366400545</v>
      </c>
      <c r="AM12">
        <f t="shared" si="27"/>
        <v>226.96947366400545</v>
      </c>
    </row>
    <row r="13" spans="1:45" x14ac:dyDescent="0.25">
      <c r="A13" s="8" t="s">
        <v>88</v>
      </c>
      <c r="P13" s="13"/>
    </row>
    <row r="14" spans="1:45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4" t="s">
        <v>89</v>
      </c>
      <c r="I14" s="24"/>
      <c r="J14" s="24"/>
      <c r="K14" s="24"/>
      <c r="L14" s="24"/>
      <c r="M14" s="24"/>
      <c r="N14" s="24"/>
      <c r="P14" s="24" t="s">
        <v>89</v>
      </c>
      <c r="Q14" s="24"/>
      <c r="R14" s="24"/>
      <c r="S14" s="24"/>
      <c r="T14" s="24"/>
      <c r="U14" s="24"/>
      <c r="V14" s="24"/>
    </row>
    <row r="15" spans="1:45" x14ac:dyDescent="0.25">
      <c r="A15" t="s">
        <v>77</v>
      </c>
      <c r="B15">
        <f>B18/(B16^B17)</f>
        <v>3084.0998748711568</v>
      </c>
      <c r="C15">
        <f t="shared" ref="C15:E15" si="28">C18/(C16^C17)</f>
        <v>9616.9213175821751</v>
      </c>
      <c r="D15">
        <f t="shared" si="28"/>
        <v>113244.05359147559</v>
      </c>
      <c r="E15">
        <f t="shared" si="28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125</v>
      </c>
      <c r="Y15" t="s">
        <v>126</v>
      </c>
      <c r="Z15" t="s">
        <v>127</v>
      </c>
      <c r="AA15" t="s">
        <v>132</v>
      </c>
      <c r="AB15" t="s">
        <v>133</v>
      </c>
      <c r="AC15" t="s">
        <v>134</v>
      </c>
      <c r="AD15" t="s">
        <v>135</v>
      </c>
      <c r="AE15" t="s">
        <v>136</v>
      </c>
      <c r="AF15" t="s">
        <v>128</v>
      </c>
      <c r="AG15" t="s">
        <v>129</v>
      </c>
      <c r="AH15" t="s">
        <v>130</v>
      </c>
      <c r="AI15" t="s">
        <v>131</v>
      </c>
      <c r="AJ15" t="s">
        <v>141</v>
      </c>
      <c r="AK15" t="s">
        <v>142</v>
      </c>
      <c r="AL15" t="s">
        <v>143</v>
      </c>
      <c r="AM15" t="s">
        <v>144</v>
      </c>
    </row>
    <row r="16" spans="1:45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13.967206200914374</v>
      </c>
      <c r="X16" s="16">
        <v>13.967208376686163</v>
      </c>
      <c r="Y16" s="16">
        <v>0</v>
      </c>
      <c r="Z16" s="16">
        <v>0</v>
      </c>
      <c r="AA16" s="16">
        <v>1646</v>
      </c>
      <c r="AB16" s="16">
        <v>1646</v>
      </c>
      <c r="AC16" s="16">
        <v>1646</v>
      </c>
      <c r="AD16" s="16">
        <v>1646</v>
      </c>
      <c r="AE16" s="16">
        <v>1646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</row>
    <row r="17" spans="1:39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29">R17*3</f>
        <v>354</v>
      </c>
      <c r="T17" s="16">
        <v>0</v>
      </c>
      <c r="U17" s="16">
        <v>0</v>
      </c>
      <c r="V17" s="16">
        <v>1800</v>
      </c>
      <c r="W17" s="16">
        <v>1161.9366517713443</v>
      </c>
      <c r="X17" s="16">
        <v>1163.3733969719688</v>
      </c>
      <c r="Y17" s="16">
        <v>3300</v>
      </c>
      <c r="Z17" s="16">
        <v>20000</v>
      </c>
      <c r="AA17" s="16">
        <v>2183</v>
      </c>
      <c r="AB17" s="16">
        <v>3018</v>
      </c>
      <c r="AC17" s="16">
        <v>3759</v>
      </c>
      <c r="AD17" s="16">
        <v>4137</v>
      </c>
      <c r="AE17" s="16">
        <v>4609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</row>
    <row r="18" spans="1:39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29"/>
        <v>354</v>
      </c>
      <c r="T18" s="16">
        <v>0</v>
      </c>
      <c r="U18" s="16">
        <v>0</v>
      </c>
      <c r="V18" s="16">
        <v>1800</v>
      </c>
      <c r="W18" s="16">
        <v>2050.2811328263424</v>
      </c>
      <c r="X18" s="16">
        <v>2055.883560435323</v>
      </c>
      <c r="Y18" s="16">
        <v>3300</v>
      </c>
      <c r="Z18" s="16">
        <v>35000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</row>
    <row r="19" spans="1:39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29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50000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20">
        <v>0</v>
      </c>
      <c r="AG19" s="20">
        <v>0</v>
      </c>
      <c r="AH19" s="16">
        <v>0</v>
      </c>
      <c r="AI19" s="20">
        <v>0</v>
      </c>
      <c r="AJ19" s="20">
        <v>0</v>
      </c>
      <c r="AK19" s="20">
        <v>0</v>
      </c>
      <c r="AL19" s="16">
        <v>0</v>
      </c>
      <c r="AM19" s="20">
        <v>0</v>
      </c>
    </row>
    <row r="20" spans="1:39" x14ac:dyDescent="0.25">
      <c r="A20" t="s">
        <v>77</v>
      </c>
      <c r="B20">
        <f>B15</f>
        <v>3084.0998748711568</v>
      </c>
      <c r="C20">
        <f t="shared" ref="C20:E20" si="30">C15</f>
        <v>9616.9213175821751</v>
      </c>
      <c r="D20">
        <f t="shared" si="30"/>
        <v>113244.05359147559</v>
      </c>
      <c r="E20">
        <f t="shared" si="30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29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75000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20">
        <v>0</v>
      </c>
      <c r="AH20" s="16">
        <v>0</v>
      </c>
      <c r="AI20" s="20">
        <v>0</v>
      </c>
      <c r="AJ20" s="16">
        <v>0</v>
      </c>
      <c r="AK20" s="20">
        <v>0</v>
      </c>
      <c r="AL20" s="16">
        <v>0</v>
      </c>
      <c r="AM20" s="20">
        <v>0</v>
      </c>
    </row>
    <row r="21" spans="1:39" x14ac:dyDescent="0.25">
      <c r="A21" t="s">
        <v>76</v>
      </c>
      <c r="B21">
        <f>B16+100</f>
        <v>361</v>
      </c>
      <c r="C21">
        <f t="shared" ref="C21:E21" si="31">C16+100</f>
        <v>4598</v>
      </c>
      <c r="D21">
        <f t="shared" si="31"/>
        <v>7199</v>
      </c>
      <c r="E21">
        <f t="shared" si="31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29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100000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20">
        <v>0</v>
      </c>
      <c r="AH21" s="16">
        <v>0</v>
      </c>
      <c r="AI21" s="20">
        <v>0</v>
      </c>
      <c r="AJ21" s="16">
        <v>0</v>
      </c>
      <c r="AK21" s="20">
        <v>0</v>
      </c>
      <c r="AL21" s="16">
        <v>0</v>
      </c>
      <c r="AM21" s="20">
        <v>0</v>
      </c>
    </row>
    <row r="22" spans="1:39" x14ac:dyDescent="0.25">
      <c r="A22" t="s">
        <v>74</v>
      </c>
      <c r="B22" s="5">
        <f>B17</f>
        <v>-7.1999999999999995E-2</v>
      </c>
      <c r="C22" s="5">
        <f t="shared" ref="C22:E22" si="32">C17</f>
        <v>-7.8E-2</v>
      </c>
      <c r="D22" s="5">
        <f t="shared" si="32"/>
        <v>-0.45</v>
      </c>
      <c r="E22" s="5">
        <f t="shared" si="32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9" x14ac:dyDescent="0.25">
      <c r="A23" t="s">
        <v>73</v>
      </c>
      <c r="B23">
        <f>B20*(B21^B22)</f>
        <v>2018.3102007173761</v>
      </c>
      <c r="C23">
        <f t="shared" ref="C23:E23" si="33">C20*(C21^C22)</f>
        <v>4981.4489427856479</v>
      </c>
      <c r="D23">
        <f t="shared" si="33"/>
        <v>2080.8603191100246</v>
      </c>
      <c r="E23">
        <f t="shared" si="33"/>
        <v>3512.6225095265308</v>
      </c>
      <c r="H23" s="24" t="s">
        <v>90</v>
      </c>
      <c r="I23" s="24"/>
      <c r="J23" s="24"/>
      <c r="K23" s="24"/>
      <c r="L23" s="24"/>
      <c r="M23" s="24"/>
      <c r="N23" s="24"/>
      <c r="P23" s="24" t="s">
        <v>90</v>
      </c>
      <c r="Q23" s="24"/>
      <c r="R23" s="24"/>
      <c r="S23" s="24"/>
      <c r="T23" s="24"/>
      <c r="U23" s="24"/>
      <c r="V23" s="24"/>
    </row>
    <row r="24" spans="1:39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125</v>
      </c>
      <c r="Y24" t="s">
        <v>126</v>
      </c>
      <c r="Z24" t="s">
        <v>127</v>
      </c>
      <c r="AA24" t="s">
        <v>132</v>
      </c>
      <c r="AB24" t="s">
        <v>133</v>
      </c>
      <c r="AC24" t="s">
        <v>134</v>
      </c>
      <c r="AD24" t="s">
        <v>135</v>
      </c>
      <c r="AE24" t="s">
        <v>136</v>
      </c>
      <c r="AF24" t="s">
        <v>128</v>
      </c>
      <c r="AG24" t="s">
        <v>129</v>
      </c>
      <c r="AH24" t="s">
        <v>130</v>
      </c>
      <c r="AI24" t="s">
        <v>131</v>
      </c>
      <c r="AJ24" t="s">
        <v>141</v>
      </c>
      <c r="AK24" t="s">
        <v>142</v>
      </c>
      <c r="AL24" t="s">
        <v>143</v>
      </c>
      <c r="AM24" t="s">
        <v>144</v>
      </c>
    </row>
    <row r="25" spans="1:39" x14ac:dyDescent="0.25">
      <c r="H25" s="14">
        <v>2025</v>
      </c>
      <c r="I25" s="10">
        <f t="shared" ref="I25:N25" si="34">I4+I16*5</f>
        <v>2219</v>
      </c>
      <c r="J25" s="10">
        <f t="shared" si="34"/>
        <v>1719</v>
      </c>
      <c r="K25" s="10">
        <f t="shared" si="34"/>
        <v>2219</v>
      </c>
      <c r="L25" s="10">
        <f t="shared" si="34"/>
        <v>4719</v>
      </c>
      <c r="M25" s="10">
        <f t="shared" si="34"/>
        <v>2219</v>
      </c>
      <c r="N25" s="10">
        <f t="shared" si="34"/>
        <v>3719</v>
      </c>
      <c r="P25" s="14">
        <v>2025</v>
      </c>
      <c r="Q25" s="10">
        <f t="shared" ref="Q25:U25" si="35">Q4+Q16*5</f>
        <v>1719</v>
      </c>
      <c r="R25" s="10">
        <f t="shared" si="35"/>
        <v>2309</v>
      </c>
      <c r="S25" s="10">
        <f t="shared" si="35"/>
        <v>3489</v>
      </c>
      <c r="T25" s="10">
        <f t="shared" si="35"/>
        <v>5219</v>
      </c>
      <c r="U25" s="10">
        <f t="shared" si="35"/>
        <v>5219</v>
      </c>
      <c r="V25" s="10">
        <f>V4+V16*5</f>
        <v>1719</v>
      </c>
      <c r="W25" s="10">
        <f t="shared" ref="W25" si="36">W4+W16*5</f>
        <v>1788.8360310045719</v>
      </c>
      <c r="X25" s="10">
        <f t="shared" ref="X25:AI25" si="37">X4+X16*5</f>
        <v>1788.8360418834309</v>
      </c>
      <c r="Y25" s="10">
        <f t="shared" si="37"/>
        <v>1719</v>
      </c>
      <c r="Z25" s="10">
        <f t="shared" si="37"/>
        <v>1719</v>
      </c>
      <c r="AA25" s="10">
        <f t="shared" ref="AA25:AD25" si="38">AA4+AA16*5</f>
        <v>9949</v>
      </c>
      <c r="AB25" s="10">
        <f t="shared" si="38"/>
        <v>9949</v>
      </c>
      <c r="AC25" s="10">
        <f t="shared" si="38"/>
        <v>9949</v>
      </c>
      <c r="AD25" s="10">
        <f t="shared" si="38"/>
        <v>9949</v>
      </c>
      <c r="AE25" s="10">
        <f t="shared" si="37"/>
        <v>9949</v>
      </c>
      <c r="AF25" s="10">
        <f t="shared" si="37"/>
        <v>1719</v>
      </c>
      <c r="AG25" s="10">
        <f t="shared" si="37"/>
        <v>1719</v>
      </c>
      <c r="AH25" s="10">
        <f t="shared" si="37"/>
        <v>1719</v>
      </c>
      <c r="AI25" s="10">
        <f t="shared" si="37"/>
        <v>1719</v>
      </c>
      <c r="AJ25" s="10">
        <f t="shared" ref="AJ25:AM25" si="39">AJ4+AJ16*5</f>
        <v>1719</v>
      </c>
      <c r="AK25" s="10">
        <f t="shared" si="39"/>
        <v>1719</v>
      </c>
      <c r="AL25" s="10">
        <f t="shared" si="39"/>
        <v>1719</v>
      </c>
      <c r="AM25" s="10">
        <f t="shared" si="39"/>
        <v>1719</v>
      </c>
    </row>
    <row r="26" spans="1:39" x14ac:dyDescent="0.25">
      <c r="H26" s="14">
        <v>2030</v>
      </c>
      <c r="I26" s="10">
        <f t="shared" ref="I26:N26" si="40">I25+I17*5</f>
        <v>2219</v>
      </c>
      <c r="J26" s="10">
        <f t="shared" si="40"/>
        <v>3219</v>
      </c>
      <c r="K26" s="10">
        <f t="shared" si="40"/>
        <v>3219</v>
      </c>
      <c r="L26" s="10">
        <f t="shared" si="40"/>
        <v>7219</v>
      </c>
      <c r="M26" s="10">
        <f t="shared" si="40"/>
        <v>2719</v>
      </c>
      <c r="N26" s="10">
        <f t="shared" si="40"/>
        <v>5719</v>
      </c>
      <c r="P26" s="14">
        <v>2030</v>
      </c>
      <c r="Q26" s="10">
        <f t="shared" ref="Q26:W26" si="41">Q25+Q17*5</f>
        <v>4719</v>
      </c>
      <c r="R26" s="10">
        <f t="shared" si="41"/>
        <v>2899</v>
      </c>
      <c r="S26" s="10">
        <f t="shared" si="41"/>
        <v>5259</v>
      </c>
      <c r="T26" s="10">
        <f t="shared" si="41"/>
        <v>5219</v>
      </c>
      <c r="U26" s="10">
        <f t="shared" si="41"/>
        <v>5219</v>
      </c>
      <c r="V26" s="10">
        <f t="shared" si="41"/>
        <v>10719</v>
      </c>
      <c r="W26" s="10">
        <f t="shared" si="41"/>
        <v>7598.5192898612931</v>
      </c>
      <c r="X26" s="10">
        <f t="shared" ref="X26:AI26" si="42">X25+X17*5</f>
        <v>7605.7030267432747</v>
      </c>
      <c r="Y26" s="10">
        <f t="shared" si="42"/>
        <v>18219</v>
      </c>
      <c r="Z26" s="10">
        <f t="shared" si="42"/>
        <v>101719</v>
      </c>
      <c r="AA26" s="10">
        <f>AA25+AA17*2</f>
        <v>14315</v>
      </c>
      <c r="AB26" s="10">
        <f t="shared" ref="AB26:AE26" si="43">AB25+AB17*2</f>
        <v>15985</v>
      </c>
      <c r="AC26" s="10">
        <f t="shared" si="43"/>
        <v>17467</v>
      </c>
      <c r="AD26" s="10">
        <f t="shared" si="43"/>
        <v>18223</v>
      </c>
      <c r="AE26" s="10">
        <f t="shared" si="43"/>
        <v>19167</v>
      </c>
      <c r="AF26" s="10">
        <f t="shared" si="42"/>
        <v>1719</v>
      </c>
      <c r="AG26" s="10">
        <f t="shared" si="42"/>
        <v>1719</v>
      </c>
      <c r="AH26" s="10">
        <f t="shared" si="42"/>
        <v>1719</v>
      </c>
      <c r="AI26" s="10">
        <f t="shared" si="42"/>
        <v>1719</v>
      </c>
      <c r="AJ26" s="10">
        <f t="shared" ref="AJ26:AM26" si="44">AJ25+AJ17*5</f>
        <v>1719</v>
      </c>
      <c r="AK26" s="10">
        <f t="shared" si="44"/>
        <v>1719</v>
      </c>
      <c r="AL26" s="10">
        <f t="shared" si="44"/>
        <v>1719</v>
      </c>
      <c r="AM26" s="10">
        <f t="shared" si="44"/>
        <v>1719</v>
      </c>
    </row>
    <row r="27" spans="1:39" x14ac:dyDescent="0.25">
      <c r="H27" s="14">
        <v>2035</v>
      </c>
      <c r="I27" s="10">
        <f t="shared" ref="I27:N30" si="45">I26+I18*5</f>
        <v>2219</v>
      </c>
      <c r="J27" s="10">
        <f t="shared" si="45"/>
        <v>4719</v>
      </c>
      <c r="K27" s="10">
        <f t="shared" si="45"/>
        <v>4719</v>
      </c>
      <c r="L27" s="10">
        <f t="shared" si="45"/>
        <v>9219</v>
      </c>
      <c r="M27" s="10">
        <f t="shared" si="45"/>
        <v>3219</v>
      </c>
      <c r="N27" s="10">
        <f t="shared" si="45"/>
        <v>7719</v>
      </c>
      <c r="P27" s="14">
        <v>2035</v>
      </c>
      <c r="Q27" s="10">
        <f t="shared" ref="Q27:W30" si="46">Q26+Q18*5</f>
        <v>7719</v>
      </c>
      <c r="R27" s="10">
        <f t="shared" si="46"/>
        <v>3489</v>
      </c>
      <c r="S27" s="10">
        <f t="shared" si="46"/>
        <v>7029</v>
      </c>
      <c r="T27" s="10">
        <f t="shared" si="46"/>
        <v>5219</v>
      </c>
      <c r="U27" s="10">
        <f t="shared" si="46"/>
        <v>5219</v>
      </c>
      <c r="V27" s="10">
        <f t="shared" si="46"/>
        <v>19719</v>
      </c>
      <c r="W27" s="10">
        <f t="shared" si="46"/>
        <v>17849.924953993002</v>
      </c>
      <c r="X27" s="10">
        <f t="shared" ref="X27:AI27" si="47">X26+X18*5</f>
        <v>17885.120828919891</v>
      </c>
      <c r="Y27" s="10">
        <f t="shared" si="47"/>
        <v>34719</v>
      </c>
      <c r="Z27" s="10">
        <f t="shared" si="47"/>
        <v>276719</v>
      </c>
      <c r="AA27" s="10">
        <f t="shared" ref="AA27:AD27" si="48">AA26+AA18*5</f>
        <v>14315</v>
      </c>
      <c r="AB27" s="10">
        <f t="shared" si="48"/>
        <v>15985</v>
      </c>
      <c r="AC27" s="10">
        <f t="shared" si="48"/>
        <v>17467</v>
      </c>
      <c r="AD27" s="10">
        <f t="shared" si="48"/>
        <v>18223</v>
      </c>
      <c r="AE27" s="10">
        <f t="shared" si="47"/>
        <v>19167</v>
      </c>
      <c r="AF27" s="10">
        <f t="shared" si="47"/>
        <v>1719</v>
      </c>
      <c r="AG27" s="10">
        <f t="shared" si="47"/>
        <v>1719</v>
      </c>
      <c r="AH27" s="10">
        <f t="shared" si="47"/>
        <v>1719</v>
      </c>
      <c r="AI27" s="10">
        <f t="shared" si="47"/>
        <v>1719</v>
      </c>
      <c r="AJ27" s="10">
        <f t="shared" ref="AJ27:AM27" si="49">AJ26+AJ18*5</f>
        <v>1719</v>
      </c>
      <c r="AK27" s="10">
        <f t="shared" si="49"/>
        <v>1719</v>
      </c>
      <c r="AL27" s="10">
        <f t="shared" si="49"/>
        <v>1719</v>
      </c>
      <c r="AM27" s="10">
        <f t="shared" si="49"/>
        <v>1719</v>
      </c>
    </row>
    <row r="28" spans="1:39" x14ac:dyDescent="0.25">
      <c r="H28" s="14">
        <v>2040</v>
      </c>
      <c r="I28" s="10">
        <f t="shared" si="45"/>
        <v>2219</v>
      </c>
      <c r="J28" s="10">
        <f t="shared" si="45"/>
        <v>4719</v>
      </c>
      <c r="K28" s="10">
        <f t="shared" si="45"/>
        <v>6719</v>
      </c>
      <c r="L28" s="10">
        <f t="shared" si="45"/>
        <v>10719</v>
      </c>
      <c r="M28" s="10">
        <f t="shared" si="45"/>
        <v>3719</v>
      </c>
      <c r="N28" s="10">
        <f t="shared" si="45"/>
        <v>9719</v>
      </c>
      <c r="P28" s="14">
        <v>2040</v>
      </c>
      <c r="Q28" s="10">
        <f t="shared" si="46"/>
        <v>7719</v>
      </c>
      <c r="R28" s="10">
        <f t="shared" si="46"/>
        <v>4079</v>
      </c>
      <c r="S28" s="10">
        <f t="shared" si="46"/>
        <v>8799</v>
      </c>
      <c r="T28" s="10">
        <f t="shared" si="46"/>
        <v>5219</v>
      </c>
      <c r="U28" s="10">
        <f t="shared" si="46"/>
        <v>5219</v>
      </c>
      <c r="V28" s="10">
        <f t="shared" si="46"/>
        <v>19719</v>
      </c>
      <c r="W28" s="10">
        <f t="shared" si="46"/>
        <v>17849.924953993002</v>
      </c>
      <c r="X28" s="10">
        <f t="shared" ref="X28:AI28" si="50">X27+X19*5</f>
        <v>17885.120828919891</v>
      </c>
      <c r="Y28" s="10">
        <f t="shared" si="50"/>
        <v>34719</v>
      </c>
      <c r="Z28" s="10">
        <f t="shared" si="50"/>
        <v>526719</v>
      </c>
      <c r="AA28" s="10">
        <f t="shared" ref="AA28:AD28" si="51">AA27+AA19*5</f>
        <v>14315</v>
      </c>
      <c r="AB28" s="10">
        <f t="shared" si="51"/>
        <v>15985</v>
      </c>
      <c r="AC28" s="10">
        <f t="shared" si="51"/>
        <v>17467</v>
      </c>
      <c r="AD28" s="10">
        <f t="shared" si="51"/>
        <v>18223</v>
      </c>
      <c r="AE28" s="10">
        <f t="shared" si="50"/>
        <v>19167</v>
      </c>
      <c r="AF28" s="10">
        <f t="shared" si="50"/>
        <v>1719</v>
      </c>
      <c r="AG28" s="10">
        <f t="shared" si="50"/>
        <v>1719</v>
      </c>
      <c r="AH28" s="10">
        <f t="shared" si="50"/>
        <v>1719</v>
      </c>
      <c r="AI28" s="10">
        <f t="shared" si="50"/>
        <v>1719</v>
      </c>
      <c r="AJ28" s="10">
        <f t="shared" ref="AJ28:AM28" si="52">AJ27+AJ19*5</f>
        <v>1719</v>
      </c>
      <c r="AK28" s="10">
        <f t="shared" si="52"/>
        <v>1719</v>
      </c>
      <c r="AL28" s="10">
        <f t="shared" si="52"/>
        <v>1719</v>
      </c>
      <c r="AM28" s="10">
        <f t="shared" si="52"/>
        <v>1719</v>
      </c>
    </row>
    <row r="29" spans="1:39" x14ac:dyDescent="0.25">
      <c r="H29" s="14">
        <v>2045</v>
      </c>
      <c r="I29" s="10">
        <f t="shared" si="45"/>
        <v>2219</v>
      </c>
      <c r="J29" s="10">
        <f t="shared" si="45"/>
        <v>4719</v>
      </c>
      <c r="K29" s="10">
        <f t="shared" si="45"/>
        <v>9219</v>
      </c>
      <c r="L29" s="10">
        <f t="shared" si="45"/>
        <v>11719</v>
      </c>
      <c r="M29" s="10">
        <f t="shared" si="45"/>
        <v>4219</v>
      </c>
      <c r="N29" s="10">
        <f t="shared" si="45"/>
        <v>11719</v>
      </c>
      <c r="P29" s="14">
        <v>2045</v>
      </c>
      <c r="Q29" s="10">
        <f t="shared" si="46"/>
        <v>7719</v>
      </c>
      <c r="R29" s="10">
        <f t="shared" si="46"/>
        <v>4669</v>
      </c>
      <c r="S29" s="10">
        <f t="shared" si="46"/>
        <v>10569</v>
      </c>
      <c r="T29" s="10">
        <f t="shared" si="46"/>
        <v>5219</v>
      </c>
      <c r="U29" s="10">
        <f t="shared" si="46"/>
        <v>5219</v>
      </c>
      <c r="V29" s="10">
        <f t="shared" si="46"/>
        <v>19719</v>
      </c>
      <c r="W29" s="10">
        <f t="shared" si="46"/>
        <v>17849.924953993002</v>
      </c>
      <c r="X29" s="10">
        <f t="shared" ref="X29:AI29" si="53">X28+X20*5</f>
        <v>17885.120828919891</v>
      </c>
      <c r="Y29" s="10">
        <f t="shared" si="53"/>
        <v>34719</v>
      </c>
      <c r="Z29" s="10">
        <f t="shared" si="53"/>
        <v>901719</v>
      </c>
      <c r="AA29" s="10">
        <f t="shared" ref="AA29:AD29" si="54">AA28+AA20*5</f>
        <v>14315</v>
      </c>
      <c r="AB29" s="10">
        <f t="shared" si="54"/>
        <v>15985</v>
      </c>
      <c r="AC29" s="10">
        <f t="shared" si="54"/>
        <v>17467</v>
      </c>
      <c r="AD29" s="10">
        <f t="shared" si="54"/>
        <v>18223</v>
      </c>
      <c r="AE29" s="10">
        <f t="shared" si="53"/>
        <v>19167</v>
      </c>
      <c r="AF29" s="10">
        <f t="shared" si="53"/>
        <v>1719</v>
      </c>
      <c r="AG29" s="10">
        <f t="shared" si="53"/>
        <v>1719</v>
      </c>
      <c r="AH29" s="10">
        <f t="shared" si="53"/>
        <v>1719</v>
      </c>
      <c r="AI29" s="10">
        <f t="shared" si="53"/>
        <v>1719</v>
      </c>
      <c r="AJ29" s="10">
        <f t="shared" ref="AJ29:AM29" si="55">AJ28+AJ20*5</f>
        <v>1719</v>
      </c>
      <c r="AK29" s="10">
        <f t="shared" si="55"/>
        <v>1719</v>
      </c>
      <c r="AL29" s="10">
        <f t="shared" si="55"/>
        <v>1719</v>
      </c>
      <c r="AM29" s="10">
        <f t="shared" si="55"/>
        <v>1719</v>
      </c>
    </row>
    <row r="30" spans="1:39" x14ac:dyDescent="0.25">
      <c r="H30" s="14">
        <v>2050</v>
      </c>
      <c r="I30" s="10">
        <f t="shared" si="45"/>
        <v>2219</v>
      </c>
      <c r="J30" s="10">
        <f t="shared" si="45"/>
        <v>4719</v>
      </c>
      <c r="K30" s="10">
        <f t="shared" si="45"/>
        <v>12219</v>
      </c>
      <c r="L30" s="10">
        <f t="shared" si="45"/>
        <v>12219</v>
      </c>
      <c r="M30" s="10">
        <f t="shared" si="45"/>
        <v>4719</v>
      </c>
      <c r="N30" s="10">
        <f t="shared" si="45"/>
        <v>13719</v>
      </c>
      <c r="P30" s="14">
        <v>2050</v>
      </c>
      <c r="Q30" s="10">
        <f t="shared" si="46"/>
        <v>7719</v>
      </c>
      <c r="R30" s="10">
        <f t="shared" si="46"/>
        <v>5259</v>
      </c>
      <c r="S30" s="10">
        <f t="shared" si="46"/>
        <v>12339</v>
      </c>
      <c r="T30" s="10">
        <f t="shared" si="46"/>
        <v>5219</v>
      </c>
      <c r="U30" s="10">
        <f t="shared" si="46"/>
        <v>5219</v>
      </c>
      <c r="V30" s="10">
        <f t="shared" si="46"/>
        <v>19719</v>
      </c>
      <c r="W30" s="10">
        <f t="shared" si="46"/>
        <v>17849.924953993002</v>
      </c>
      <c r="X30" s="10">
        <f t="shared" ref="X30:AI30" si="56">X29+X21*5</f>
        <v>17885.120828919891</v>
      </c>
      <c r="Y30" s="10">
        <f t="shared" si="56"/>
        <v>34719</v>
      </c>
      <c r="Z30" s="10">
        <f t="shared" si="56"/>
        <v>1401719</v>
      </c>
      <c r="AA30" s="10">
        <f t="shared" ref="AA30:AD30" si="57">AA29+AA21*5</f>
        <v>14315</v>
      </c>
      <c r="AB30" s="10">
        <f t="shared" si="57"/>
        <v>15985</v>
      </c>
      <c r="AC30" s="10">
        <f t="shared" si="57"/>
        <v>17467</v>
      </c>
      <c r="AD30" s="10">
        <f t="shared" si="57"/>
        <v>18223</v>
      </c>
      <c r="AE30" s="10">
        <f t="shared" si="56"/>
        <v>19167</v>
      </c>
      <c r="AF30" s="10">
        <f t="shared" si="56"/>
        <v>1719</v>
      </c>
      <c r="AG30" s="10">
        <f t="shared" si="56"/>
        <v>1719</v>
      </c>
      <c r="AH30" s="10">
        <f t="shared" si="56"/>
        <v>1719</v>
      </c>
      <c r="AI30" s="10">
        <f t="shared" si="56"/>
        <v>1719</v>
      </c>
      <c r="AJ30" s="10">
        <f t="shared" ref="AJ30:AM30" si="58">AJ29+AJ21*5</f>
        <v>1719</v>
      </c>
      <c r="AK30" s="10">
        <f t="shared" si="58"/>
        <v>1719</v>
      </c>
      <c r="AL30" s="10">
        <f t="shared" si="58"/>
        <v>1719</v>
      </c>
      <c r="AM30" s="10">
        <f t="shared" si="58"/>
        <v>1719</v>
      </c>
    </row>
    <row r="31" spans="1:39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9" x14ac:dyDescent="0.25">
      <c r="H32" s="23" t="s">
        <v>91</v>
      </c>
      <c r="I32" s="23"/>
      <c r="J32" s="23"/>
      <c r="K32" s="23"/>
      <c r="L32" s="23"/>
      <c r="M32" s="23"/>
      <c r="N32" s="23"/>
      <c r="P32" s="23" t="s">
        <v>91</v>
      </c>
      <c r="Q32" s="23"/>
      <c r="R32" s="23"/>
      <c r="S32" s="23"/>
      <c r="T32" s="23"/>
      <c r="U32" s="23"/>
      <c r="V32" s="23"/>
    </row>
    <row r="33" spans="8:39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125</v>
      </c>
      <c r="Y33" t="s">
        <v>126</v>
      </c>
      <c r="Z33" t="s">
        <v>127</v>
      </c>
      <c r="AA33" t="s">
        <v>132</v>
      </c>
      <c r="AB33" t="s">
        <v>133</v>
      </c>
      <c r="AC33" t="s">
        <v>134</v>
      </c>
      <c r="AD33" t="s">
        <v>135</v>
      </c>
      <c r="AE33" t="s">
        <v>136</v>
      </c>
      <c r="AF33" t="s">
        <v>128</v>
      </c>
      <c r="AG33" t="s">
        <v>129</v>
      </c>
      <c r="AH33" t="s">
        <v>130</v>
      </c>
      <c r="AI33" t="s">
        <v>131</v>
      </c>
      <c r="AJ33" t="s">
        <v>141</v>
      </c>
      <c r="AK33" t="s">
        <v>142</v>
      </c>
      <c r="AL33" t="s">
        <v>143</v>
      </c>
      <c r="AM33" t="s">
        <v>144</v>
      </c>
    </row>
    <row r="34" spans="8:39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M39" si="59">$N34</f>
        <v>360.50516023732143</v>
      </c>
      <c r="X34" s="10">
        <f t="shared" si="59"/>
        <v>360.50516023732143</v>
      </c>
      <c r="Y34" s="10">
        <f t="shared" si="59"/>
        <v>360.50516023732143</v>
      </c>
      <c r="Z34" s="10">
        <f t="shared" si="59"/>
        <v>360.50516023732143</v>
      </c>
      <c r="AA34" s="10">
        <f t="shared" si="59"/>
        <v>360.50516023732143</v>
      </c>
      <c r="AB34" s="10">
        <f t="shared" si="59"/>
        <v>360.50516023732143</v>
      </c>
      <c r="AC34" s="10">
        <f t="shared" si="59"/>
        <v>360.50516023732143</v>
      </c>
      <c r="AD34" s="10">
        <f t="shared" si="59"/>
        <v>360.50516023732143</v>
      </c>
      <c r="AE34" s="10">
        <f t="shared" si="59"/>
        <v>360.50516023732143</v>
      </c>
      <c r="AF34" s="10">
        <f t="shared" si="59"/>
        <v>360.50516023732143</v>
      </c>
      <c r="AG34" s="10">
        <f t="shared" si="59"/>
        <v>360.50516023732143</v>
      </c>
      <c r="AH34" s="10">
        <f t="shared" si="59"/>
        <v>360.50516023732143</v>
      </c>
      <c r="AI34" s="10">
        <f t="shared" si="59"/>
        <v>360.50516023732143</v>
      </c>
      <c r="AJ34" s="10">
        <f t="shared" si="59"/>
        <v>360.50516023732143</v>
      </c>
      <c r="AK34" s="10">
        <f t="shared" si="59"/>
        <v>360.50516023732143</v>
      </c>
      <c r="AL34" s="10">
        <f t="shared" si="59"/>
        <v>360.50516023732143</v>
      </c>
      <c r="AM34" s="10">
        <f t="shared" si="59"/>
        <v>360.50516023732143</v>
      </c>
    </row>
    <row r="35" spans="8:39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J39" si="60">$N35</f>
        <v>296.81654796345282</v>
      </c>
      <c r="R35" s="10">
        <f t="shared" si="60"/>
        <v>296.81654796345282</v>
      </c>
      <c r="S35" s="10">
        <f t="shared" si="60"/>
        <v>296.81654796345282</v>
      </c>
      <c r="T35" s="10">
        <f t="shared" ref="T35:T39" si="61">J35</f>
        <v>380.16957864810638</v>
      </c>
      <c r="U35" s="10">
        <f t="shared" ref="U35:U39" si="62">K35</f>
        <v>178.15121510639958</v>
      </c>
      <c r="V35" s="10">
        <f t="shared" si="60"/>
        <v>296.81654796345282</v>
      </c>
      <c r="W35" s="10">
        <f t="shared" si="60"/>
        <v>296.81654796345282</v>
      </c>
      <c r="X35" s="10">
        <f t="shared" si="60"/>
        <v>296.81654796345282</v>
      </c>
      <c r="Y35" s="10">
        <f t="shared" si="60"/>
        <v>296.81654796345282</v>
      </c>
      <c r="Z35" s="10">
        <f t="shared" si="60"/>
        <v>296.81654796345282</v>
      </c>
      <c r="AA35" s="10">
        <f t="shared" si="60"/>
        <v>296.81654796345282</v>
      </c>
      <c r="AB35" s="10">
        <f t="shared" si="60"/>
        <v>296.81654796345282</v>
      </c>
      <c r="AC35" s="10">
        <f t="shared" si="60"/>
        <v>296.81654796345282</v>
      </c>
      <c r="AD35" s="10">
        <f t="shared" si="60"/>
        <v>296.81654796345282</v>
      </c>
      <c r="AE35" s="10">
        <f t="shared" si="60"/>
        <v>296.81654796345282</v>
      </c>
      <c r="AF35" s="10">
        <f t="shared" si="60"/>
        <v>296.81654796345282</v>
      </c>
      <c r="AG35" s="10">
        <f t="shared" si="60"/>
        <v>296.81654796345282</v>
      </c>
      <c r="AH35" s="10">
        <f t="shared" si="60"/>
        <v>296.81654796345282</v>
      </c>
      <c r="AI35" s="10">
        <f t="shared" si="60"/>
        <v>296.81654796345282</v>
      </c>
      <c r="AJ35" s="10">
        <f t="shared" si="60"/>
        <v>296.81654796345282</v>
      </c>
      <c r="AK35" s="10">
        <f t="shared" si="59"/>
        <v>296.81654796345282</v>
      </c>
      <c r="AL35" s="10">
        <f t="shared" si="59"/>
        <v>296.81654796345282</v>
      </c>
      <c r="AM35" s="10">
        <f t="shared" si="59"/>
        <v>296.81654796345282</v>
      </c>
    </row>
    <row r="36" spans="8:39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60"/>
        <v>220.8089461332641</v>
      </c>
      <c r="R36" s="10">
        <f t="shared" si="60"/>
        <v>220.8089461332641</v>
      </c>
      <c r="S36" s="10">
        <f t="shared" si="60"/>
        <v>220.8089461332641</v>
      </c>
      <c r="T36" s="10">
        <f t="shared" si="61"/>
        <v>324.05584872080431</v>
      </c>
      <c r="U36" s="10">
        <f t="shared" si="62"/>
        <v>151.85576767409884</v>
      </c>
      <c r="V36" s="10">
        <f t="shared" si="60"/>
        <v>220.8089461332641</v>
      </c>
      <c r="W36" s="10">
        <f t="shared" si="60"/>
        <v>220.8089461332641</v>
      </c>
      <c r="X36" s="10">
        <f t="shared" si="60"/>
        <v>220.8089461332641</v>
      </c>
      <c r="Y36" s="10">
        <f t="shared" si="60"/>
        <v>220.8089461332641</v>
      </c>
      <c r="Z36" s="10">
        <f t="shared" si="60"/>
        <v>220.8089461332641</v>
      </c>
      <c r="AA36" s="10">
        <f t="shared" si="60"/>
        <v>220.8089461332641</v>
      </c>
      <c r="AB36" s="10">
        <f t="shared" si="60"/>
        <v>220.8089461332641</v>
      </c>
      <c r="AC36" s="10">
        <f t="shared" si="60"/>
        <v>220.8089461332641</v>
      </c>
      <c r="AD36" s="10">
        <f t="shared" si="60"/>
        <v>220.8089461332641</v>
      </c>
      <c r="AE36" s="10">
        <f t="shared" si="60"/>
        <v>220.8089461332641</v>
      </c>
      <c r="AF36" s="10">
        <f t="shared" si="60"/>
        <v>220.8089461332641</v>
      </c>
      <c r="AG36" s="10">
        <f t="shared" si="60"/>
        <v>220.8089461332641</v>
      </c>
      <c r="AH36" s="10">
        <f t="shared" si="60"/>
        <v>220.8089461332641</v>
      </c>
      <c r="AI36" s="10">
        <f t="shared" si="60"/>
        <v>220.8089461332641</v>
      </c>
      <c r="AJ36" s="10">
        <f t="shared" si="59"/>
        <v>220.8089461332641</v>
      </c>
      <c r="AK36" s="10">
        <f t="shared" si="59"/>
        <v>220.8089461332641</v>
      </c>
      <c r="AL36" s="10">
        <f t="shared" si="59"/>
        <v>220.8089461332641</v>
      </c>
      <c r="AM36" s="10">
        <f t="shared" si="59"/>
        <v>220.8089461332641</v>
      </c>
    </row>
    <row r="37" spans="8:39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60"/>
        <v>202.50547416626196</v>
      </c>
      <c r="R37" s="10">
        <f t="shared" si="60"/>
        <v>202.50547416626196</v>
      </c>
      <c r="S37" s="10">
        <f t="shared" si="60"/>
        <v>202.50547416626196</v>
      </c>
      <c r="T37" s="10">
        <f t="shared" si="61"/>
        <v>276.22460866960239</v>
      </c>
      <c r="U37" s="10">
        <f t="shared" si="62"/>
        <v>129.4415767084011</v>
      </c>
      <c r="V37" s="10">
        <f t="shared" si="60"/>
        <v>202.50547416626196</v>
      </c>
      <c r="W37" s="10">
        <f t="shared" si="60"/>
        <v>202.50547416626196</v>
      </c>
      <c r="X37" s="10">
        <f t="shared" si="60"/>
        <v>202.50547416626196</v>
      </c>
      <c r="Y37" s="10">
        <f t="shared" si="60"/>
        <v>202.50547416626196</v>
      </c>
      <c r="Z37" s="10">
        <f t="shared" si="60"/>
        <v>202.50547416626196</v>
      </c>
      <c r="AA37" s="10">
        <f t="shared" si="60"/>
        <v>202.50547416626196</v>
      </c>
      <c r="AB37" s="10">
        <f t="shared" si="60"/>
        <v>202.50547416626196</v>
      </c>
      <c r="AC37" s="10">
        <f t="shared" si="60"/>
        <v>202.50547416626196</v>
      </c>
      <c r="AD37" s="10">
        <f t="shared" si="60"/>
        <v>202.50547416626196</v>
      </c>
      <c r="AE37" s="10">
        <f t="shared" si="60"/>
        <v>202.50547416626196</v>
      </c>
      <c r="AF37" s="10">
        <f t="shared" si="60"/>
        <v>202.50547416626196</v>
      </c>
      <c r="AG37" s="10">
        <f t="shared" si="60"/>
        <v>202.50547416626196</v>
      </c>
      <c r="AH37" s="10">
        <f t="shared" si="60"/>
        <v>202.50547416626196</v>
      </c>
      <c r="AI37" s="10">
        <f t="shared" si="60"/>
        <v>202.50547416626196</v>
      </c>
      <c r="AJ37" s="10">
        <f t="shared" si="59"/>
        <v>202.50547416626196</v>
      </c>
      <c r="AK37" s="10">
        <f t="shared" si="59"/>
        <v>202.50547416626196</v>
      </c>
      <c r="AL37" s="10">
        <f t="shared" si="59"/>
        <v>202.50547416626196</v>
      </c>
      <c r="AM37" s="10">
        <f t="shared" si="59"/>
        <v>202.50547416626196</v>
      </c>
    </row>
    <row r="38" spans="8:39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60"/>
        <v>184.65112037257458</v>
      </c>
      <c r="R38" s="10">
        <f t="shared" si="60"/>
        <v>184.65112037257458</v>
      </c>
      <c r="S38" s="10">
        <f t="shared" si="60"/>
        <v>184.65112037257458</v>
      </c>
      <c r="T38" s="10">
        <f t="shared" si="61"/>
        <v>235.45334773578654</v>
      </c>
      <c r="U38" s="10">
        <f t="shared" si="62"/>
        <v>110.33576160712865</v>
      </c>
      <c r="V38" s="10">
        <f t="shared" si="60"/>
        <v>184.65112037257458</v>
      </c>
      <c r="W38" s="10">
        <f t="shared" si="60"/>
        <v>184.65112037257458</v>
      </c>
      <c r="X38" s="10">
        <f t="shared" si="60"/>
        <v>184.65112037257458</v>
      </c>
      <c r="Y38" s="10">
        <f t="shared" si="60"/>
        <v>184.65112037257458</v>
      </c>
      <c r="Z38" s="10">
        <f t="shared" si="60"/>
        <v>184.65112037257458</v>
      </c>
      <c r="AA38" s="10">
        <f t="shared" si="60"/>
        <v>184.65112037257458</v>
      </c>
      <c r="AB38" s="10">
        <f t="shared" si="60"/>
        <v>184.65112037257458</v>
      </c>
      <c r="AC38" s="10">
        <f t="shared" si="60"/>
        <v>184.65112037257458</v>
      </c>
      <c r="AD38" s="10">
        <f t="shared" si="60"/>
        <v>184.65112037257458</v>
      </c>
      <c r="AE38" s="10">
        <f t="shared" si="60"/>
        <v>184.65112037257458</v>
      </c>
      <c r="AF38" s="10">
        <f t="shared" si="60"/>
        <v>184.65112037257458</v>
      </c>
      <c r="AG38" s="10">
        <f t="shared" si="60"/>
        <v>184.65112037257458</v>
      </c>
      <c r="AH38" s="10">
        <f t="shared" si="60"/>
        <v>184.65112037257458</v>
      </c>
      <c r="AI38" s="10">
        <f t="shared" si="60"/>
        <v>184.65112037257458</v>
      </c>
      <c r="AJ38" s="10">
        <f t="shared" si="59"/>
        <v>184.65112037257458</v>
      </c>
      <c r="AK38" s="10">
        <f t="shared" si="59"/>
        <v>184.65112037257458</v>
      </c>
      <c r="AL38" s="10">
        <f t="shared" si="59"/>
        <v>184.65112037257458</v>
      </c>
      <c r="AM38" s="10">
        <f t="shared" si="59"/>
        <v>184.65112037257458</v>
      </c>
    </row>
    <row r="39" spans="8:39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60"/>
        <v>172.93379856211703</v>
      </c>
      <c r="R39" s="10">
        <f t="shared" si="60"/>
        <v>172.93379856211703</v>
      </c>
      <c r="S39" s="10">
        <f t="shared" si="60"/>
        <v>172.93379856211703</v>
      </c>
      <c r="T39" s="10">
        <f t="shared" si="61"/>
        <v>200.70000000000002</v>
      </c>
      <c r="U39" s="10">
        <f t="shared" si="62"/>
        <v>94.05</v>
      </c>
      <c r="V39" s="10">
        <f t="shared" si="60"/>
        <v>172.93379856211703</v>
      </c>
      <c r="W39" s="10">
        <f t="shared" si="60"/>
        <v>172.93379856211703</v>
      </c>
      <c r="X39" s="10">
        <f t="shared" si="60"/>
        <v>172.93379856211703</v>
      </c>
      <c r="Y39" s="10">
        <f t="shared" si="60"/>
        <v>172.93379856211703</v>
      </c>
      <c r="Z39" s="10">
        <f t="shared" si="60"/>
        <v>172.93379856211703</v>
      </c>
      <c r="AA39" s="10">
        <f t="shared" si="60"/>
        <v>172.93379856211703</v>
      </c>
      <c r="AB39" s="10">
        <f t="shared" si="60"/>
        <v>172.93379856211703</v>
      </c>
      <c r="AC39" s="10">
        <f t="shared" si="60"/>
        <v>172.93379856211703</v>
      </c>
      <c r="AD39" s="10">
        <f t="shared" si="60"/>
        <v>172.93379856211703</v>
      </c>
      <c r="AE39" s="10">
        <f t="shared" si="60"/>
        <v>172.93379856211703</v>
      </c>
      <c r="AF39" s="10">
        <f t="shared" si="60"/>
        <v>172.93379856211703</v>
      </c>
      <c r="AG39" s="10">
        <f t="shared" si="60"/>
        <v>172.93379856211703</v>
      </c>
      <c r="AH39" s="10">
        <f t="shared" si="60"/>
        <v>172.93379856211703</v>
      </c>
      <c r="AI39" s="10">
        <f t="shared" si="60"/>
        <v>172.93379856211703</v>
      </c>
      <c r="AJ39" s="10">
        <f t="shared" si="59"/>
        <v>172.93379856211703</v>
      </c>
      <c r="AK39" s="10">
        <f t="shared" si="59"/>
        <v>172.93379856211703</v>
      </c>
      <c r="AL39" s="10">
        <f t="shared" si="59"/>
        <v>172.93379856211703</v>
      </c>
      <c r="AM39" s="10">
        <f t="shared" si="59"/>
        <v>172.93379856211703</v>
      </c>
    </row>
    <row r="40" spans="8:39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9" x14ac:dyDescent="0.25">
      <c r="H41" s="23" t="s">
        <v>92</v>
      </c>
      <c r="I41" s="23"/>
      <c r="J41" s="23"/>
      <c r="K41" s="23"/>
      <c r="L41" s="23"/>
      <c r="M41" s="23"/>
      <c r="N41" s="23"/>
      <c r="P41" s="23" t="s">
        <v>92</v>
      </c>
      <c r="Q41" s="23"/>
      <c r="R41" s="23"/>
      <c r="S41" s="23"/>
      <c r="T41" s="23"/>
      <c r="U41" s="23"/>
      <c r="V41" s="23"/>
      <c r="Z41" s="18"/>
      <c r="AA41" s="18"/>
      <c r="AB41" s="18"/>
      <c r="AC41" s="18"/>
      <c r="AD41" s="18"/>
      <c r="AE41" s="18"/>
      <c r="AF41" s="18"/>
      <c r="AG41" s="18"/>
      <c r="AH41" s="18"/>
    </row>
    <row r="42" spans="8:39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125</v>
      </c>
      <c r="Y42" t="s">
        <v>126</v>
      </c>
      <c r="Z42" t="s">
        <v>127</v>
      </c>
      <c r="AA42" t="s">
        <v>132</v>
      </c>
      <c r="AB42" t="s">
        <v>133</v>
      </c>
      <c r="AC42" t="s">
        <v>134</v>
      </c>
      <c r="AD42" t="s">
        <v>135</v>
      </c>
      <c r="AE42" t="s">
        <v>136</v>
      </c>
      <c r="AF42" t="s">
        <v>128</v>
      </c>
      <c r="AG42" t="s">
        <v>129</v>
      </c>
      <c r="AH42" t="s">
        <v>130</v>
      </c>
      <c r="AI42" t="s">
        <v>131</v>
      </c>
      <c r="AJ42" t="s">
        <v>141</v>
      </c>
      <c r="AK42" t="s">
        <v>142</v>
      </c>
      <c r="AL42" t="s">
        <v>143</v>
      </c>
      <c r="AM42" t="s">
        <v>144</v>
      </c>
    </row>
    <row r="43" spans="8:39" x14ac:dyDescent="0.25">
      <c r="H43" s="14">
        <v>2025</v>
      </c>
      <c r="I43" s="10">
        <f t="shared" ref="I43:N48" si="63">I7*I25^I$3</f>
        <v>227.65791780169334</v>
      </c>
      <c r="J43" s="10">
        <f t="shared" si="63"/>
        <v>446</v>
      </c>
      <c r="K43" s="10">
        <f t="shared" si="63"/>
        <v>205.08838284721514</v>
      </c>
      <c r="L43" s="10">
        <f t="shared" si="63"/>
        <v>250.54068948498627</v>
      </c>
      <c r="M43" s="10">
        <f t="shared" si="63"/>
        <v>137.37977798378049</v>
      </c>
      <c r="N43" s="10">
        <f t="shared" si="63"/>
        <v>340.49470546798307</v>
      </c>
      <c r="P43" s="14">
        <v>2025</v>
      </c>
      <c r="Q43" s="10">
        <f t="shared" ref="Q43:W48" si="64">Q7*Q25^Q$3</f>
        <v>360.50516023732143</v>
      </c>
      <c r="R43" s="10">
        <f t="shared" si="64"/>
        <v>352.71873592109205</v>
      </c>
      <c r="S43" s="10">
        <f t="shared" si="64"/>
        <v>342.107053662032</v>
      </c>
      <c r="T43" s="10">
        <f t="shared" si="64"/>
        <v>410.81265512816464</v>
      </c>
      <c r="U43" s="10">
        <f t="shared" si="64"/>
        <v>192.51086305333277</v>
      </c>
      <c r="V43" s="10">
        <f t="shared" si="64"/>
        <v>360.50516023732143</v>
      </c>
      <c r="W43" s="10">
        <f t="shared" si="64"/>
        <v>359.98154001774225</v>
      </c>
      <c r="X43" s="10">
        <f t="shared" ref="X43:AI43" si="65">X7*X25^X$3</f>
        <v>359.98153993783507</v>
      </c>
      <c r="Y43" s="10">
        <f t="shared" si="65"/>
        <v>360.50516023732143</v>
      </c>
      <c r="Z43" s="10">
        <f t="shared" si="65"/>
        <v>360.50516023732143</v>
      </c>
      <c r="AA43" s="10">
        <f t="shared" ref="AA43:AD43" si="66">AA7*AA25^AA$3</f>
        <v>338.12719817657774</v>
      </c>
      <c r="AB43" s="10">
        <f t="shared" si="66"/>
        <v>338.12719817657774</v>
      </c>
      <c r="AC43" s="10">
        <f t="shared" si="66"/>
        <v>338.12719817657774</v>
      </c>
      <c r="AD43" s="10">
        <f t="shared" si="66"/>
        <v>338.12719817657774</v>
      </c>
      <c r="AE43" s="10">
        <f t="shared" si="65"/>
        <v>338.12719817657774</v>
      </c>
      <c r="AF43" s="10">
        <f t="shared" si="65"/>
        <v>360.50516023732143</v>
      </c>
      <c r="AG43" s="10">
        <f t="shared" si="65"/>
        <v>360.50516023732143</v>
      </c>
      <c r="AH43" s="10">
        <f t="shared" si="65"/>
        <v>360.50516023732143</v>
      </c>
      <c r="AI43" s="10">
        <f t="shared" si="65"/>
        <v>360.50516023732143</v>
      </c>
      <c r="AJ43" s="10">
        <f t="shared" ref="AJ43:AM43" si="67">AJ7*AJ25^AJ$3</f>
        <v>360.50516023732143</v>
      </c>
      <c r="AK43" s="10">
        <f t="shared" si="67"/>
        <v>360.50516023732143</v>
      </c>
      <c r="AL43" s="10">
        <f t="shared" si="67"/>
        <v>360.50516023732143</v>
      </c>
      <c r="AM43" s="10">
        <f t="shared" si="67"/>
        <v>360.50516023732143</v>
      </c>
    </row>
    <row r="44" spans="8:39" x14ac:dyDescent="0.25">
      <c r="H44" s="14">
        <v>2030</v>
      </c>
      <c r="I44" s="10">
        <f t="shared" si="63"/>
        <v>208.03223523258188</v>
      </c>
      <c r="J44" s="10">
        <f t="shared" si="63"/>
        <v>362.92461439647064</v>
      </c>
      <c r="K44" s="10">
        <f t="shared" si="63"/>
        <v>170.07005472839089</v>
      </c>
      <c r="L44" s="10">
        <f t="shared" si="63"/>
        <v>187.00427351359522</v>
      </c>
      <c r="M44" s="10">
        <f t="shared" si="63"/>
        <v>121.89395837797517</v>
      </c>
      <c r="N44" s="10">
        <f t="shared" si="63"/>
        <v>271.5543959414494</v>
      </c>
      <c r="P44" s="14">
        <v>2030</v>
      </c>
      <c r="Q44" s="10">
        <f t="shared" si="64"/>
        <v>275.44419650170983</v>
      </c>
      <c r="R44" s="10">
        <f t="shared" si="64"/>
        <v>285.55657003285313</v>
      </c>
      <c r="S44" s="10">
        <f t="shared" si="64"/>
        <v>273.24466425259618</v>
      </c>
      <c r="T44" s="10">
        <f t="shared" si="64"/>
        <v>350.17595068023365</v>
      </c>
      <c r="U44" s="10">
        <f t="shared" si="64"/>
        <v>164.09590513939193</v>
      </c>
      <c r="V44" s="10">
        <f t="shared" si="64"/>
        <v>259.2191658004752</v>
      </c>
      <c r="W44" s="10">
        <f t="shared" si="64"/>
        <v>281.14416340913112</v>
      </c>
      <c r="X44" s="10">
        <f t="shared" ref="X44:AI44" si="68">X8*X26^X$3</f>
        <v>281.134466559065</v>
      </c>
      <c r="Y44" s="10">
        <f t="shared" si="68"/>
        <v>272.31184570601283</v>
      </c>
      <c r="Z44" s="10">
        <f t="shared" si="68"/>
        <v>255.7440293338866</v>
      </c>
      <c r="AA44" s="10">
        <f t="shared" ref="AA44:AD44" si="69">AA8*AA26^AA$3</f>
        <v>274.71937829292131</v>
      </c>
      <c r="AB44" s="10">
        <f t="shared" si="69"/>
        <v>273.61516730954867</v>
      </c>
      <c r="AC44" s="10">
        <f t="shared" si="69"/>
        <v>272.73112922434825</v>
      </c>
      <c r="AD44" s="10">
        <f t="shared" si="69"/>
        <v>272.30966375275284</v>
      </c>
      <c r="AE44" s="10">
        <f t="shared" si="68"/>
        <v>271.80813653466583</v>
      </c>
      <c r="AF44" s="10">
        <f t="shared" si="68"/>
        <v>296.81654796345282</v>
      </c>
      <c r="AG44" s="10">
        <f t="shared" si="68"/>
        <v>296.81654796345282</v>
      </c>
      <c r="AH44" s="10">
        <f t="shared" si="68"/>
        <v>296.81654796345282</v>
      </c>
      <c r="AI44" s="10">
        <f t="shared" si="68"/>
        <v>296.81654796345282</v>
      </c>
      <c r="AJ44" s="10">
        <f t="shared" ref="AJ44:AM44" si="70">AJ8*AJ26^AJ$3</f>
        <v>296.81654796345282</v>
      </c>
      <c r="AK44" s="10">
        <f t="shared" si="70"/>
        <v>296.81654796345282</v>
      </c>
      <c r="AL44" s="10">
        <f t="shared" si="70"/>
        <v>296.81654796345282</v>
      </c>
      <c r="AM44" s="10">
        <f t="shared" si="70"/>
        <v>296.81654796345282</v>
      </c>
    </row>
    <row r="45" spans="8:39" x14ac:dyDescent="0.25">
      <c r="H45" s="14">
        <v>2035</v>
      </c>
      <c r="I45" s="10">
        <f t="shared" si="63"/>
        <v>190.09842185046273</v>
      </c>
      <c r="J45" s="10">
        <f t="shared" si="63"/>
        <v>300.72212444021858</v>
      </c>
      <c r="K45" s="10">
        <f t="shared" si="63"/>
        <v>140.92135427803959</v>
      </c>
      <c r="L45" s="10">
        <f t="shared" si="63"/>
        <v>141.45812458337952</v>
      </c>
      <c r="M45" s="10">
        <f t="shared" si="63"/>
        <v>108.4294165703549</v>
      </c>
      <c r="N45" s="10">
        <f t="shared" si="63"/>
        <v>197.58208444082797</v>
      </c>
      <c r="P45" s="14">
        <v>2035</v>
      </c>
      <c r="Q45" s="10">
        <f t="shared" si="64"/>
        <v>197.58208444082797</v>
      </c>
      <c r="R45" s="10">
        <f t="shared" si="64"/>
        <v>209.54012956192068</v>
      </c>
      <c r="S45" s="10">
        <f t="shared" si="64"/>
        <v>198.9559618656977</v>
      </c>
      <c r="T45" s="10">
        <f t="shared" si="64"/>
        <v>298.48933547714006</v>
      </c>
      <c r="U45" s="10">
        <f t="shared" si="64"/>
        <v>139.8750473424266</v>
      </c>
      <c r="V45" s="10">
        <f t="shared" si="64"/>
        <v>184.33406406551856</v>
      </c>
      <c r="W45" s="10">
        <f t="shared" si="64"/>
        <v>202.73069352613902</v>
      </c>
      <c r="X45" s="10">
        <f t="shared" ref="X45:AI45" si="71">X9*X27^X$3</f>
        <v>202.71611799743712</v>
      </c>
      <c r="Y45" s="10">
        <f t="shared" si="71"/>
        <v>197.86707390114674</v>
      </c>
      <c r="Z45" s="10">
        <f t="shared" si="71"/>
        <v>183.42976586477519</v>
      </c>
      <c r="AA45" s="10">
        <f t="shared" ref="AA45:AD45" si="72">AA9*AA27^AA$3</f>
        <v>204.37033184118366</v>
      </c>
      <c r="AB45" s="10">
        <f t="shared" si="72"/>
        <v>203.54888281746778</v>
      </c>
      <c r="AC45" s="10">
        <f t="shared" si="72"/>
        <v>202.89122569129299</v>
      </c>
      <c r="AD45" s="10">
        <f t="shared" si="72"/>
        <v>202.57768742244284</v>
      </c>
      <c r="AE45" s="10">
        <f t="shared" si="71"/>
        <v>202.20458930091704</v>
      </c>
      <c r="AF45" s="10">
        <f t="shared" si="71"/>
        <v>220.80894613326407</v>
      </c>
      <c r="AG45" s="10">
        <f t="shared" si="71"/>
        <v>220.80894613326407</v>
      </c>
      <c r="AH45" s="10">
        <f t="shared" si="71"/>
        <v>220.80894613326407</v>
      </c>
      <c r="AI45" s="10">
        <f t="shared" si="71"/>
        <v>220.80894613326407</v>
      </c>
      <c r="AJ45" s="10">
        <f t="shared" ref="AJ45:AM45" si="73">AJ9*AJ27^AJ$3</f>
        <v>220.80894613326407</v>
      </c>
      <c r="AK45" s="10">
        <f t="shared" si="73"/>
        <v>220.80894613326407</v>
      </c>
      <c r="AL45" s="10">
        <f t="shared" si="73"/>
        <v>220.80894613326407</v>
      </c>
      <c r="AM45" s="10">
        <f t="shared" si="73"/>
        <v>220.80894613326407</v>
      </c>
    </row>
    <row r="46" spans="8:39" x14ac:dyDescent="0.25">
      <c r="H46" s="14">
        <v>2040</v>
      </c>
      <c r="I46" s="10">
        <f t="shared" si="63"/>
        <v>173.71062686335384</v>
      </c>
      <c r="J46" s="10">
        <f t="shared" si="63"/>
        <v>256.33498506412843</v>
      </c>
      <c r="K46" s="10">
        <f t="shared" si="63"/>
        <v>117.02096248366335</v>
      </c>
      <c r="L46" s="10">
        <f t="shared" si="63"/>
        <v>107.75036454241936</v>
      </c>
      <c r="M46" s="10">
        <f t="shared" si="63"/>
        <v>96.62665541899338</v>
      </c>
      <c r="N46" s="10">
        <f t="shared" si="63"/>
        <v>178.14071267621432</v>
      </c>
      <c r="P46" s="14">
        <v>2040</v>
      </c>
      <c r="Q46" s="10">
        <f t="shared" si="64"/>
        <v>181.20395209123592</v>
      </c>
      <c r="R46" s="10">
        <f t="shared" si="64"/>
        <v>189.9617703421664</v>
      </c>
      <c r="S46" s="10">
        <f t="shared" si="64"/>
        <v>179.45646847078069</v>
      </c>
      <c r="T46" s="10">
        <f t="shared" si="64"/>
        <v>254.43175986389599</v>
      </c>
      <c r="U46" s="10">
        <f t="shared" si="64"/>
        <v>119.22923276133241</v>
      </c>
      <c r="V46" s="10">
        <f t="shared" si="64"/>
        <v>169.05409722871059</v>
      </c>
      <c r="W46" s="10">
        <f t="shared" si="64"/>
        <v>185.92577854970011</v>
      </c>
      <c r="X46" s="10">
        <f t="shared" ref="X46:AI46" si="74">X10*X28^X$3</f>
        <v>185.91241122739416</v>
      </c>
      <c r="Y46" s="10">
        <f t="shared" si="74"/>
        <v>181.46531797701579</v>
      </c>
      <c r="Z46" s="10">
        <f t="shared" si="74"/>
        <v>164.31859172652878</v>
      </c>
      <c r="AA46" s="10">
        <f t="shared" ref="AA46:AD46" si="75">AA10*AA28^AA$3</f>
        <v>187.42950265265785</v>
      </c>
      <c r="AB46" s="10">
        <f t="shared" si="75"/>
        <v>186.67614583915898</v>
      </c>
      <c r="AC46" s="10">
        <f t="shared" si="75"/>
        <v>186.07300375408028</v>
      </c>
      <c r="AD46" s="10">
        <f t="shared" si="75"/>
        <v>185.78545555046514</v>
      </c>
      <c r="AE46" s="10">
        <f t="shared" si="74"/>
        <v>185.44328457717259</v>
      </c>
      <c r="AF46" s="10">
        <f t="shared" si="74"/>
        <v>202.50547416626196</v>
      </c>
      <c r="AG46" s="10">
        <f t="shared" si="74"/>
        <v>202.50547416626196</v>
      </c>
      <c r="AH46" s="10">
        <f t="shared" si="74"/>
        <v>202.50547416626196</v>
      </c>
      <c r="AI46" s="10">
        <f t="shared" si="74"/>
        <v>202.50547416626196</v>
      </c>
      <c r="AJ46" s="10">
        <f t="shared" ref="AJ46:AM46" si="76">AJ10*AJ28^AJ$3</f>
        <v>202.50547416626196</v>
      </c>
      <c r="AK46" s="10">
        <f t="shared" si="76"/>
        <v>202.50547416626196</v>
      </c>
      <c r="AL46" s="10">
        <f t="shared" si="76"/>
        <v>202.50547416626196</v>
      </c>
      <c r="AM46" s="10">
        <f t="shared" si="76"/>
        <v>202.50547416626196</v>
      </c>
    </row>
    <row r="47" spans="8:39" x14ac:dyDescent="0.25">
      <c r="H47" s="14">
        <v>2045</v>
      </c>
      <c r="I47" s="10">
        <f t="shared" si="63"/>
        <v>158.73557282340954</v>
      </c>
      <c r="J47" s="10">
        <f t="shared" si="63"/>
        <v>218.49946920313531</v>
      </c>
      <c r="K47" s="10">
        <f t="shared" si="63"/>
        <v>97.440635941140712</v>
      </c>
      <c r="L47" s="10">
        <f t="shared" si="63"/>
        <v>82.449481539281351</v>
      </c>
      <c r="M47" s="10">
        <f t="shared" si="63"/>
        <v>86.224957908187065</v>
      </c>
      <c r="N47" s="10">
        <f t="shared" si="63"/>
        <v>160.20071900840423</v>
      </c>
      <c r="P47" s="14">
        <v>2045</v>
      </c>
      <c r="Q47" s="10">
        <f t="shared" si="64"/>
        <v>165.2276952380752</v>
      </c>
      <c r="R47" s="10">
        <f t="shared" si="64"/>
        <v>171.49039287198505</v>
      </c>
      <c r="S47" s="10">
        <f t="shared" si="64"/>
        <v>161.42985382479438</v>
      </c>
      <c r="T47" s="10">
        <f t="shared" si="64"/>
        <v>216.87716354742938</v>
      </c>
      <c r="U47" s="10">
        <f t="shared" si="64"/>
        <v>101.63077843366084</v>
      </c>
      <c r="V47" s="10">
        <f t="shared" si="64"/>
        <v>154.14905984826089</v>
      </c>
      <c r="W47" s="10">
        <f t="shared" si="64"/>
        <v>169.53321117215032</v>
      </c>
      <c r="X47" s="10">
        <f t="shared" ref="X47:AI47" si="77">X11*X29^X$3</f>
        <v>169.52102241009172</v>
      </c>
      <c r="Y47" s="10">
        <f t="shared" si="77"/>
        <v>165.46601720855585</v>
      </c>
      <c r="Z47" s="10">
        <f t="shared" si="77"/>
        <v>146.91949166080462</v>
      </c>
      <c r="AA47" s="10">
        <f t="shared" ref="AA47:AD47" si="78">AA11*AA29^AA$3</f>
        <v>170.90435603371796</v>
      </c>
      <c r="AB47" s="10">
        <f t="shared" si="78"/>
        <v>170.2174206299932</v>
      </c>
      <c r="AC47" s="10">
        <f t="shared" si="78"/>
        <v>169.66745593292927</v>
      </c>
      <c r="AD47" s="10">
        <f t="shared" si="78"/>
        <v>169.40526006796682</v>
      </c>
      <c r="AE47" s="10">
        <f t="shared" si="77"/>
        <v>169.09325737353313</v>
      </c>
      <c r="AF47" s="10">
        <f t="shared" si="77"/>
        <v>184.65112037257458</v>
      </c>
      <c r="AG47" s="10">
        <f t="shared" si="77"/>
        <v>184.65112037257458</v>
      </c>
      <c r="AH47" s="10">
        <f t="shared" si="77"/>
        <v>184.65112037257458</v>
      </c>
      <c r="AI47" s="10">
        <f t="shared" si="77"/>
        <v>184.65112037257458</v>
      </c>
      <c r="AJ47" s="10">
        <f t="shared" ref="AJ47:AM47" si="79">AJ11*AJ29^AJ$3</f>
        <v>184.65112037257458</v>
      </c>
      <c r="AK47" s="10">
        <f t="shared" si="79"/>
        <v>184.65112037257458</v>
      </c>
      <c r="AL47" s="10">
        <f t="shared" si="79"/>
        <v>184.65112037257458</v>
      </c>
      <c r="AM47" s="10">
        <f t="shared" si="79"/>
        <v>184.65112037257458</v>
      </c>
    </row>
    <row r="48" spans="8:39" x14ac:dyDescent="0.25">
      <c r="H48" s="14">
        <v>2050</v>
      </c>
      <c r="I48" s="10">
        <f t="shared" si="63"/>
        <v>145.05147171794317</v>
      </c>
      <c r="J48" s="10">
        <f t="shared" si="63"/>
        <v>186.24854516096593</v>
      </c>
      <c r="K48" s="10">
        <f t="shared" si="63"/>
        <v>81.344571464021328</v>
      </c>
      <c r="L48" s="10">
        <f t="shared" si="63"/>
        <v>63.311245413783745</v>
      </c>
      <c r="M48" s="10">
        <f t="shared" si="63"/>
        <v>77.023563768610728</v>
      </c>
      <c r="N48" s="10">
        <f t="shared" si="63"/>
        <v>148.29565759240268</v>
      </c>
      <c r="P48" s="14">
        <v>2050</v>
      </c>
      <c r="Q48" s="10">
        <f t="shared" si="64"/>
        <v>154.74291684518829</v>
      </c>
      <c r="R48" s="10">
        <f t="shared" si="64"/>
        <v>159.200145848506</v>
      </c>
      <c r="S48" s="10">
        <f t="shared" si="64"/>
        <v>149.46364819523117</v>
      </c>
      <c r="T48" s="10">
        <f t="shared" si="64"/>
        <v>184.86569480767412</v>
      </c>
      <c r="U48" s="10">
        <f t="shared" si="64"/>
        <v>86.629888373999734</v>
      </c>
      <c r="V48" s="10">
        <f t="shared" si="64"/>
        <v>144.36729336140115</v>
      </c>
      <c r="W48" s="10">
        <f t="shared" si="64"/>
        <v>158.77521962107721</v>
      </c>
      <c r="X48" s="10">
        <f t="shared" ref="X48:AI48" si="80">X12*X30^X$3</f>
        <v>158.76380431572562</v>
      </c>
      <c r="Y48" s="10">
        <f t="shared" si="80"/>
        <v>154.96611572723606</v>
      </c>
      <c r="Z48" s="10">
        <f t="shared" si="80"/>
        <v>135.39864728127654</v>
      </c>
      <c r="AA48" s="10">
        <f t="shared" ref="AA48:AD48" si="81">AA12*AA30^AA$3</f>
        <v>160.05935636940228</v>
      </c>
      <c r="AB48" s="10">
        <f t="shared" si="81"/>
        <v>159.4160115118502</v>
      </c>
      <c r="AC48" s="10">
        <f t="shared" si="81"/>
        <v>158.90094567338451</v>
      </c>
      <c r="AD48" s="10">
        <f t="shared" si="81"/>
        <v>158.65538785167323</v>
      </c>
      <c r="AE48" s="10">
        <f t="shared" si="80"/>
        <v>158.36318376972039</v>
      </c>
      <c r="AF48" s="10">
        <f t="shared" si="80"/>
        <v>172.93379856211703</v>
      </c>
      <c r="AG48" s="10">
        <f t="shared" si="80"/>
        <v>172.93379856211703</v>
      </c>
      <c r="AH48" s="10">
        <f t="shared" si="80"/>
        <v>172.93379856211703</v>
      </c>
      <c r="AI48" s="10">
        <f t="shared" si="80"/>
        <v>172.93379856211703</v>
      </c>
      <c r="AJ48" s="10">
        <f t="shared" ref="AJ48:AM48" si="82">AJ12*AJ30^AJ$3</f>
        <v>172.93379856211703</v>
      </c>
      <c r="AK48" s="10">
        <f t="shared" si="82"/>
        <v>172.93379856211703</v>
      </c>
      <c r="AL48" s="10">
        <f t="shared" si="82"/>
        <v>172.93379856211703</v>
      </c>
      <c r="AM48" s="10">
        <f t="shared" si="82"/>
        <v>172.93379856211703</v>
      </c>
    </row>
    <row r="49" spans="8:39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9" x14ac:dyDescent="0.25">
      <c r="H50" s="23" t="s">
        <v>93</v>
      </c>
      <c r="I50" s="23"/>
      <c r="J50" s="23"/>
      <c r="K50" s="23"/>
      <c r="L50" s="23"/>
      <c r="M50" s="23"/>
      <c r="N50" s="23"/>
      <c r="P50" s="23" t="s">
        <v>93</v>
      </c>
      <c r="Q50" s="23"/>
      <c r="R50" s="23"/>
      <c r="S50" s="23"/>
      <c r="T50" s="23"/>
      <c r="U50" s="23"/>
      <c r="V50" s="23"/>
    </row>
    <row r="51" spans="8:39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125</v>
      </c>
      <c r="Y51" t="s">
        <v>126</v>
      </c>
      <c r="Z51" t="s">
        <v>127</v>
      </c>
      <c r="AA51" t="s">
        <v>132</v>
      </c>
      <c r="AB51" t="s">
        <v>133</v>
      </c>
      <c r="AC51" t="s">
        <v>134</v>
      </c>
      <c r="AD51" t="s">
        <v>135</v>
      </c>
      <c r="AE51" t="s">
        <v>136</v>
      </c>
      <c r="AF51" t="s">
        <v>128</v>
      </c>
      <c r="AG51" t="s">
        <v>129</v>
      </c>
      <c r="AH51" t="s">
        <v>130</v>
      </c>
      <c r="AI51" t="s">
        <v>131</v>
      </c>
      <c r="AJ51" t="s">
        <v>141</v>
      </c>
      <c r="AK51" t="s">
        <v>142</v>
      </c>
      <c r="AL51" t="s">
        <v>143</v>
      </c>
      <c r="AM51" t="s">
        <v>144</v>
      </c>
    </row>
    <row r="52" spans="8:39" x14ac:dyDescent="0.25">
      <c r="H52" s="14">
        <v>2025</v>
      </c>
      <c r="I52" s="10">
        <f>I34-I43</f>
        <v>4.342082198306656</v>
      </c>
      <c r="J52" s="10">
        <f t="shared" ref="J52:N52" si="83">J34-J43</f>
        <v>0</v>
      </c>
      <c r="K52" s="10">
        <f t="shared" si="83"/>
        <v>3.9116171527848564</v>
      </c>
      <c r="L52" s="10">
        <f t="shared" si="83"/>
        <v>19.440030827105545</v>
      </c>
      <c r="M52" s="10">
        <f t="shared" si="83"/>
        <v>2.6202220162195147</v>
      </c>
      <c r="N52" s="10">
        <f t="shared" si="83"/>
        <v>20.010454769338367</v>
      </c>
      <c r="P52" s="14">
        <v>2025</v>
      </c>
      <c r="Q52" s="10">
        <f>Q34-Q43</f>
        <v>0</v>
      </c>
      <c r="R52" s="10">
        <f t="shared" ref="R52:W52" si="84">R34-R43</f>
        <v>7.786424316229386</v>
      </c>
      <c r="S52" s="10">
        <f t="shared" si="84"/>
        <v>18.398106575289432</v>
      </c>
      <c r="T52" s="10">
        <f t="shared" si="84"/>
        <v>35.187344871835364</v>
      </c>
      <c r="U52" s="10">
        <f t="shared" si="84"/>
        <v>16.48913694666723</v>
      </c>
      <c r="V52" s="10">
        <f t="shared" si="84"/>
        <v>0</v>
      </c>
      <c r="W52" s="10">
        <f t="shared" si="84"/>
        <v>0.52362021957918614</v>
      </c>
      <c r="X52" s="10">
        <f t="shared" ref="X52:AI52" si="85">X34-X43</f>
        <v>0.52362029948636746</v>
      </c>
      <c r="Y52" s="10">
        <f t="shared" si="85"/>
        <v>0</v>
      </c>
      <c r="Z52" s="10">
        <f t="shared" si="85"/>
        <v>0</v>
      </c>
      <c r="AA52" s="10">
        <f t="shared" ref="AA52:AD52" si="86">AA34-AA43</f>
        <v>22.377962060743698</v>
      </c>
      <c r="AB52" s="10">
        <f t="shared" si="86"/>
        <v>22.377962060743698</v>
      </c>
      <c r="AC52" s="10">
        <f t="shared" si="86"/>
        <v>22.377962060743698</v>
      </c>
      <c r="AD52" s="10">
        <f t="shared" si="86"/>
        <v>22.377962060743698</v>
      </c>
      <c r="AE52" s="10">
        <f t="shared" si="85"/>
        <v>22.377962060743698</v>
      </c>
      <c r="AF52" s="10">
        <f t="shared" si="85"/>
        <v>0</v>
      </c>
      <c r="AG52" s="10">
        <f t="shared" si="85"/>
        <v>0</v>
      </c>
      <c r="AH52" s="10">
        <f t="shared" si="85"/>
        <v>0</v>
      </c>
      <c r="AI52" s="10">
        <f t="shared" si="85"/>
        <v>0</v>
      </c>
      <c r="AJ52" s="10">
        <f t="shared" ref="AJ52:AM52" si="87">AJ34-AJ43</f>
        <v>0</v>
      </c>
      <c r="AK52" s="10">
        <f t="shared" si="87"/>
        <v>0</v>
      </c>
      <c r="AL52" s="10">
        <f t="shared" si="87"/>
        <v>0</v>
      </c>
      <c r="AM52" s="10">
        <f t="shared" si="87"/>
        <v>0</v>
      </c>
    </row>
    <row r="53" spans="8:39" x14ac:dyDescent="0.25">
      <c r="H53" s="14">
        <v>2030</v>
      </c>
      <c r="I53" s="10">
        <f t="shared" ref="I53:N57" si="88">I35-I44</f>
        <v>3.9677647674181173</v>
      </c>
      <c r="J53" s="10">
        <f t="shared" si="88"/>
        <v>17.244964251635736</v>
      </c>
      <c r="K53" s="10">
        <f t="shared" si="88"/>
        <v>8.0811603780086898</v>
      </c>
      <c r="L53" s="10">
        <f t="shared" si="88"/>
        <v>20.950271940950188</v>
      </c>
      <c r="M53" s="10">
        <f t="shared" si="88"/>
        <v>4.2069012077841847</v>
      </c>
      <c r="N53" s="10">
        <f t="shared" si="88"/>
        <v>25.26215202200342</v>
      </c>
      <c r="P53" s="14">
        <v>2030</v>
      </c>
      <c r="Q53" s="10">
        <f t="shared" ref="Q53:W53" si="89">Q35-Q44</f>
        <v>21.372351461742994</v>
      </c>
      <c r="R53" s="10">
        <f t="shared" si="89"/>
        <v>11.259977930599689</v>
      </c>
      <c r="S53" s="10">
        <f t="shared" si="89"/>
        <v>23.571883710856639</v>
      </c>
      <c r="T53" s="10">
        <f t="shared" si="89"/>
        <v>29.993627967872726</v>
      </c>
      <c r="U53" s="10">
        <f t="shared" si="89"/>
        <v>14.055309967007645</v>
      </c>
      <c r="V53" s="10">
        <f t="shared" si="89"/>
        <v>37.597382162977624</v>
      </c>
      <c r="W53" s="10">
        <f t="shared" si="89"/>
        <v>15.672384554321695</v>
      </c>
      <c r="X53" s="10">
        <f t="shared" ref="X53:AI53" si="90">X35-X44</f>
        <v>15.682081404387816</v>
      </c>
      <c r="Y53" s="10">
        <f t="shared" si="90"/>
        <v>24.504702257439988</v>
      </c>
      <c r="Z53" s="10">
        <f t="shared" si="90"/>
        <v>41.072518629566218</v>
      </c>
      <c r="AA53" s="10">
        <f t="shared" ref="AA53:AD53" si="91">AA35-AA44</f>
        <v>22.097169670531514</v>
      </c>
      <c r="AB53" s="10">
        <f t="shared" si="91"/>
        <v>23.201380653904152</v>
      </c>
      <c r="AC53" s="10">
        <f t="shared" si="91"/>
        <v>24.085418739104568</v>
      </c>
      <c r="AD53" s="10">
        <f t="shared" si="91"/>
        <v>24.50688421069998</v>
      </c>
      <c r="AE53" s="10">
        <f t="shared" si="90"/>
        <v>25.008411428786985</v>
      </c>
      <c r="AF53" s="10">
        <f t="shared" si="90"/>
        <v>0</v>
      </c>
      <c r="AG53" s="10">
        <f t="shared" si="90"/>
        <v>0</v>
      </c>
      <c r="AH53" s="10">
        <f t="shared" si="90"/>
        <v>0</v>
      </c>
      <c r="AI53" s="10">
        <f t="shared" si="90"/>
        <v>0</v>
      </c>
      <c r="AJ53" s="10">
        <f t="shared" ref="AJ53:AM53" si="92">AJ35-AJ44</f>
        <v>0</v>
      </c>
      <c r="AK53" s="10">
        <f t="shared" si="92"/>
        <v>0</v>
      </c>
      <c r="AL53" s="10">
        <f t="shared" si="92"/>
        <v>0</v>
      </c>
      <c r="AM53" s="10">
        <f t="shared" si="92"/>
        <v>0</v>
      </c>
    </row>
    <row r="54" spans="8:39" x14ac:dyDescent="0.25">
      <c r="H54" s="14">
        <v>2035</v>
      </c>
      <c r="I54" s="10">
        <f t="shared" si="88"/>
        <v>3.6257160805717206</v>
      </c>
      <c r="J54" s="10">
        <f t="shared" si="88"/>
        <v>23.333724280585727</v>
      </c>
      <c r="K54" s="10">
        <f t="shared" si="88"/>
        <v>10.934413396059256</v>
      </c>
      <c r="L54" s="10">
        <f t="shared" si="88"/>
        <v>18.72032417850312</v>
      </c>
      <c r="M54" s="10">
        <f t="shared" si="88"/>
        <v>5.1522033458408316</v>
      </c>
      <c r="N54" s="10">
        <f t="shared" si="88"/>
        <v>23.226861692436131</v>
      </c>
      <c r="P54" s="14">
        <v>2035</v>
      </c>
      <c r="Q54" s="10">
        <f t="shared" ref="Q54:W54" si="93">Q36-Q45</f>
        <v>23.226861692436131</v>
      </c>
      <c r="R54" s="10">
        <f t="shared" si="93"/>
        <v>11.268816571343422</v>
      </c>
      <c r="S54" s="10">
        <f t="shared" si="93"/>
        <v>21.852984267566399</v>
      </c>
      <c r="T54" s="10">
        <f t="shared" si="93"/>
        <v>25.566513243664247</v>
      </c>
      <c r="U54" s="10">
        <f t="shared" si="93"/>
        <v>11.980720331672245</v>
      </c>
      <c r="V54" s="10">
        <f t="shared" si="93"/>
        <v>36.47488206774554</v>
      </c>
      <c r="W54" s="10">
        <f t="shared" si="93"/>
        <v>18.07825260712508</v>
      </c>
      <c r="X54" s="10">
        <f t="shared" ref="X54:AI54" si="94">X36-X45</f>
        <v>18.092828135826977</v>
      </c>
      <c r="Y54" s="10">
        <f t="shared" si="94"/>
        <v>22.941872232117362</v>
      </c>
      <c r="Z54" s="10">
        <f t="shared" si="94"/>
        <v>37.379180268488909</v>
      </c>
      <c r="AA54" s="10">
        <f t="shared" ref="AA54:AD54" si="95">AA36-AA45</f>
        <v>16.438614292080445</v>
      </c>
      <c r="AB54" s="10">
        <f t="shared" si="95"/>
        <v>17.260063315796316</v>
      </c>
      <c r="AC54" s="10">
        <f t="shared" si="95"/>
        <v>17.917720441971113</v>
      </c>
      <c r="AD54" s="10">
        <f t="shared" si="95"/>
        <v>18.231258710821265</v>
      </c>
      <c r="AE54" s="10">
        <f t="shared" si="94"/>
        <v>18.604356832347065</v>
      </c>
      <c r="AF54" s="10">
        <f t="shared" si="94"/>
        <v>0</v>
      </c>
      <c r="AG54" s="10">
        <f t="shared" si="94"/>
        <v>0</v>
      </c>
      <c r="AH54" s="10">
        <f t="shared" si="94"/>
        <v>0</v>
      </c>
      <c r="AI54" s="10">
        <f t="shared" si="94"/>
        <v>0</v>
      </c>
      <c r="AJ54" s="10">
        <f t="shared" ref="AJ54:AM54" si="96">AJ36-AJ45</f>
        <v>0</v>
      </c>
      <c r="AK54" s="10">
        <f t="shared" si="96"/>
        <v>0</v>
      </c>
      <c r="AL54" s="10">
        <f t="shared" si="96"/>
        <v>0</v>
      </c>
      <c r="AM54" s="10">
        <f t="shared" si="96"/>
        <v>0</v>
      </c>
    </row>
    <row r="55" spans="8:39" x14ac:dyDescent="0.25">
      <c r="H55" s="14">
        <v>2040</v>
      </c>
      <c r="I55" s="10">
        <f t="shared" si="88"/>
        <v>3.3131543494879736</v>
      </c>
      <c r="J55" s="10">
        <f t="shared" si="88"/>
        <v>19.889623605473957</v>
      </c>
      <c r="K55" s="10">
        <f t="shared" si="88"/>
        <v>12.420614224737747</v>
      </c>
      <c r="L55" s="10">
        <f t="shared" si="88"/>
        <v>15.62821028835387</v>
      </c>
      <c r="M55" s="10">
        <f t="shared" si="88"/>
        <v>5.6786296136872636</v>
      </c>
      <c r="N55" s="10">
        <f t="shared" si="88"/>
        <v>24.364761490047641</v>
      </c>
      <c r="P55" s="14">
        <v>2040</v>
      </c>
      <c r="Q55" s="10">
        <f t="shared" ref="Q55:W55" si="97">Q37-Q46</f>
        <v>21.301522075026043</v>
      </c>
      <c r="R55" s="10">
        <f t="shared" si="97"/>
        <v>12.543703824095559</v>
      </c>
      <c r="S55" s="10">
        <f t="shared" si="97"/>
        <v>23.04900569548127</v>
      </c>
      <c r="T55" s="10">
        <f t="shared" si="97"/>
        <v>21.792848805706399</v>
      </c>
      <c r="U55" s="10">
        <f t="shared" si="97"/>
        <v>10.212343947068689</v>
      </c>
      <c r="V55" s="10">
        <f t="shared" si="97"/>
        <v>33.451376937551373</v>
      </c>
      <c r="W55" s="10">
        <f t="shared" si="97"/>
        <v>16.57969561656185</v>
      </c>
      <c r="X55" s="10">
        <f t="shared" ref="X55:AI55" si="98">X37-X46</f>
        <v>16.593062938867803</v>
      </c>
      <c r="Y55" s="10">
        <f t="shared" si="98"/>
        <v>21.040156189246176</v>
      </c>
      <c r="Z55" s="10">
        <f t="shared" si="98"/>
        <v>38.186882439733182</v>
      </c>
      <c r="AA55" s="10">
        <f t="shared" ref="AA55:AD55" si="99">AA37-AA46</f>
        <v>15.075971513604117</v>
      </c>
      <c r="AB55" s="10">
        <f t="shared" si="99"/>
        <v>15.829328327102985</v>
      </c>
      <c r="AC55" s="10">
        <f t="shared" si="99"/>
        <v>16.432470412181686</v>
      </c>
      <c r="AD55" s="10">
        <f t="shared" si="99"/>
        <v>16.720018615796818</v>
      </c>
      <c r="AE55" s="10">
        <f t="shared" si="98"/>
        <v>17.062189589089371</v>
      </c>
      <c r="AF55" s="10">
        <f t="shared" si="98"/>
        <v>0</v>
      </c>
      <c r="AG55" s="10">
        <f t="shared" si="98"/>
        <v>0</v>
      </c>
      <c r="AH55" s="10">
        <f t="shared" si="98"/>
        <v>0</v>
      </c>
      <c r="AI55" s="10">
        <f t="shared" si="98"/>
        <v>0</v>
      </c>
      <c r="AJ55" s="10">
        <f t="shared" ref="AJ55:AM55" si="100">AJ37-AJ46</f>
        <v>0</v>
      </c>
      <c r="AK55" s="10">
        <f t="shared" si="100"/>
        <v>0</v>
      </c>
      <c r="AL55" s="10">
        <f t="shared" si="100"/>
        <v>0</v>
      </c>
      <c r="AM55" s="10">
        <f t="shared" si="100"/>
        <v>0</v>
      </c>
    </row>
    <row r="56" spans="8:39" x14ac:dyDescent="0.25">
      <c r="H56" s="14">
        <v>2045</v>
      </c>
      <c r="I56" s="10">
        <f t="shared" si="88"/>
        <v>3.0275375952217587</v>
      </c>
      <c r="J56" s="10">
        <f t="shared" si="88"/>
        <v>16.953878532651231</v>
      </c>
      <c r="K56" s="10">
        <f t="shared" si="88"/>
        <v>12.895125665987933</v>
      </c>
      <c r="L56" s="10">
        <f t="shared" si="88"/>
        <v>12.583732010574977</v>
      </c>
      <c r="M56" s="10">
        <f t="shared" si="88"/>
        <v>5.9235019688640449</v>
      </c>
      <c r="N56" s="10">
        <f t="shared" si="88"/>
        <v>24.450401364170347</v>
      </c>
      <c r="P56" s="14">
        <v>2045</v>
      </c>
      <c r="Q56" s="10">
        <f t="shared" ref="Q56:W56" si="101">Q38-Q47</f>
        <v>19.423425134499382</v>
      </c>
      <c r="R56" s="10">
        <f t="shared" si="101"/>
        <v>13.16072750058953</v>
      </c>
      <c r="S56" s="10">
        <f t="shared" si="101"/>
        <v>23.221266547780203</v>
      </c>
      <c r="T56" s="10">
        <f t="shared" si="101"/>
        <v>18.576184188357161</v>
      </c>
      <c r="U56" s="10">
        <f t="shared" si="101"/>
        <v>8.7049831734678094</v>
      </c>
      <c r="V56" s="10">
        <f t="shared" si="101"/>
        <v>30.502060524313691</v>
      </c>
      <c r="W56" s="10">
        <f t="shared" si="101"/>
        <v>15.117909200424265</v>
      </c>
      <c r="X56" s="10">
        <f t="shared" ref="X56:AI56" si="102">X38-X47</f>
        <v>15.130097962482864</v>
      </c>
      <c r="Y56" s="10">
        <f t="shared" si="102"/>
        <v>19.185103164018727</v>
      </c>
      <c r="Z56" s="10">
        <f t="shared" si="102"/>
        <v>37.731628711769957</v>
      </c>
      <c r="AA56" s="10">
        <f t="shared" ref="AA56:AD56" si="103">AA38-AA47</f>
        <v>13.746764338856622</v>
      </c>
      <c r="AB56" s="10">
        <f t="shared" si="103"/>
        <v>14.433699742581382</v>
      </c>
      <c r="AC56" s="10">
        <f t="shared" si="103"/>
        <v>14.98366443964531</v>
      </c>
      <c r="AD56" s="10">
        <f t="shared" si="103"/>
        <v>15.24586030460776</v>
      </c>
      <c r="AE56" s="10">
        <f t="shared" si="102"/>
        <v>15.557862999041447</v>
      </c>
      <c r="AF56" s="10">
        <f t="shared" si="102"/>
        <v>0</v>
      </c>
      <c r="AG56" s="10">
        <f t="shared" si="102"/>
        <v>0</v>
      </c>
      <c r="AH56" s="10">
        <f t="shared" si="102"/>
        <v>0</v>
      </c>
      <c r="AI56" s="10">
        <f t="shared" si="102"/>
        <v>0</v>
      </c>
      <c r="AJ56" s="10">
        <f t="shared" ref="AJ56:AM56" si="104">AJ38-AJ47</f>
        <v>0</v>
      </c>
      <c r="AK56" s="10">
        <f t="shared" si="104"/>
        <v>0</v>
      </c>
      <c r="AL56" s="10">
        <f t="shared" si="104"/>
        <v>0</v>
      </c>
      <c r="AM56" s="10">
        <f t="shared" si="104"/>
        <v>0</v>
      </c>
    </row>
    <row r="57" spans="8:39" x14ac:dyDescent="0.25">
      <c r="H57" s="14">
        <v>2050</v>
      </c>
      <c r="I57" s="10">
        <f t="shared" si="88"/>
        <v>2.7665429749440307</v>
      </c>
      <c r="J57" s="10">
        <f t="shared" si="88"/>
        <v>14.451454839034085</v>
      </c>
      <c r="K57" s="10">
        <f t="shared" si="88"/>
        <v>12.705428535978669</v>
      </c>
      <c r="L57" s="10">
        <f t="shared" si="88"/>
        <v>9.888754586216244</v>
      </c>
      <c r="M57" s="10">
        <f t="shared" si="88"/>
        <v>5.9764362313892718</v>
      </c>
      <c r="N57" s="10">
        <f t="shared" si="88"/>
        <v>24.638140969714357</v>
      </c>
      <c r="P57" s="14">
        <v>2050</v>
      </c>
      <c r="Q57" s="10">
        <f t="shared" ref="Q57:W57" si="105">Q39-Q48</f>
        <v>18.190881716928743</v>
      </c>
      <c r="R57" s="10">
        <f t="shared" si="105"/>
        <v>13.733652713611036</v>
      </c>
      <c r="S57" s="10">
        <f t="shared" si="105"/>
        <v>23.470150366885861</v>
      </c>
      <c r="T57" s="10">
        <f t="shared" si="105"/>
        <v>15.8343051923259</v>
      </c>
      <c r="U57" s="10">
        <f t="shared" si="105"/>
        <v>7.4201116260002635</v>
      </c>
      <c r="V57" s="10">
        <f t="shared" si="105"/>
        <v>28.566505200715881</v>
      </c>
      <c r="W57" s="10">
        <f t="shared" si="105"/>
        <v>14.158578941039821</v>
      </c>
      <c r="X57" s="10">
        <f t="shared" ref="X57:AI57" si="106">X39-X48</f>
        <v>14.169994246391411</v>
      </c>
      <c r="Y57" s="10">
        <f t="shared" si="106"/>
        <v>17.967682834880975</v>
      </c>
      <c r="Z57" s="10">
        <f t="shared" si="106"/>
        <v>37.535151280840495</v>
      </c>
      <c r="AA57" s="10">
        <f t="shared" ref="AA57:AD57" si="107">AA39-AA48</f>
        <v>12.874442192714753</v>
      </c>
      <c r="AB57" s="10">
        <f t="shared" si="107"/>
        <v>13.517787050266833</v>
      </c>
      <c r="AC57" s="10">
        <f t="shared" si="107"/>
        <v>14.032852888732521</v>
      </c>
      <c r="AD57" s="10">
        <f t="shared" si="107"/>
        <v>14.278410710443808</v>
      </c>
      <c r="AE57" s="10">
        <f t="shared" si="106"/>
        <v>14.57061479239664</v>
      </c>
      <c r="AF57" s="10">
        <f t="shared" si="106"/>
        <v>0</v>
      </c>
      <c r="AG57" s="10">
        <f t="shared" si="106"/>
        <v>0</v>
      </c>
      <c r="AH57" s="10">
        <f t="shared" si="106"/>
        <v>0</v>
      </c>
      <c r="AI57" s="10">
        <f t="shared" si="106"/>
        <v>0</v>
      </c>
      <c r="AJ57" s="10">
        <f t="shared" ref="AJ57:AM57" si="108">AJ39-AJ48</f>
        <v>0</v>
      </c>
      <c r="AK57" s="10">
        <f t="shared" si="108"/>
        <v>0</v>
      </c>
      <c r="AL57" s="10">
        <f t="shared" si="108"/>
        <v>0</v>
      </c>
      <c r="AM57" s="10">
        <f t="shared" si="108"/>
        <v>0</v>
      </c>
    </row>
    <row r="58" spans="8:39" x14ac:dyDescent="0.25">
      <c r="P58" s="13"/>
    </row>
    <row r="59" spans="8:39" x14ac:dyDescent="0.25">
      <c r="H59" s="23" t="s">
        <v>94</v>
      </c>
      <c r="I59" s="23"/>
      <c r="J59" s="23"/>
      <c r="K59" s="23"/>
      <c r="L59" s="23"/>
      <c r="M59" s="23"/>
      <c r="N59" s="23"/>
      <c r="P59" s="23" t="s">
        <v>94</v>
      </c>
      <c r="Q59" s="23"/>
      <c r="R59" s="23"/>
      <c r="S59" s="23"/>
      <c r="T59" s="23"/>
      <c r="U59" s="23"/>
      <c r="V59" s="23"/>
    </row>
    <row r="60" spans="8:39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145</v>
      </c>
      <c r="X60" t="s">
        <v>146</v>
      </c>
      <c r="Y60" t="s">
        <v>126</v>
      </c>
      <c r="Z60" t="s">
        <v>127</v>
      </c>
      <c r="AA60" t="s">
        <v>132</v>
      </c>
      <c r="AB60" t="s">
        <v>133</v>
      </c>
      <c r="AC60" t="s">
        <v>134</v>
      </c>
      <c r="AD60" t="s">
        <v>135</v>
      </c>
      <c r="AE60" t="s">
        <v>136</v>
      </c>
      <c r="AF60" t="s">
        <v>128</v>
      </c>
      <c r="AG60" t="s">
        <v>129</v>
      </c>
      <c r="AH60" t="s">
        <v>130</v>
      </c>
      <c r="AI60" t="s">
        <v>131</v>
      </c>
      <c r="AJ60" t="s">
        <v>141</v>
      </c>
      <c r="AK60" t="s">
        <v>142</v>
      </c>
      <c r="AL60" t="s">
        <v>143</v>
      </c>
      <c r="AM60" t="s">
        <v>144</v>
      </c>
    </row>
    <row r="61" spans="8:39" x14ac:dyDescent="0.25">
      <c r="H61" s="14">
        <v>2025</v>
      </c>
      <c r="I61" s="15">
        <f>(1-(I52/I34))/I34</f>
        <v>4.2296729674809255E-3</v>
      </c>
      <c r="J61" s="15">
        <f t="shared" ref="J61:N61" si="109">(1-(J52/J34))/J34</f>
        <v>2.242152466367713E-3</v>
      </c>
      <c r="K61" s="15">
        <f t="shared" si="109"/>
        <v>4.6951393706008366E-3</v>
      </c>
      <c r="L61" s="15">
        <f t="shared" si="109"/>
        <v>3.4372630131788207E-3</v>
      </c>
      <c r="M61" s="15">
        <f t="shared" si="109"/>
        <v>7.0091723461112492E-3</v>
      </c>
      <c r="N61" s="15">
        <f t="shared" si="109"/>
        <v>2.6199161506589817E-3</v>
      </c>
      <c r="P61" s="14">
        <v>2025</v>
      </c>
      <c r="Q61" s="21">
        <f t="shared" ref="Q61:W66" si="110">Q52/Q34</f>
        <v>0</v>
      </c>
      <c r="R61" s="21">
        <f t="shared" si="110"/>
        <v>2.159864871588402E-2</v>
      </c>
      <c r="S61" s="21">
        <f t="shared" si="110"/>
        <v>5.1034239185863285E-2</v>
      </c>
      <c r="T61" s="21">
        <f t="shared" si="110"/>
        <v>7.8895392089316965E-2</v>
      </c>
      <c r="U61" s="21">
        <f t="shared" si="110"/>
        <v>7.8895392089316896E-2</v>
      </c>
      <c r="V61" s="21">
        <f t="shared" si="110"/>
        <v>0</v>
      </c>
      <c r="W61" s="21">
        <f t="shared" si="110"/>
        <v>1.4524624813539026E-3</v>
      </c>
      <c r="X61" s="21">
        <f t="shared" ref="X61:AI61" si="111">X52/X34</f>
        <v>1.452462703007266E-3</v>
      </c>
      <c r="Y61" s="22">
        <f t="shared" si="111"/>
        <v>0</v>
      </c>
      <c r="Z61" s="22">
        <f t="shared" si="111"/>
        <v>0</v>
      </c>
      <c r="AA61" s="22">
        <f t="shared" ref="AA61:AD61" si="112">AA52/AA34</f>
        <v>6.207390220437408E-2</v>
      </c>
      <c r="AB61" s="22">
        <f t="shared" si="112"/>
        <v>6.207390220437408E-2</v>
      </c>
      <c r="AC61" s="22">
        <f t="shared" si="112"/>
        <v>6.207390220437408E-2</v>
      </c>
      <c r="AD61" s="22">
        <f t="shared" si="112"/>
        <v>6.207390220437408E-2</v>
      </c>
      <c r="AE61" s="22">
        <f t="shared" si="111"/>
        <v>6.207390220437408E-2</v>
      </c>
      <c r="AF61" s="22">
        <f t="shared" si="111"/>
        <v>0</v>
      </c>
      <c r="AG61" s="22">
        <f t="shared" si="111"/>
        <v>0</v>
      </c>
      <c r="AH61" s="22">
        <f t="shared" si="111"/>
        <v>0</v>
      </c>
      <c r="AI61" s="22">
        <f t="shared" si="111"/>
        <v>0</v>
      </c>
      <c r="AJ61" s="22">
        <f t="shared" ref="AJ61:AM61" si="113">AJ52/AJ34</f>
        <v>0</v>
      </c>
      <c r="AK61" s="22">
        <f t="shared" si="113"/>
        <v>0</v>
      </c>
      <c r="AL61" s="22">
        <f t="shared" si="113"/>
        <v>0</v>
      </c>
      <c r="AM61" s="22">
        <f t="shared" si="113"/>
        <v>0</v>
      </c>
    </row>
    <row r="62" spans="8:39" x14ac:dyDescent="0.25">
      <c r="H62" s="14">
        <v>2030</v>
      </c>
      <c r="I62" s="15">
        <f t="shared" ref="I62:N66" si="114">(1-(I53/I35))/I35</f>
        <v>4.6286987191300703E-3</v>
      </c>
      <c r="J62" s="15">
        <f t="shared" si="114"/>
        <v>2.5110866614096584E-3</v>
      </c>
      <c r="K62" s="15">
        <f t="shared" si="114"/>
        <v>5.358586846835922E-3</v>
      </c>
      <c r="L62" s="15">
        <f t="shared" si="114"/>
        <v>4.3242888533228281E-3</v>
      </c>
      <c r="M62" s="15">
        <f t="shared" si="114"/>
        <v>7.6655988170767544E-3</v>
      </c>
      <c r="N62" s="15">
        <f t="shared" si="114"/>
        <v>3.082340536972066E-3</v>
      </c>
      <c r="P62" s="14">
        <v>2030</v>
      </c>
      <c r="Q62" s="21">
        <f t="shared" si="110"/>
        <v>7.2005255799870646E-2</v>
      </c>
      <c r="R62" s="21">
        <f t="shared" si="110"/>
        <v>3.7935815937008122E-2</v>
      </c>
      <c r="S62" s="21">
        <f t="shared" si="110"/>
        <v>7.9415665577240849E-2</v>
      </c>
      <c r="T62" s="21">
        <f t="shared" si="110"/>
        <v>7.889539208931684E-2</v>
      </c>
      <c r="U62" s="21">
        <f t="shared" si="110"/>
        <v>7.8895392089316979E-2</v>
      </c>
      <c r="V62" s="21">
        <f t="shared" si="110"/>
        <v>0.12666875354809062</v>
      </c>
      <c r="W62" s="21">
        <f t="shared" si="110"/>
        <v>5.2801586238552453E-2</v>
      </c>
      <c r="X62" s="21">
        <f t="shared" ref="X62:AI62" si="115">X53/X35</f>
        <v>5.2834255744793446E-2</v>
      </c>
      <c r="Y62" s="22">
        <f t="shared" si="115"/>
        <v>8.2558409986148301E-2</v>
      </c>
      <c r="Z62" s="22">
        <f t="shared" si="115"/>
        <v>0.1383767815890895</v>
      </c>
      <c r="AA62" s="22">
        <f t="shared" ref="AA62:AD62" si="116">AA53/AA35</f>
        <v>7.4447229516503746E-2</v>
      </c>
      <c r="AB62" s="22">
        <f t="shared" si="116"/>
        <v>7.8167409509664373E-2</v>
      </c>
      <c r="AC62" s="22">
        <f t="shared" si="116"/>
        <v>8.1145808427332766E-2</v>
      </c>
      <c r="AD62" s="22">
        <f t="shared" si="116"/>
        <v>8.2565761170827728E-2</v>
      </c>
      <c r="AE62" s="22">
        <f t="shared" si="115"/>
        <v>8.4255448695085167E-2</v>
      </c>
      <c r="AF62" s="22">
        <f t="shared" si="115"/>
        <v>0</v>
      </c>
      <c r="AG62" s="22">
        <f t="shared" si="115"/>
        <v>0</v>
      </c>
      <c r="AH62" s="22">
        <f t="shared" si="115"/>
        <v>0</v>
      </c>
      <c r="AI62" s="22">
        <f t="shared" si="115"/>
        <v>0</v>
      </c>
      <c r="AJ62" s="22">
        <f t="shared" ref="AJ62:AM62" si="117">AJ53/AJ35</f>
        <v>0</v>
      </c>
      <c r="AK62" s="22">
        <f t="shared" si="117"/>
        <v>0</v>
      </c>
      <c r="AL62" s="22">
        <f t="shared" si="117"/>
        <v>0</v>
      </c>
      <c r="AM62" s="22">
        <f t="shared" si="117"/>
        <v>0</v>
      </c>
    </row>
    <row r="63" spans="8:39" x14ac:dyDescent="0.25">
      <c r="H63" s="14">
        <v>2035</v>
      </c>
      <c r="I63" s="15">
        <f t="shared" si="114"/>
        <v>5.0653684096140404E-3</v>
      </c>
      <c r="J63" s="15">
        <f t="shared" si="114"/>
        <v>2.8636876879813964E-3</v>
      </c>
      <c r="K63" s="15">
        <f t="shared" si="114"/>
        <v>6.1110273150225018E-3</v>
      </c>
      <c r="L63" s="15">
        <f t="shared" si="114"/>
        <v>5.5134028844093996E-3</v>
      </c>
      <c r="M63" s="15">
        <f t="shared" si="114"/>
        <v>8.4048700724761085E-3</v>
      </c>
      <c r="N63" s="15">
        <f t="shared" si="114"/>
        <v>4.0524179733364973E-3</v>
      </c>
      <c r="P63" s="14">
        <v>2035</v>
      </c>
      <c r="Q63" s="21">
        <f t="shared" si="110"/>
        <v>0.10518985801607014</v>
      </c>
      <c r="R63" s="21">
        <f t="shared" si="110"/>
        <v>5.1034239185863375E-2</v>
      </c>
      <c r="S63" s="21">
        <f t="shared" si="110"/>
        <v>9.8967839167066807E-2</v>
      </c>
      <c r="T63" s="21">
        <f t="shared" si="110"/>
        <v>7.8895392089316993E-2</v>
      </c>
      <c r="U63" s="21">
        <f t="shared" si="110"/>
        <v>7.889539208931691E-2</v>
      </c>
      <c r="V63" s="21">
        <f t="shared" si="110"/>
        <v>0.1651875193758317</v>
      </c>
      <c r="W63" s="21">
        <f t="shared" si="110"/>
        <v>8.1872826820224814E-2</v>
      </c>
      <c r="X63" s="21">
        <f t="shared" ref="X63:AI63" si="118">X54/X36</f>
        <v>8.1938836503967882E-2</v>
      </c>
      <c r="Y63" s="22">
        <f t="shared" si="118"/>
        <v>0.10389919717415493</v>
      </c>
      <c r="Z63" s="22">
        <f t="shared" si="118"/>
        <v>0.16928290688878872</v>
      </c>
      <c r="AA63" s="22">
        <f t="shared" ref="AA63:AD63" si="119">AA54/AA36</f>
        <v>7.4447229516503829E-2</v>
      </c>
      <c r="AB63" s="22">
        <f t="shared" si="119"/>
        <v>7.8167409509664554E-2</v>
      </c>
      <c r="AC63" s="22">
        <f t="shared" si="119"/>
        <v>8.1145808427332877E-2</v>
      </c>
      <c r="AD63" s="22">
        <f t="shared" si="119"/>
        <v>8.2565761170827798E-2</v>
      </c>
      <c r="AE63" s="22">
        <f t="shared" si="118"/>
        <v>8.4255448695085194E-2</v>
      </c>
      <c r="AF63" s="22">
        <f t="shared" si="118"/>
        <v>0</v>
      </c>
      <c r="AG63" s="22">
        <f t="shared" si="118"/>
        <v>0</v>
      </c>
      <c r="AH63" s="22">
        <f t="shared" si="118"/>
        <v>0</v>
      </c>
      <c r="AI63" s="22">
        <f t="shared" si="118"/>
        <v>0</v>
      </c>
      <c r="AJ63" s="22">
        <f t="shared" ref="AJ63:AM63" si="120">AJ54/AJ36</f>
        <v>0</v>
      </c>
      <c r="AK63" s="22">
        <f t="shared" si="120"/>
        <v>0</v>
      </c>
      <c r="AL63" s="22">
        <f t="shared" si="120"/>
        <v>0</v>
      </c>
      <c r="AM63" s="22">
        <f t="shared" si="120"/>
        <v>0</v>
      </c>
    </row>
    <row r="64" spans="8:39" x14ac:dyDescent="0.25">
      <c r="H64" s="14">
        <v>2040</v>
      </c>
      <c r="I64" s="15">
        <f t="shared" si="114"/>
        <v>5.5432333539172512E-3</v>
      </c>
      <c r="J64" s="15">
        <f t="shared" si="114"/>
        <v>3.3595657847781462E-3</v>
      </c>
      <c r="K64" s="15">
        <f t="shared" si="114"/>
        <v>6.984190506932688E-3</v>
      </c>
      <c r="L64" s="15">
        <f t="shared" si="114"/>
        <v>7.078467616032813E-3</v>
      </c>
      <c r="M64" s="15">
        <f t="shared" si="114"/>
        <v>9.2321065465968011E-3</v>
      </c>
      <c r="N64" s="15">
        <f t="shared" si="114"/>
        <v>4.3439983353645469E-3</v>
      </c>
      <c r="P64" s="14">
        <v>2040</v>
      </c>
      <c r="Q64" s="21">
        <f t="shared" si="110"/>
        <v>0.10518985801607007</v>
      </c>
      <c r="R64" s="21">
        <f t="shared" si="110"/>
        <v>6.1942541927517823E-2</v>
      </c>
      <c r="S64" s="21">
        <f t="shared" si="110"/>
        <v>0.11381917348346579</v>
      </c>
      <c r="T64" s="21">
        <f t="shared" si="110"/>
        <v>7.8895392089316882E-2</v>
      </c>
      <c r="U64" s="21">
        <f t="shared" si="110"/>
        <v>7.8895392089316854E-2</v>
      </c>
      <c r="V64" s="21">
        <f t="shared" si="110"/>
        <v>0.16518751937583165</v>
      </c>
      <c r="W64" s="21">
        <f t="shared" si="110"/>
        <v>8.1872826820224689E-2</v>
      </c>
      <c r="X64" s="21">
        <f t="shared" ref="X64:AI64" si="121">X55/X37</f>
        <v>8.1938836503967744E-2</v>
      </c>
      <c r="Y64" s="22">
        <f t="shared" si="121"/>
        <v>0.10389919717415487</v>
      </c>
      <c r="Z64" s="22">
        <f t="shared" si="121"/>
        <v>0.18857209957880355</v>
      </c>
      <c r="AA64" s="22">
        <f t="shared" ref="AA64:AD64" si="122">AA55/AA37</f>
        <v>7.4447229516503705E-2</v>
      </c>
      <c r="AB64" s="22">
        <f t="shared" si="122"/>
        <v>7.8167409509664498E-2</v>
      </c>
      <c r="AC64" s="22">
        <f t="shared" si="122"/>
        <v>8.1145808427332808E-2</v>
      </c>
      <c r="AD64" s="22">
        <f t="shared" si="122"/>
        <v>8.256576117082777E-2</v>
      </c>
      <c r="AE64" s="22">
        <f t="shared" si="121"/>
        <v>8.4255448695085125E-2</v>
      </c>
      <c r="AF64" s="22">
        <f t="shared" si="121"/>
        <v>0</v>
      </c>
      <c r="AG64" s="22">
        <f t="shared" si="121"/>
        <v>0</v>
      </c>
      <c r="AH64" s="22">
        <f t="shared" si="121"/>
        <v>0</v>
      </c>
      <c r="AI64" s="22">
        <f t="shared" si="121"/>
        <v>0</v>
      </c>
      <c r="AJ64" s="22">
        <f t="shared" ref="AJ64:AM64" si="123">AJ55/AJ37</f>
        <v>0</v>
      </c>
      <c r="AK64" s="22">
        <f t="shared" si="123"/>
        <v>0</v>
      </c>
      <c r="AL64" s="22">
        <f t="shared" si="123"/>
        <v>0</v>
      </c>
      <c r="AM64" s="22">
        <f t="shared" si="123"/>
        <v>0</v>
      </c>
    </row>
    <row r="65" spans="8:39" x14ac:dyDescent="0.25">
      <c r="H65" s="14">
        <v>2045</v>
      </c>
      <c r="I65" s="15">
        <f t="shared" si="114"/>
        <v>6.0661798967396345E-3</v>
      </c>
      <c r="J65" s="15">
        <f t="shared" si="114"/>
        <v>3.9413104681844512E-3</v>
      </c>
      <c r="K65" s="15">
        <f t="shared" si="114"/>
        <v>8.0040080256891903E-3</v>
      </c>
      <c r="L65" s="15">
        <f t="shared" si="114"/>
        <v>9.129292010114377E-3</v>
      </c>
      <c r="M65" s="15">
        <f t="shared" si="114"/>
        <v>1.0154459901310238E-2</v>
      </c>
      <c r="N65" s="15">
        <f t="shared" si="114"/>
        <v>4.6985144493336935E-3</v>
      </c>
      <c r="P65" s="14">
        <v>2045</v>
      </c>
      <c r="Q65" s="21">
        <f t="shared" si="110"/>
        <v>0.10518985801607006</v>
      </c>
      <c r="R65" s="21">
        <f t="shared" si="110"/>
        <v>7.1273477648198635E-2</v>
      </c>
      <c r="S65" s="21">
        <f t="shared" si="110"/>
        <v>0.12575751774983088</v>
      </c>
      <c r="T65" s="21">
        <f t="shared" si="110"/>
        <v>7.8895392089316924E-2</v>
      </c>
      <c r="U65" s="21">
        <f t="shared" si="110"/>
        <v>7.8895392089316868E-2</v>
      </c>
      <c r="V65" s="21">
        <f t="shared" si="110"/>
        <v>0.16518751937583168</v>
      </c>
      <c r="W65" s="21">
        <f t="shared" si="110"/>
        <v>8.1872826820224703E-2</v>
      </c>
      <c r="X65" s="21">
        <f t="shared" ref="X65:AI65" si="124">X56/X38</f>
        <v>8.1938836503967785E-2</v>
      </c>
      <c r="Y65" s="22">
        <f t="shared" si="124"/>
        <v>0.10389919717415484</v>
      </c>
      <c r="Z65" s="22">
        <f t="shared" si="124"/>
        <v>0.20434010167735797</v>
      </c>
      <c r="AA65" s="22">
        <f t="shared" ref="AA65:AD65" si="125">AA56/AA38</f>
        <v>7.4447229516503746E-2</v>
      </c>
      <c r="AB65" s="22">
        <f t="shared" si="125"/>
        <v>7.8167409509664457E-2</v>
      </c>
      <c r="AC65" s="22">
        <f t="shared" si="125"/>
        <v>8.1145808427332822E-2</v>
      </c>
      <c r="AD65" s="22">
        <f t="shared" si="125"/>
        <v>8.2565761170827756E-2</v>
      </c>
      <c r="AE65" s="22">
        <f t="shared" si="124"/>
        <v>8.4255448695085139E-2</v>
      </c>
      <c r="AF65" s="22">
        <f t="shared" si="124"/>
        <v>0</v>
      </c>
      <c r="AG65" s="22">
        <f t="shared" si="124"/>
        <v>0</v>
      </c>
      <c r="AH65" s="22">
        <f t="shared" si="124"/>
        <v>0</v>
      </c>
      <c r="AI65" s="22">
        <f t="shared" si="124"/>
        <v>0</v>
      </c>
      <c r="AJ65" s="22">
        <f t="shared" ref="AJ65:AM65" si="126">AJ56/AJ38</f>
        <v>0</v>
      </c>
      <c r="AK65" s="22">
        <f t="shared" si="126"/>
        <v>0</v>
      </c>
      <c r="AL65" s="22">
        <f t="shared" si="126"/>
        <v>0</v>
      </c>
      <c r="AM65" s="22">
        <f t="shared" si="126"/>
        <v>0</v>
      </c>
    </row>
    <row r="66" spans="8:39" x14ac:dyDescent="0.25">
      <c r="H66" s="14">
        <v>2050</v>
      </c>
      <c r="I66" s="15">
        <f t="shared" si="114"/>
        <v>6.6384610190735622E-3</v>
      </c>
      <c r="J66" s="15">
        <f t="shared" si="114"/>
        <v>4.62379045441021E-3</v>
      </c>
      <c r="K66" s="15">
        <f t="shared" si="114"/>
        <v>9.196254377799239E-3</v>
      </c>
      <c r="L66" s="15">
        <f t="shared" si="114"/>
        <v>1.1815679292787139E-2</v>
      </c>
      <c r="M66" s="15">
        <f t="shared" si="114"/>
        <v>1.1180659568676256E-2</v>
      </c>
      <c r="N66" s="15">
        <f t="shared" si="114"/>
        <v>4.9587095646873537E-3</v>
      </c>
      <c r="P66" s="14">
        <v>2050</v>
      </c>
      <c r="Q66" s="21">
        <f t="shared" si="110"/>
        <v>0.10518985801607002</v>
      </c>
      <c r="R66" s="21">
        <f t="shared" si="110"/>
        <v>7.9415665577240932E-2</v>
      </c>
      <c r="S66" s="21">
        <f t="shared" si="110"/>
        <v>0.13571754371922554</v>
      </c>
      <c r="T66" s="21">
        <f t="shared" si="110"/>
        <v>7.8895392089316882E-2</v>
      </c>
      <c r="U66" s="21">
        <f t="shared" si="110"/>
        <v>7.8895392089316993E-2</v>
      </c>
      <c r="V66" s="21">
        <f t="shared" si="110"/>
        <v>0.16518751937583168</v>
      </c>
      <c r="W66" s="21">
        <f t="shared" si="110"/>
        <v>8.1872826820224634E-2</v>
      </c>
      <c r="X66" s="21">
        <f t="shared" ref="X66:AI66" si="127">X57/X39</f>
        <v>8.1938836503967813E-2</v>
      </c>
      <c r="Y66" s="22">
        <f t="shared" si="127"/>
        <v>0.10389919717415486</v>
      </c>
      <c r="Z66" s="22">
        <f t="shared" si="127"/>
        <v>0.21704925001897787</v>
      </c>
      <c r="AA66" s="22">
        <f t="shared" ref="AA66:AD66" si="128">AA57/AA39</f>
        <v>7.4447229516503746E-2</v>
      </c>
      <c r="AB66" s="22">
        <f t="shared" si="128"/>
        <v>7.8167409509664498E-2</v>
      </c>
      <c r="AC66" s="22">
        <f t="shared" si="128"/>
        <v>8.1145808427332863E-2</v>
      </c>
      <c r="AD66" s="22">
        <f t="shared" si="128"/>
        <v>8.2565761170827853E-2</v>
      </c>
      <c r="AE66" s="22">
        <f t="shared" si="127"/>
        <v>8.4255448695085139E-2</v>
      </c>
      <c r="AF66" s="22">
        <f t="shared" si="127"/>
        <v>0</v>
      </c>
      <c r="AG66" s="22">
        <f t="shared" si="127"/>
        <v>0</v>
      </c>
      <c r="AH66" s="22">
        <f t="shared" si="127"/>
        <v>0</v>
      </c>
      <c r="AI66" s="22">
        <f t="shared" si="127"/>
        <v>0</v>
      </c>
      <c r="AJ66" s="22">
        <f t="shared" ref="AJ66:AM66" si="129">AJ57/AJ39</f>
        <v>0</v>
      </c>
      <c r="AK66" s="22">
        <f t="shared" si="129"/>
        <v>0</v>
      </c>
      <c r="AL66" s="22">
        <f t="shared" si="129"/>
        <v>0</v>
      </c>
      <c r="AM66" s="22">
        <f t="shared" si="129"/>
        <v>0</v>
      </c>
    </row>
  </sheetData>
  <mergeCells count="14">
    <mergeCell ref="H14:N14"/>
    <mergeCell ref="H23:N23"/>
    <mergeCell ref="H5:N5"/>
    <mergeCell ref="P5:V5"/>
    <mergeCell ref="P14:V14"/>
    <mergeCell ref="P23:V23"/>
    <mergeCell ref="P32:V32"/>
    <mergeCell ref="P41:V41"/>
    <mergeCell ref="P59:V59"/>
    <mergeCell ref="H41:N41"/>
    <mergeCell ref="H50:N50"/>
    <mergeCell ref="H32:N32"/>
    <mergeCell ref="H59:N59"/>
    <mergeCell ref="P50:V50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M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M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S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5" t="s">
        <v>117</v>
      </c>
      <c r="M1" s="25"/>
      <c r="N1" s="25"/>
      <c r="O1" s="25"/>
      <c r="P1" s="25"/>
      <c r="Q1" s="25"/>
      <c r="R1" s="25"/>
      <c r="S1" s="25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5" t="s">
        <v>103</v>
      </c>
      <c r="M10" s="25"/>
      <c r="N10" s="25"/>
      <c r="O10" s="25"/>
      <c r="P10" s="25"/>
      <c r="Q10" s="25"/>
      <c r="R10" s="25"/>
      <c r="S10" s="25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5" t="s">
        <v>119</v>
      </c>
      <c r="M19" s="25"/>
      <c r="N19" s="25"/>
      <c r="O19" s="25"/>
      <c r="P19" s="25"/>
      <c r="Q19" s="25"/>
      <c r="R19" s="25"/>
      <c r="S19" s="25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5" t="s">
        <v>120</v>
      </c>
      <c r="M28" s="25"/>
      <c r="N28" s="25"/>
      <c r="O28" s="25"/>
      <c r="P28" s="25"/>
      <c r="Q28" s="25"/>
      <c r="R28" s="25"/>
      <c r="S28" s="25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5" t="s">
        <v>121</v>
      </c>
      <c r="M37" s="25"/>
      <c r="N37" s="25"/>
      <c r="O37" s="25"/>
      <c r="P37" s="25"/>
      <c r="Q37" s="25"/>
      <c r="R37" s="25"/>
      <c r="S37" s="25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5" t="s">
        <v>115</v>
      </c>
      <c r="M46" s="25"/>
      <c r="N46" s="25"/>
      <c r="O46" s="25"/>
      <c r="P46" s="25"/>
      <c r="Q46" s="25"/>
      <c r="R46" s="25"/>
      <c r="S46" s="25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2026-06-12T14:34:39Z</dcterms:modified>
</cp:coreProperties>
</file>