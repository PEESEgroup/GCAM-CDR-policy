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54F64265-0CEC-4CE5-AED3-93C03D151F15}" xr6:coauthVersionLast="47" xr6:coauthVersionMax="47" xr10:uidLastSave="{00000000-0000-0000-0000-000000000000}"/>
  <bookViews>
    <workbookView xWindow="-120" yWindow="-120" windowWidth="29040" windowHeight="17520" xr2:uid="{48B2FD56-5343-48F4-B77F-7F263F678783}"/>
  </bookViews>
  <sheets>
    <sheet name="Baseline Parameters" sheetId="1" r:id="rId1"/>
    <sheet name="S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13" i="1"/>
  <c r="C2" i="2"/>
  <c r="E2" i="2"/>
  <c r="F2" i="2"/>
  <c r="C3" i="2"/>
  <c r="E3" i="2"/>
  <c r="F3" i="2"/>
  <c r="C4" i="2"/>
  <c r="E4" i="2"/>
  <c r="F4" i="2"/>
  <c r="C5" i="2"/>
  <c r="E5" i="2"/>
  <c r="F5" i="2"/>
  <c r="C6" i="2"/>
  <c r="E6" i="2"/>
  <c r="F6" i="2"/>
  <c r="C7" i="2"/>
  <c r="E7" i="2"/>
  <c r="F7" i="2"/>
  <c r="B3" i="2"/>
  <c r="B4" i="2"/>
  <c r="B5" i="2"/>
  <c r="B6" i="2"/>
  <c r="B7" i="2"/>
  <c r="B2" i="2"/>
  <c r="C10" i="2"/>
  <c r="E10" i="2"/>
  <c r="F10" i="2"/>
  <c r="C11" i="2"/>
  <c r="D11" i="2"/>
  <c r="E11" i="2"/>
  <c r="F11" i="2"/>
  <c r="B11" i="2"/>
  <c r="B10" i="2"/>
  <c r="J14" i="1"/>
  <c r="J13" i="1" s="1"/>
  <c r="K14" i="1"/>
  <c r="K13" i="1" s="1"/>
  <c r="I14" i="1"/>
  <c r="I13" i="1" s="1"/>
  <c r="I3" i="1" s="1"/>
  <c r="D14" i="1"/>
  <c r="G3" i="1"/>
  <c r="F14" i="1"/>
  <c r="F13" i="1" s="1"/>
  <c r="E14" i="1"/>
  <c r="E13" i="1" s="1"/>
  <c r="G2" i="1"/>
  <c r="C7" i="1"/>
  <c r="C14" i="1" s="1"/>
  <c r="C13" i="1" s="1"/>
  <c r="B7" i="1"/>
  <c r="B14" i="1" s="1"/>
  <c r="B13" i="1" s="1"/>
  <c r="B4" i="1" s="1"/>
  <c r="F7" i="1" l="1"/>
  <c r="G7" i="1" s="1"/>
  <c r="F6" i="1"/>
  <c r="G6" i="1" s="1"/>
  <c r="F5" i="1"/>
  <c r="G5" i="1" s="1"/>
  <c r="F4" i="1"/>
  <c r="G4" i="1" s="1"/>
  <c r="I4" i="1"/>
  <c r="K3" i="1"/>
  <c r="K4" i="1"/>
  <c r="K5" i="1"/>
  <c r="K6" i="1"/>
  <c r="J3" i="1"/>
  <c r="J6" i="1"/>
  <c r="J4" i="1"/>
  <c r="J5" i="1"/>
  <c r="I6" i="1"/>
  <c r="I5" i="1"/>
  <c r="E3" i="1"/>
  <c r="E4" i="1"/>
  <c r="E6" i="1"/>
  <c r="E5" i="1"/>
  <c r="C3" i="1"/>
  <c r="C5" i="1"/>
  <c r="C6" i="1"/>
  <c r="C4" i="1"/>
  <c r="B3" i="1"/>
  <c r="B5" i="1"/>
  <c r="B6" i="1"/>
  <c r="D4" i="1"/>
  <c r="D5" i="1"/>
  <c r="D6" i="1"/>
  <c r="D10" i="2"/>
  <c r="D4" i="2" s="1"/>
  <c r="D2" i="2" l="1"/>
  <c r="D7" i="2"/>
  <c r="D6" i="2"/>
  <c r="D3" i="2"/>
  <c r="D5" i="2"/>
</calcChain>
</file>

<file path=xl/sharedStrings.xml><?xml version="1.0" encoding="utf-8"?>
<sst xmlns="http://schemas.openxmlformats.org/spreadsheetml/2006/main" count="97" uniqueCount="36">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</sst>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Parameters'!$E$1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Parameters'!$E$2:$E$7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Parameters'!$F$1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B6-4FC6-913E-28DF2E67F4D4}"/>
            </c:ext>
          </c:extLst>
        </c:ser>
        <c:ser>
          <c:idx val="1"/>
          <c:order val="1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'S2'!$D$1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'S2'!$E$1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'S2'!$F$1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16</xdr:row>
      <xdr:rowOff>0</xdr:rowOff>
    </xdr:from>
    <xdr:to>
      <xdr:col>25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542925</xdr:colOff>
      <xdr:row>5</xdr:row>
      <xdr:rowOff>128587</xdr:rowOff>
    </xdr:from>
    <xdr:to>
      <xdr:col>20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195262</xdr:colOff>
      <xdr:row>1</xdr:row>
      <xdr:rowOff>176212</xdr:rowOff>
    </xdr:from>
    <xdr:to>
      <xdr:col>16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fo.opisnet.com/hubfs/CDR%20Price%20Survey%20White%20Paper-Email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Z24"/>
  <sheetViews>
    <sheetView tabSelected="1" workbookViewId="0">
      <selection activeCell="G15" sqref="G15"/>
    </sheetView>
  </sheetViews>
  <sheetFormatPr defaultRowHeight="15" x14ac:dyDescent="0.25"/>
  <cols>
    <col min="2" max="2" width="11" bestFit="1" customWidth="1"/>
  </cols>
  <sheetData>
    <row r="1" spans="1:11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</row>
    <row r="2" spans="1:11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232</v>
      </c>
      <c r="G2">
        <f>F2/6.1/1000*44/12</f>
        <v>0.13945355191256831</v>
      </c>
      <c r="I2">
        <v>13.5</v>
      </c>
      <c r="J2">
        <v>13.5</v>
      </c>
      <c r="K2">
        <v>13.5</v>
      </c>
    </row>
    <row r="3" spans="1:11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212</v>
      </c>
      <c r="G3">
        <f t="shared" ref="G3:G7" si="1">F3/6.1/1000*44/12</f>
        <v>0.12743169398907103</v>
      </c>
      <c r="I3">
        <f t="shared" ref="I3:K6" si="2">I$13*EXP(I$14*($A3-$A$2))</f>
        <v>20.149627171231938</v>
      </c>
      <c r="J3">
        <f t="shared" si="2"/>
        <v>27.801038275533536</v>
      </c>
      <c r="K3">
        <f t="shared" si="2"/>
        <v>34.63261353326736</v>
      </c>
    </row>
    <row r="4" spans="1:11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193.72413793103445</v>
      </c>
      <c r="G4">
        <f t="shared" si="1"/>
        <v>0.1164462031279442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</row>
    <row r="5" spans="1:11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177.02378121284181</v>
      </c>
      <c r="G5">
        <f t="shared" si="1"/>
        <v>0.10640773734105245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</row>
    <row r="6" spans="1:11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161.7631104186313</v>
      </c>
      <c r="G6">
        <f t="shared" si="1"/>
        <v>9.7234656535789318E-2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</row>
    <row r="7" spans="1:11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147.8180146928872</v>
      </c>
      <c r="G7">
        <f t="shared" si="1"/>
        <v>8.8852358558566089E-2</v>
      </c>
      <c r="I7">
        <v>100</v>
      </c>
      <c r="J7">
        <v>500</v>
      </c>
      <c r="K7">
        <v>1500</v>
      </c>
    </row>
    <row r="8" spans="1:11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</row>
    <row r="9" spans="1:11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1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1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1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231.99999999999997</v>
      </c>
      <c r="I13">
        <f t="shared" ref="I13" si="4">EXP(LN(I2)-I14*0)</f>
        <v>13.5</v>
      </c>
      <c r="J13">
        <f t="shared" ref="J13" si="5">EXP(LN(J2)-J14*0)</f>
        <v>13.5</v>
      </c>
      <c r="K13">
        <f t="shared" ref="K13" si="6">EXP(LN(K2)-K14*0)</f>
        <v>13.5</v>
      </c>
    </row>
    <row r="14" spans="1:11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-1.8030219398859515E-2</v>
      </c>
      <c r="I14">
        <f>(LN(I2)-LN(I7))/($A2-$A7)</f>
        <v>8.0099220021748324E-2</v>
      </c>
      <c r="J14">
        <f t="shared" ref="J14:K14" si="7">(LN(J2)-LN(J7))/($A2-$A7)</f>
        <v>0.1444767365191123</v>
      </c>
      <c r="K14">
        <f t="shared" si="7"/>
        <v>0.18842122806583672</v>
      </c>
    </row>
    <row r="17" spans="1:26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26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26" x14ac:dyDescent="0.25">
      <c r="A19" t="s">
        <v>5</v>
      </c>
      <c r="B19" t="s">
        <v>4</v>
      </c>
      <c r="C19" t="s">
        <v>4</v>
      </c>
    </row>
    <row r="20" spans="1:26" x14ac:dyDescent="0.25">
      <c r="A20" t="s">
        <v>1</v>
      </c>
      <c r="B20">
        <v>44</v>
      </c>
      <c r="C20">
        <v>44</v>
      </c>
    </row>
    <row r="23" spans="1:26" x14ac:dyDescent="0.25">
      <c r="T23" s="2"/>
      <c r="Z23" s="1"/>
    </row>
    <row r="24" spans="1:26" x14ac:dyDescent="0.25">
      <c r="T24" s="2"/>
      <c r="Z24" s="1"/>
    </row>
  </sheetData>
  <phoneticPr fontId="3" type="noConversion"/>
  <hyperlinks>
    <hyperlink ref="F8" r:id="rId1" display="https://info.opisnet.com/hubfs/CDR Price Survey White Paper-Email.pdf" xr:uid="{CC158B7C-E4A0-48D9-9303-73D590522FCC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G35"/>
  <sheetViews>
    <sheetView workbookViewId="0">
      <selection activeCell="D2" sqref="D2:D7"/>
    </sheetView>
  </sheetViews>
  <sheetFormatPr defaultRowHeight="15" x14ac:dyDescent="0.25"/>
  <sheetData>
    <row r="1" spans="1:7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</row>
    <row r="2" spans="1:7" x14ac:dyDescent="0.25">
      <c r="A2">
        <v>2025</v>
      </c>
      <c r="B2">
        <f>(1-B14)*(1-B22)*B$10*EXP(B$11*($A2-$A$2+B30))</f>
        <v>446.00000000000006</v>
      </c>
      <c r="C2">
        <f t="shared" ref="C2:F2" si="0">(1-C14)*(1-C22)*C$10*EXP(C$11*($A2-$A$2+C30))</f>
        <v>208.99999999999997</v>
      </c>
      <c r="D2">
        <f>(1-D14)*(1-D22)*D$10*EXP(D$11*($A2-$A$3+D30))</f>
        <v>316.03815554156989</v>
      </c>
      <c r="E2">
        <f t="shared" si="0"/>
        <v>139.99999999999994</v>
      </c>
      <c r="F2">
        <f t="shared" si="0"/>
        <v>231.99999999999997</v>
      </c>
    </row>
    <row r="3" spans="1:7" x14ac:dyDescent="0.25">
      <c r="A3">
        <v>2030</v>
      </c>
      <c r="B3">
        <f t="shared" ref="B3:F7" si="1">(1-B15)*(1-B23)*B$10*EXP(B$11*($A3-$A$2+B31))</f>
        <v>323.85932014785305</v>
      </c>
      <c r="C3">
        <f t="shared" si="1"/>
        <v>151.76367244596696</v>
      </c>
      <c r="D3">
        <f t="shared" ref="D3:D7" si="2">(1-D15)*(1-D23)*D$10*EXP(D$11*($A3-$A$3+D31))</f>
        <v>230.55794999999995</v>
      </c>
      <c r="E3">
        <f t="shared" si="1"/>
        <v>109.7115308653982</v>
      </c>
      <c r="F3">
        <f t="shared" si="1"/>
        <v>184.44635999999997</v>
      </c>
    </row>
    <row r="4" spans="1:7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1"/>
        <v>84.813667223821682</v>
      </c>
      <c r="F4">
        <f t="shared" si="1"/>
        <v>144.65768827586206</v>
      </c>
    </row>
    <row r="5" spans="1:7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1"/>
        <v>73.659805223530071</v>
      </c>
      <c r="F5">
        <f t="shared" si="1"/>
        <v>127.45712247324612</v>
      </c>
    </row>
    <row r="6" spans="1:7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1"/>
        <v>66.346891111476808</v>
      </c>
      <c r="F6">
        <f t="shared" si="1"/>
        <v>116.46943950141454</v>
      </c>
    </row>
    <row r="7" spans="1:7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1"/>
        <v>59.760000000000026</v>
      </c>
      <c r="F7">
        <f t="shared" si="1"/>
        <v>106.42897057887879</v>
      </c>
    </row>
    <row r="10" spans="1:7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139.99999999999994</v>
      </c>
      <c r="F10">
        <f>'Baseline Parameters'!F13</f>
        <v>231.99999999999997</v>
      </c>
    </row>
    <row r="11" spans="1:7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-2.0912072592508223E-2</v>
      </c>
      <c r="F11">
        <f>'Baseline Parameters'!F14</f>
        <v>-1.8030219398859515E-2</v>
      </c>
    </row>
    <row r="13" spans="1:7" x14ac:dyDescent="0.25">
      <c r="A13" t="s">
        <v>31</v>
      </c>
      <c r="B13" t="s">
        <v>9</v>
      </c>
      <c r="C13" t="s">
        <v>8</v>
      </c>
      <c r="D13" t="s">
        <v>2</v>
      </c>
      <c r="E13" t="s">
        <v>3</v>
      </c>
      <c r="F13" t="s">
        <v>28</v>
      </c>
      <c r="G13" t="s">
        <v>7</v>
      </c>
    </row>
    <row r="14" spans="1:7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t="s">
        <v>33</v>
      </c>
    </row>
    <row r="15" spans="1:7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t="s">
        <v>33</v>
      </c>
    </row>
    <row r="16" spans="1:7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t="s">
        <v>33</v>
      </c>
    </row>
    <row r="17" spans="1:7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t="s">
        <v>33</v>
      </c>
    </row>
    <row r="18" spans="1:7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t="s">
        <v>33</v>
      </c>
    </row>
    <row r="19" spans="1:7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t="s">
        <v>33</v>
      </c>
    </row>
    <row r="21" spans="1:7" x14ac:dyDescent="0.25">
      <c r="A21" t="s">
        <v>32</v>
      </c>
      <c r="B21" t="s">
        <v>9</v>
      </c>
      <c r="C21" t="s">
        <v>8</v>
      </c>
      <c r="D21" t="s">
        <v>2</v>
      </c>
      <c r="E21" t="s">
        <v>3</v>
      </c>
      <c r="F21" t="s">
        <v>28</v>
      </c>
      <c r="G21" t="s">
        <v>7</v>
      </c>
    </row>
    <row r="22" spans="1:7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t="s">
        <v>33</v>
      </c>
    </row>
    <row r="23" spans="1:7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t="s">
        <v>33</v>
      </c>
    </row>
    <row r="24" spans="1:7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t="s">
        <v>33</v>
      </c>
    </row>
    <row r="25" spans="1:7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t="s">
        <v>33</v>
      </c>
    </row>
    <row r="26" spans="1:7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t="s">
        <v>33</v>
      </c>
    </row>
    <row r="27" spans="1:7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t="s">
        <v>33</v>
      </c>
    </row>
    <row r="29" spans="1:7" x14ac:dyDescent="0.25">
      <c r="A29" t="s">
        <v>34</v>
      </c>
      <c r="B29" t="s">
        <v>9</v>
      </c>
      <c r="C29" t="s">
        <v>8</v>
      </c>
      <c r="D29" t="s">
        <v>2</v>
      </c>
      <c r="E29" t="s">
        <v>3</v>
      </c>
      <c r="F29" t="s">
        <v>28</v>
      </c>
      <c r="G29" t="s">
        <v>7</v>
      </c>
    </row>
    <row r="30" spans="1:7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t="s">
        <v>35</v>
      </c>
    </row>
    <row r="31" spans="1:7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t="s">
        <v>35</v>
      </c>
    </row>
    <row r="32" spans="1:7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t="s">
        <v>35</v>
      </c>
    </row>
    <row r="33" spans="1:7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t="s">
        <v>35</v>
      </c>
    </row>
    <row r="34" spans="1:7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t="s">
        <v>35</v>
      </c>
    </row>
    <row r="35" spans="1:7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t="s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 Parameters</vt:lpstr>
      <vt:lpstr>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2025-09-03T18:02:00Z</dcterms:modified>
</cp:coreProperties>
</file>