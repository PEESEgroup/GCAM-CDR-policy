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4EF37EA2-74DA-4772-877C-2EC8E4B3613B}" xr6:coauthVersionLast="47" xr6:coauthVersionMax="47" xr10:uidLastSave="{00000000-0000-0000-0000-000000000000}"/>
  <bookViews>
    <workbookView xWindow="-120" yWindow="-120" windowWidth="29040" windowHeight="17520" activeTab="1" xr2:uid="{48B2FD56-5343-48F4-B77F-7F263F678783}"/>
  </bookViews>
  <sheets>
    <sheet name="Baseline Parameters" sheetId="1" r:id="rId1"/>
    <sheet name="Learning Rates" sheetId="5" r:id="rId2"/>
    <sheet name="S2" sheetId="2" r:id="rId3"/>
    <sheet name="verify-2025" sheetId="3" r:id="rId4"/>
    <sheet name="Procurement" sheetId="4" r:id="rId5"/>
  </sheets>
  <definedNames>
    <definedName name="_xlnm._FilterDatabase" localSheetId="1" hidden="1">'Learning Rates'!$Y$1:$AA$1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" i="5" l="1"/>
  <c r="N4" i="5" s="1"/>
  <c r="U35" i="5"/>
  <c r="U36" i="5"/>
  <c r="U37" i="5"/>
  <c r="U38" i="5"/>
  <c r="U39" i="5"/>
  <c r="T35" i="5"/>
  <c r="T36" i="5"/>
  <c r="T37" i="5"/>
  <c r="T38" i="5"/>
  <c r="T39" i="5"/>
  <c r="U34" i="5"/>
  <c r="T34" i="5"/>
  <c r="S17" i="5"/>
  <c r="S18" i="5"/>
  <c r="S19" i="5"/>
  <c r="S20" i="5"/>
  <c r="S21" i="5"/>
  <c r="S16" i="5"/>
  <c r="R35" i="5"/>
  <c r="S35" i="5"/>
  <c r="V35" i="5"/>
  <c r="R36" i="5"/>
  <c r="S36" i="5"/>
  <c r="V36" i="5"/>
  <c r="R37" i="5"/>
  <c r="S37" i="5"/>
  <c r="V37" i="5"/>
  <c r="R38" i="5"/>
  <c r="S38" i="5"/>
  <c r="V38" i="5"/>
  <c r="R39" i="5"/>
  <c r="S39" i="5"/>
  <c r="V39" i="5"/>
  <c r="V34" i="5"/>
  <c r="S34" i="5"/>
  <c r="R34" i="5"/>
  <c r="Q34" i="5"/>
  <c r="Q35" i="5"/>
  <c r="Q36" i="5"/>
  <c r="Q37" i="5"/>
  <c r="Q38" i="5"/>
  <c r="Q39" i="5"/>
  <c r="V2" i="5"/>
  <c r="U2" i="5"/>
  <c r="T2" i="5"/>
  <c r="S2" i="5"/>
  <c r="R2" i="5"/>
  <c r="Q2" i="5"/>
  <c r="I35" i="5"/>
  <c r="J35" i="5"/>
  <c r="K35" i="5"/>
  <c r="L35" i="5"/>
  <c r="M35" i="5"/>
  <c r="N35" i="5"/>
  <c r="I36" i="5"/>
  <c r="J36" i="5"/>
  <c r="K36" i="5"/>
  <c r="L36" i="5"/>
  <c r="M36" i="5"/>
  <c r="N36" i="5"/>
  <c r="I37" i="5"/>
  <c r="J37" i="5"/>
  <c r="K37" i="5"/>
  <c r="L37" i="5"/>
  <c r="M37" i="5"/>
  <c r="N37" i="5"/>
  <c r="I38" i="5"/>
  <c r="J38" i="5"/>
  <c r="K38" i="5"/>
  <c r="L38" i="5"/>
  <c r="M38" i="5"/>
  <c r="N38" i="5"/>
  <c r="I39" i="5"/>
  <c r="J39" i="5"/>
  <c r="K39" i="5"/>
  <c r="L39" i="5"/>
  <c r="M39" i="5"/>
  <c r="N39" i="5"/>
  <c r="N34" i="5"/>
  <c r="M34" i="5"/>
  <c r="L34" i="5"/>
  <c r="K34" i="5"/>
  <c r="J34" i="5"/>
  <c r="I34" i="5"/>
  <c r="K2" i="5"/>
  <c r="L2" i="5"/>
  <c r="M2" i="5"/>
  <c r="N2" i="5"/>
  <c r="I2" i="5"/>
  <c r="C21" i="5"/>
  <c r="D21" i="5"/>
  <c r="E21" i="5"/>
  <c r="B21" i="5"/>
  <c r="E17" i="5"/>
  <c r="E15" i="5" s="1"/>
  <c r="E20" i="5" s="1"/>
  <c r="D17" i="5"/>
  <c r="D15" i="5" s="1"/>
  <c r="D20" i="5" s="1"/>
  <c r="C17" i="5"/>
  <c r="C15" i="5" s="1"/>
  <c r="C20" i="5" s="1"/>
  <c r="B17" i="5"/>
  <c r="B15" i="5" s="1"/>
  <c r="B20" i="5" s="1"/>
  <c r="B7" i="1"/>
  <c r="I19" i="4"/>
  <c r="D19" i="4"/>
  <c r="C19" i="4"/>
  <c r="L18" i="4"/>
  <c r="I18" i="4"/>
  <c r="D18" i="4"/>
  <c r="C18" i="4"/>
  <c r="I17" i="4"/>
  <c r="D17" i="4"/>
  <c r="C17" i="4"/>
  <c r="L16" i="4"/>
  <c r="I16" i="4"/>
  <c r="D16" i="4"/>
  <c r="C16" i="4"/>
  <c r="I15" i="4"/>
  <c r="D15" i="4"/>
  <c r="C15" i="4"/>
  <c r="I14" i="4"/>
  <c r="D14" i="4"/>
  <c r="C14" i="4"/>
  <c r="C4" i="4"/>
  <c r="D4" i="4"/>
  <c r="C5" i="4"/>
  <c r="D5" i="4"/>
  <c r="C6" i="4"/>
  <c r="D6" i="4"/>
  <c r="C7" i="4"/>
  <c r="D7" i="4"/>
  <c r="C8" i="4"/>
  <c r="D8" i="4"/>
  <c r="D3" i="4"/>
  <c r="L7" i="4"/>
  <c r="L5" i="4"/>
  <c r="C3" i="4"/>
  <c r="I4" i="4"/>
  <c r="I5" i="4"/>
  <c r="I6" i="4"/>
  <c r="I7" i="4"/>
  <c r="I8" i="4"/>
  <c r="I3" i="4"/>
  <c r="B3" i="2"/>
  <c r="E11" i="2"/>
  <c r="D11" i="2"/>
  <c r="D13" i="1"/>
  <c r="D10" i="2" s="1"/>
  <c r="D3" i="2" s="1"/>
  <c r="E10" i="2"/>
  <c r="E3" i="1"/>
  <c r="E14" i="1" s="1"/>
  <c r="E13" i="1" s="1"/>
  <c r="E7" i="1"/>
  <c r="Q4" i="5" l="1"/>
  <c r="N25" i="5"/>
  <c r="N26" i="5" s="1"/>
  <c r="N27" i="5" s="1"/>
  <c r="N28" i="5" s="1"/>
  <c r="N29" i="5" s="1"/>
  <c r="N30" i="5" s="1"/>
  <c r="N8" i="5"/>
  <c r="N44" i="5" s="1"/>
  <c r="N53" i="5" s="1"/>
  <c r="N62" i="5" s="1"/>
  <c r="N7" i="5"/>
  <c r="N43" i="5" s="1"/>
  <c r="N52" i="5" s="1"/>
  <c r="N61" i="5" s="1"/>
  <c r="Q10" i="5"/>
  <c r="Q9" i="5"/>
  <c r="Q12" i="5"/>
  <c r="N9" i="5"/>
  <c r="N12" i="5"/>
  <c r="N48" i="5" s="1"/>
  <c r="N57" i="5" s="1"/>
  <c r="N66" i="5" s="1"/>
  <c r="N11" i="5"/>
  <c r="Q8" i="5"/>
  <c r="R4" i="5"/>
  <c r="R9" i="5" s="1"/>
  <c r="I4" i="5"/>
  <c r="I25" i="5" s="1"/>
  <c r="I26" i="5" s="1"/>
  <c r="I27" i="5" s="1"/>
  <c r="I28" i="5" s="1"/>
  <c r="I29" i="5" s="1"/>
  <c r="I30" i="5" s="1"/>
  <c r="K4" i="5"/>
  <c r="K25" i="5" s="1"/>
  <c r="K26" i="5" s="1"/>
  <c r="K27" i="5" s="1"/>
  <c r="K28" i="5" s="1"/>
  <c r="K29" i="5" s="1"/>
  <c r="K30" i="5" s="1"/>
  <c r="N10" i="5"/>
  <c r="N46" i="5" s="1"/>
  <c r="N55" i="5" s="1"/>
  <c r="N64" i="5" s="1"/>
  <c r="M4" i="5"/>
  <c r="M25" i="5" s="1"/>
  <c r="M26" i="5" s="1"/>
  <c r="M27" i="5" s="1"/>
  <c r="M28" i="5" s="1"/>
  <c r="M29" i="5" s="1"/>
  <c r="M30" i="5" s="1"/>
  <c r="J4" i="5"/>
  <c r="J25" i="5" s="1"/>
  <c r="J26" i="5" s="1"/>
  <c r="J27" i="5" s="1"/>
  <c r="J28" i="5" s="1"/>
  <c r="J29" i="5" s="1"/>
  <c r="J30" i="5" s="1"/>
  <c r="L4" i="5"/>
  <c r="L25" i="5" s="1"/>
  <c r="L26" i="5" s="1"/>
  <c r="L27" i="5" s="1"/>
  <c r="L28" i="5" s="1"/>
  <c r="L29" i="5" s="1"/>
  <c r="L30" i="5" s="1"/>
  <c r="R25" i="5"/>
  <c r="R26" i="5" s="1"/>
  <c r="R27" i="5" s="1"/>
  <c r="R28" i="5" s="1"/>
  <c r="R29" i="5" s="1"/>
  <c r="R30" i="5" s="1"/>
  <c r="S4" i="5"/>
  <c r="S10" i="5" s="1"/>
  <c r="Q11" i="5"/>
  <c r="D22" i="5"/>
  <c r="D23" i="5"/>
  <c r="E22" i="5"/>
  <c r="E23" i="5" s="1"/>
  <c r="C22" i="5"/>
  <c r="C23" i="5" s="1"/>
  <c r="B22" i="5"/>
  <c r="B23" i="5" s="1"/>
  <c r="J2" i="5"/>
  <c r="D2" i="2"/>
  <c r="D6" i="2"/>
  <c r="D5" i="2"/>
  <c r="D4" i="2"/>
  <c r="D7" i="2"/>
  <c r="E2" i="1"/>
  <c r="E4" i="1"/>
  <c r="E5" i="1"/>
  <c r="E6" i="1"/>
  <c r="K12" i="5" l="1"/>
  <c r="K48" i="5" s="1"/>
  <c r="K57" i="5" s="1"/>
  <c r="K66" i="5" s="1"/>
  <c r="M7" i="5"/>
  <c r="M43" i="5" s="1"/>
  <c r="M52" i="5" s="1"/>
  <c r="M61" i="5" s="1"/>
  <c r="R8" i="5"/>
  <c r="R11" i="5"/>
  <c r="I11" i="5"/>
  <c r="I47" i="5" s="1"/>
  <c r="I56" i="5" s="1"/>
  <c r="I65" i="5" s="1"/>
  <c r="I8" i="5"/>
  <c r="I44" i="5" s="1"/>
  <c r="I53" i="5" s="1"/>
  <c r="I62" i="5" s="1"/>
  <c r="I12" i="5"/>
  <c r="I48" i="5" s="1"/>
  <c r="I57" i="5" s="1"/>
  <c r="I66" i="5" s="1"/>
  <c r="I10" i="5"/>
  <c r="I46" i="5" s="1"/>
  <c r="I55" i="5" s="1"/>
  <c r="I64" i="5" s="1"/>
  <c r="I9" i="5"/>
  <c r="I45" i="5" s="1"/>
  <c r="I54" i="5" s="1"/>
  <c r="I63" i="5" s="1"/>
  <c r="I7" i="5"/>
  <c r="I43" i="5" s="1"/>
  <c r="I52" i="5" s="1"/>
  <c r="I61" i="5" s="1"/>
  <c r="M8" i="5"/>
  <c r="M44" i="5" s="1"/>
  <c r="M53" i="5" s="1"/>
  <c r="M62" i="5" s="1"/>
  <c r="Q25" i="5"/>
  <c r="Q26" i="5" s="1"/>
  <c r="Q27" i="5" s="1"/>
  <c r="Q7" i="5"/>
  <c r="Q43" i="5" s="1"/>
  <c r="Q52" i="5" s="1"/>
  <c r="Q61" i="5" s="1"/>
  <c r="N47" i="5"/>
  <c r="N56" i="5" s="1"/>
  <c r="N65" i="5" s="1"/>
  <c r="J10" i="5"/>
  <c r="J8" i="5"/>
  <c r="J44" i="5" s="1"/>
  <c r="J53" i="5" s="1"/>
  <c r="J62" i="5" s="1"/>
  <c r="S11" i="5"/>
  <c r="S47" i="5" s="1"/>
  <c r="S56" i="5" s="1"/>
  <c r="S65" i="5" s="1"/>
  <c r="J12" i="5"/>
  <c r="J48" i="5" s="1"/>
  <c r="J57" i="5" s="1"/>
  <c r="J66" i="5" s="1"/>
  <c r="K8" i="5"/>
  <c r="K44" i="5" s="1"/>
  <c r="K53" i="5" s="1"/>
  <c r="K62" i="5" s="1"/>
  <c r="N45" i="5"/>
  <c r="N54" i="5" s="1"/>
  <c r="N63" i="5" s="1"/>
  <c r="S8" i="5"/>
  <c r="J11" i="5"/>
  <c r="J7" i="5"/>
  <c r="J43" i="5" s="1"/>
  <c r="J52" i="5" s="1"/>
  <c r="J61" i="5" s="1"/>
  <c r="K9" i="5"/>
  <c r="K45" i="5" s="1"/>
  <c r="K54" i="5" s="1"/>
  <c r="K63" i="5" s="1"/>
  <c r="K10" i="5"/>
  <c r="K46" i="5" s="1"/>
  <c r="K55" i="5" s="1"/>
  <c r="K64" i="5" s="1"/>
  <c r="L8" i="5"/>
  <c r="L44" i="5" s="1"/>
  <c r="L53" i="5" s="1"/>
  <c r="L62" i="5" s="1"/>
  <c r="J9" i="5"/>
  <c r="S7" i="5"/>
  <c r="K11" i="5"/>
  <c r="K47" i="5" s="1"/>
  <c r="K56" i="5" s="1"/>
  <c r="K65" i="5" s="1"/>
  <c r="L10" i="5"/>
  <c r="L46" i="5" s="1"/>
  <c r="L55" i="5" s="1"/>
  <c r="L64" i="5" s="1"/>
  <c r="R7" i="5"/>
  <c r="R43" i="5" s="1"/>
  <c r="R52" i="5" s="1"/>
  <c r="R61" i="5" s="1"/>
  <c r="L11" i="5"/>
  <c r="L47" i="5" s="1"/>
  <c r="L56" i="5" s="1"/>
  <c r="L65" i="5" s="1"/>
  <c r="L7" i="5"/>
  <c r="L43" i="5" s="1"/>
  <c r="L52" i="5" s="1"/>
  <c r="L61" i="5" s="1"/>
  <c r="R10" i="5"/>
  <c r="R46" i="5" s="1"/>
  <c r="R55" i="5" s="1"/>
  <c r="R64" i="5" s="1"/>
  <c r="M9" i="5"/>
  <c r="M45" i="5" s="1"/>
  <c r="M54" i="5" s="1"/>
  <c r="M63" i="5" s="1"/>
  <c r="L12" i="5"/>
  <c r="L48" i="5" s="1"/>
  <c r="L57" i="5" s="1"/>
  <c r="L66" i="5" s="1"/>
  <c r="R12" i="5"/>
  <c r="R48" i="5" s="1"/>
  <c r="R57" i="5" s="1"/>
  <c r="R66" i="5" s="1"/>
  <c r="M10" i="5"/>
  <c r="M46" i="5" s="1"/>
  <c r="M55" i="5" s="1"/>
  <c r="M64" i="5" s="1"/>
  <c r="S12" i="5"/>
  <c r="S48" i="5" s="1"/>
  <c r="S57" i="5" s="1"/>
  <c r="S66" i="5" s="1"/>
  <c r="M12" i="5"/>
  <c r="M48" i="5" s="1"/>
  <c r="M57" i="5" s="1"/>
  <c r="M66" i="5" s="1"/>
  <c r="K7" i="5"/>
  <c r="K43" i="5" s="1"/>
  <c r="K52" i="5" s="1"/>
  <c r="K61" i="5" s="1"/>
  <c r="S9" i="5"/>
  <c r="M11" i="5"/>
  <c r="M47" i="5" s="1"/>
  <c r="M56" i="5" s="1"/>
  <c r="M65" i="5" s="1"/>
  <c r="L9" i="5"/>
  <c r="L45" i="5" s="1"/>
  <c r="L54" i="5" s="1"/>
  <c r="L63" i="5" s="1"/>
  <c r="T4" i="5"/>
  <c r="S25" i="5"/>
  <c r="S26" i="5" s="1"/>
  <c r="S27" i="5" s="1"/>
  <c r="S28" i="5" s="1"/>
  <c r="S29" i="5" s="1"/>
  <c r="S30" i="5" s="1"/>
  <c r="R44" i="5"/>
  <c r="R53" i="5" s="1"/>
  <c r="R62" i="5" s="1"/>
  <c r="R47" i="5"/>
  <c r="R56" i="5" s="1"/>
  <c r="R65" i="5" s="1"/>
  <c r="R45" i="5"/>
  <c r="R54" i="5" s="1"/>
  <c r="R63" i="5" s="1"/>
  <c r="L14" i="3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C5" i="2" s="1"/>
  <c r="F10" i="2"/>
  <c r="G10" i="2"/>
  <c r="C11" i="2"/>
  <c r="F11" i="2"/>
  <c r="F5" i="2" s="1"/>
  <c r="G11" i="2"/>
  <c r="G4" i="2" s="1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14" i="1"/>
  <c r="B13" i="1" s="1"/>
  <c r="B4" i="1" s="1"/>
  <c r="Q44" i="5" l="1"/>
  <c r="Q53" i="5" s="1"/>
  <c r="Q62" i="5" s="1"/>
  <c r="S45" i="5"/>
  <c r="S54" i="5" s="1"/>
  <c r="S63" i="5" s="1"/>
  <c r="S44" i="5"/>
  <c r="S53" i="5" s="1"/>
  <c r="S62" i="5" s="1"/>
  <c r="Q28" i="5"/>
  <c r="Q45" i="5"/>
  <c r="Q54" i="5" s="1"/>
  <c r="Q63" i="5" s="1"/>
  <c r="S43" i="5"/>
  <c r="S52" i="5" s="1"/>
  <c r="S61" i="5" s="1"/>
  <c r="S46" i="5"/>
  <c r="S55" i="5" s="1"/>
  <c r="S64" i="5" s="1"/>
  <c r="T9" i="5"/>
  <c r="T25" i="5"/>
  <c r="T26" i="5" s="1"/>
  <c r="T27" i="5" s="1"/>
  <c r="T28" i="5" s="1"/>
  <c r="T29" i="5" s="1"/>
  <c r="T30" i="5" s="1"/>
  <c r="V4" i="5"/>
  <c r="U4" i="5"/>
  <c r="T10" i="5"/>
  <c r="T12" i="5"/>
  <c r="T7" i="5"/>
  <c r="T11" i="5"/>
  <c r="T8" i="5"/>
  <c r="J47" i="5"/>
  <c r="J56" i="5" s="1"/>
  <c r="J65" i="5" s="1"/>
  <c r="J45" i="5"/>
  <c r="J54" i="5" s="1"/>
  <c r="J63" i="5" s="1"/>
  <c r="J46" i="5"/>
  <c r="J55" i="5" s="1"/>
  <c r="J64" i="5" s="1"/>
  <c r="G5" i="2"/>
  <c r="F7" i="2"/>
  <c r="C3" i="2"/>
  <c r="C2" i="2"/>
  <c r="F4" i="2"/>
  <c r="C4" i="2"/>
  <c r="G2" i="2"/>
  <c r="G7" i="2"/>
  <c r="G6" i="2"/>
  <c r="M4" i="1"/>
  <c r="F2" i="2"/>
  <c r="F6" i="2"/>
  <c r="M3" i="1"/>
  <c r="C7" i="2"/>
  <c r="B10" i="2"/>
  <c r="C6" i="2"/>
  <c r="G3" i="2"/>
  <c r="F3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Q29" i="5" l="1"/>
  <c r="Q46" i="5"/>
  <c r="Q55" i="5" s="1"/>
  <c r="Q64" i="5" s="1"/>
  <c r="T45" i="5"/>
  <c r="T54" i="5" s="1"/>
  <c r="T63" i="5" s="1"/>
  <c r="T43" i="5"/>
  <c r="T52" i="5" s="1"/>
  <c r="T61" i="5" s="1"/>
  <c r="T44" i="5"/>
  <c r="T53" i="5" s="1"/>
  <c r="T62" i="5" s="1"/>
  <c r="T47" i="5"/>
  <c r="T56" i="5" s="1"/>
  <c r="T65" i="5" s="1"/>
  <c r="V12" i="5"/>
  <c r="V11" i="5"/>
  <c r="V25" i="5"/>
  <c r="V26" i="5" s="1"/>
  <c r="V27" i="5" s="1"/>
  <c r="V28" i="5" s="1"/>
  <c r="V29" i="5" s="1"/>
  <c r="V30" i="5" s="1"/>
  <c r="V9" i="5"/>
  <c r="V8" i="5"/>
  <c r="V10" i="5"/>
  <c r="V7" i="5"/>
  <c r="V43" i="5" s="1"/>
  <c r="V52" i="5" s="1"/>
  <c r="V61" i="5" s="1"/>
  <c r="T48" i="5"/>
  <c r="T57" i="5" s="1"/>
  <c r="T66" i="5" s="1"/>
  <c r="T46" i="5"/>
  <c r="T55" i="5" s="1"/>
  <c r="T64" i="5" s="1"/>
  <c r="U25" i="5"/>
  <c r="U26" i="5" s="1"/>
  <c r="U27" i="5" s="1"/>
  <c r="U28" i="5" s="1"/>
  <c r="U29" i="5" s="1"/>
  <c r="U30" i="5" s="1"/>
  <c r="U12" i="5"/>
  <c r="U48" i="5" s="1"/>
  <c r="U57" i="5" s="1"/>
  <c r="U66" i="5" s="1"/>
  <c r="U8" i="5"/>
  <c r="U44" i="5" s="1"/>
  <c r="U53" i="5" s="1"/>
  <c r="U62" i="5" s="1"/>
  <c r="U9" i="5"/>
  <c r="U45" i="5" s="1"/>
  <c r="U54" i="5" s="1"/>
  <c r="U63" i="5" s="1"/>
  <c r="U11" i="5"/>
  <c r="U47" i="5" s="1"/>
  <c r="U56" i="5" s="1"/>
  <c r="U65" i="5" s="1"/>
  <c r="U10" i="5"/>
  <c r="U7" i="5"/>
  <c r="E4" i="2"/>
  <c r="B4" i="2"/>
  <c r="B6" i="2"/>
  <c r="B7" i="2"/>
  <c r="B2" i="2"/>
  <c r="B5" i="2"/>
  <c r="E2" i="2"/>
  <c r="E7" i="2"/>
  <c r="E6" i="2"/>
  <c r="E3" i="2"/>
  <c r="E5" i="2"/>
  <c r="U43" i="5" l="1"/>
  <c r="U52" i="5" s="1"/>
  <c r="U61" i="5" s="1"/>
  <c r="U46" i="5"/>
  <c r="U55" i="5" s="1"/>
  <c r="U64" i="5" s="1"/>
  <c r="Q30" i="5"/>
  <c r="Q48" i="5" s="1"/>
  <c r="Q57" i="5" s="1"/>
  <c r="Q66" i="5" s="1"/>
  <c r="Q47" i="5"/>
  <c r="Q56" i="5" s="1"/>
  <c r="Q65" i="5" s="1"/>
  <c r="V44" i="5"/>
  <c r="V53" i="5" s="1"/>
  <c r="V62" i="5" s="1"/>
  <c r="V46" i="5"/>
  <c r="V55" i="5" s="1"/>
  <c r="V64" i="5" s="1"/>
  <c r="V45" i="5"/>
  <c r="V54" i="5" s="1"/>
  <c r="V63" i="5" s="1"/>
  <c r="V47" i="5"/>
  <c r="V56" i="5" s="1"/>
  <c r="V65" i="5" s="1"/>
  <c r="V48" i="5"/>
  <c r="V57" i="5" s="1"/>
  <c r="V66" i="5" s="1"/>
</calcChain>
</file>

<file path=xl/sharedStrings.xml><?xml version="1.0" encoding="utf-8"?>
<sst xmlns="http://schemas.openxmlformats.org/spreadsheetml/2006/main" count="397" uniqueCount="117">
  <si>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</si>
  <si>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</si>
  <si>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</si>
  <si>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</si>
  <si>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</si>
  <si>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</si>
  <si>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</si>
  <si>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</si>
  <si>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</si>
  <si>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</si>
  <si>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</si>
  <si>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</si>
  <si>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</si>
  <si>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</si>
  <si>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</si>
  <si>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</si>
  <si>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</si>
  <si>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</si>
  <si>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</si>
  <si>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</si>
  <si>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</si>
  <si>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</si>
  <si>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</si>
  <si>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</si>
  <si>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</si>
  <si>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</si>
  <si>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</si>
  <si>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</si>
  <si>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</si>
  <si>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</si>
  <si>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</si>
  <si>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</si>
  <si>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</si>
  <si>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</si>
  <si>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</si>
  <si>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</si>
  <si>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</si>
  <si>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</si>
  <si>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</si>
  <si>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</si>
  <si>
    <t>Year</t>
  </si>
  <si>
    <t>Scaling</t>
  </si>
  <si>
    <t>3B</t>
  </si>
  <si>
    <t>https://www.congress.gov/bill/118th-congress/senate-bill/3615/text</t>
  </si>
  <si>
    <t>CDR (Mt)</t>
  </si>
  <si>
    <t>Rhodium</t>
  </si>
  <si>
    <t>CDR (USD)</t>
  </si>
  <si>
    <t>LOW</t>
  </si>
  <si>
    <t>3B (Million USD)</t>
  </si>
  <si>
    <t>Rhodium (2024)</t>
  </si>
  <si>
    <t>EFI (2022)</t>
  </si>
  <si>
    <t>Rhodium (Million)</t>
  </si>
  <si>
    <t>Low baseline scenario</t>
  </si>
  <si>
    <t>Avg. Price CDR (Low scenario)</t>
  </si>
  <si>
    <t>HIGH</t>
  </si>
  <si>
    <t>Learning by research rates</t>
  </si>
  <si>
    <t>Comp</t>
  </si>
  <si>
    <t>Offshore wind</t>
  </si>
  <si>
    <t>thermal solar</t>
  </si>
  <si>
    <t>wind power</t>
  </si>
  <si>
    <t>waste to electricity</t>
  </si>
  <si>
    <t>https://journals.sagepub.com/doi/pdf/10.5547/ISSN0195-6574-EJ-Vol28-No3-4</t>
  </si>
  <si>
    <t>Learning by research (table 4 and 5)</t>
  </si>
  <si>
    <t>R&amp;D to early market formation</t>
  </si>
  <si>
    <t>Early market formation to full commercialization</t>
  </si>
  <si>
    <t>Table 2</t>
  </si>
  <si>
    <t>10-44%</t>
  </si>
  <si>
    <t>Wind</t>
  </si>
  <si>
    <t>3-14%</t>
  </si>
  <si>
    <t>Impacts of innovation on renewable energy technology cost reductions</t>
  </si>
  <si>
    <t>4-5%</t>
  </si>
  <si>
    <t>Solar</t>
  </si>
  <si>
    <t>Table 3</t>
  </si>
  <si>
    <t>c</t>
  </si>
  <si>
    <t>elasticity</t>
  </si>
  <si>
    <t>Elasticity</t>
  </si>
  <si>
    <t>Public R&amp;D</t>
  </si>
  <si>
    <t>alpha</t>
  </si>
  <si>
    <t>After 100 $ 100 mil in investment</t>
  </si>
  <si>
    <t>Learning Rate Verification</t>
  </si>
  <si>
    <t>All CDR</t>
  </si>
  <si>
    <t>DAC Sorbent</t>
  </si>
  <si>
    <t>DAC Solvent</t>
  </si>
  <si>
    <t>Learning Rate</t>
  </si>
  <si>
    <t>Cumulative Public R&amp;D</t>
  </si>
  <si>
    <t>Learning Elasticity</t>
  </si>
  <si>
    <t>Alpha</t>
  </si>
  <si>
    <t>Data</t>
  </si>
  <si>
    <t>Testing Equations</t>
  </si>
  <si>
    <t>Additional R&amp;D Spending (2025 Million USD)</t>
  </si>
  <si>
    <t>Cumulative R&amp;D Spending (2025 Million USD)</t>
  </si>
  <si>
    <t>Baseline Costs (2025USD/t CDR)</t>
  </si>
  <si>
    <t>Updated Costs (2025USD/t CDR)</t>
  </si>
  <si>
    <t>Cost Savings (2025USD/t CDR)</t>
  </si>
  <si>
    <t>Percentage Cost Savings</t>
  </si>
  <si>
    <t>All Technologies</t>
  </si>
  <si>
    <t>CDR Policy Scenarios</t>
  </si>
  <si>
    <t>Policy 1</t>
  </si>
  <si>
    <t>Policy 2</t>
  </si>
  <si>
    <t>Policy 3</t>
  </si>
  <si>
    <t>Policy 4</t>
  </si>
  <si>
    <t>Policy 5</t>
  </si>
  <si>
    <t>Policy 6</t>
  </si>
  <si>
    <t>Rhodium $6B</t>
  </si>
  <si>
    <t>Maintain current appropriations</t>
  </si>
  <si>
    <t>Triple R&amp;D</t>
  </si>
  <si>
    <t>CATF (2025)</t>
  </si>
  <si>
    <t>DAC Hubs (Sorbent)</t>
  </si>
  <si>
    <t>DAC Hubs (Solvent)</t>
  </si>
  <si>
    <t>CDR R&amp;D</t>
  </si>
  <si>
    <t>https://www.congress.gov/crs-product/IF11861#:~:text=For%20carbon%20removal%2C%20Congress%</t>
  </si>
  <si>
    <t>2009-2018</t>
  </si>
  <si>
    <t>https://bipartisanpolicy.org/download/?file=/wp-content/uploads/2019/06/Carbon-Removal-Comparing-Historical-Investments-with-the-National-Academies-Recommendations.pdf</t>
  </si>
  <si>
    <t>Same as 2022 non-supplemental investments</t>
  </si>
  <si>
    <t>Total</t>
  </si>
  <si>
    <t>Rhodium $18B</t>
  </si>
  <si>
    <t>Cumulative Public R&amp;D (Million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</si>
</sst>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%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0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0" fontId="0" fillId="0" borderId="0" xfId="0" applyNumberFormat="1"/>
    <xf numFmtId="0" fontId="5" fillId="0" borderId="0" xfId="0" applyFont="1"/>
    <xf numFmtId="9" fontId="0" fillId="0" borderId="0" xfId="3" applyFont="1"/>
    <xf numFmtId="44" fontId="0" fillId="0" borderId="0" xfId="2" applyFont="1"/>
    <xf numFmtId="1" fontId="6" fillId="0" borderId="0" xfId="0" applyNumberFormat="1" applyFont="1"/>
    <xf numFmtId="1" fontId="1" fillId="0" borderId="0" xfId="0" applyNumberFormat="1" applyFont="1"/>
    <xf numFmtId="1" fontId="0" fillId="0" borderId="0" xfId="0" applyNumberFormat="1"/>
    <xf numFmtId="1" fontId="0" fillId="0" borderId="0" xfId="2" applyNumberFormat="1" applyFont="1"/>
    <xf numFmtId="10" fontId="0" fillId="0" borderId="0" xfId="2" applyNumberFormat="1" applyFont="1"/>
    <xf numFmtId="44" fontId="0" fillId="2" borderId="0" xfId="2" applyFont="1" applyFill="1"/>
    <xf numFmtId="0" fontId="0" fillId="2" borderId="0" xfId="0" applyFill="1"/>
    <xf numFmtId="44" fontId="5" fillId="0" borderId="0" xfId="2" applyFont="1" applyAlignment="1">
      <alignment horizontal="center"/>
    </xf>
    <xf numFmtId="0" fontId="5" fillId="0" borderId="0" xfId="0" applyFont="1" applyAlignment="1">
      <alignment horizontal="center"/>
    </xf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'S2'!$B$1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'S2'!$C$1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'S2'!$D$1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'S2'!$E$1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'S2'!$F$1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'S2'!$G$1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'S2'!$A$1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542925</xdr:colOff>
      <xdr:row>5</xdr:row>
      <xdr:rowOff>128587</xdr:rowOff>
    </xdr:from>
    <xdr:to>
      <xdr:col>21</xdr:col>
      <xdr:colOff>238125</xdr:colOff>
      <xdr:row>20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195262</xdr:colOff>
      <xdr:row>1</xdr:row>
      <xdr:rowOff>176212</xdr:rowOff>
    </xdr:from>
    <xdr:to>
      <xdr:col>17</xdr:col>
      <xdr:colOff>500062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iopscience.iop.org/article/10.1088/1748-9326/ad5192/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journals.sagepub.com/doi/pdf/10.5547/ISSN0195-6574-EJ-Vol28-No3-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workbookViewId="0">
      <selection activeCell="G2" sqref="G2"/>
    </sheetView>
  </sheetViews>
  <sheetFormatPr defaultRowHeight="15" x14ac:dyDescent="0.25"/>
  <cols>
    <col min="2" max="2" width="11" bestFit="1" customWidth="1"/>
  </cols>
  <sheetData>
    <row r="1" spans="1:13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</row>
    <row r="2" spans="1:13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</row>
    <row r="3" spans="1:13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M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</row>
    <row r="4" spans="1:13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</row>
    <row r="5" spans="1:13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</row>
    <row r="6" spans="1:13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</row>
    <row r="7" spans="1:13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</row>
    <row r="8" spans="1:13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s="3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</row>
    <row r="9" spans="1:13" x14ac:dyDescent="0.25">
      <c r="A9" t="s">
        <v>1</v>
      </c>
      <c r="B9" s="2" t="s">
        <v>12</v>
      </c>
      <c r="C9" s="2" t="s">
        <v>12</v>
      </c>
      <c r="D9">
        <v>432</v>
      </c>
      <c r="E9">
        <v>432</v>
      </c>
      <c r="F9">
        <v>8</v>
      </c>
      <c r="G9">
        <v>4</v>
      </c>
    </row>
    <row r="10" spans="1:13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3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3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</row>
    <row r="14" spans="1:13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8">(LN(K2)-LN(K7))/($A2-$A7)</f>
        <v>0.1444767365191123</v>
      </c>
      <c r="L14">
        <f t="shared" si="8"/>
        <v>0.18842122806583672</v>
      </c>
      <c r="M14">
        <f t="shared" ref="M14" si="9">(LN(M2)-LN(M7))/($A2-$A7)</f>
        <v>0.20722137323566614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  <hyperlink ref="F8" r:id="rId4" xr:uid="{EE1C265B-61F3-4F37-850F-40A9D6842C42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31749-67AB-462A-BE29-983F9537704D}">
  <dimension ref="A1:AA66"/>
  <sheetViews>
    <sheetView tabSelected="1" topLeftCell="G63" workbookViewId="0">
      <selection activeCell="Z70" sqref="X64:Z70"/>
    </sheetView>
  </sheetViews>
  <sheetFormatPr defaultRowHeight="15" x14ac:dyDescent="0.25"/>
  <cols>
    <col min="1" max="1" width="24.42578125" bestFit="1" customWidth="1"/>
    <col min="2" max="2" width="24.42578125" customWidth="1"/>
    <col min="3" max="3" width="17.42578125" bestFit="1" customWidth="1"/>
    <col min="4" max="4" width="23.85546875" customWidth="1"/>
    <col min="5" max="5" width="18.140625" bestFit="1" customWidth="1"/>
    <col min="6" max="6" width="17.7109375" bestFit="1" customWidth="1"/>
    <col min="8" max="8" width="21.5703125" style="13" bestFit="1" customWidth="1"/>
    <col min="9" max="9" width="10.5703125" bestFit="1" customWidth="1"/>
    <col min="10" max="10" width="13.28515625" bestFit="1" customWidth="1"/>
    <col min="11" max="11" width="12.7109375" bestFit="1" customWidth="1"/>
    <col min="12" max="14" width="10.5703125" bestFit="1" customWidth="1"/>
    <col min="17" max="22" width="12" bestFit="1" customWidth="1"/>
  </cols>
  <sheetData>
    <row r="1" spans="1:27" ht="21" x14ac:dyDescent="0.35">
      <c r="A1" s="4" t="s">
        <v>87</v>
      </c>
      <c r="H1" s="11" t="s">
        <v>95</v>
      </c>
      <c r="I1" t="s">
        <v>28</v>
      </c>
      <c r="J1" t="s">
        <v>81</v>
      </c>
      <c r="K1" t="s">
        <v>82</v>
      </c>
      <c r="L1" t="s">
        <v>2</v>
      </c>
      <c r="M1" t="s">
        <v>3</v>
      </c>
      <c r="N1" t="s">
        <v>80</v>
      </c>
      <c r="P1" s="11" t="s">
        <v>96</v>
      </c>
      <c r="Q1" t="s">
        <v>97</v>
      </c>
      <c r="R1" t="s">
        <v>98</v>
      </c>
      <c r="S1" t="s">
        <v>99</v>
      </c>
      <c r="T1" t="s">
        <v>100</v>
      </c>
      <c r="U1" t="s">
        <v>101</v>
      </c>
      <c r="V1" t="s">
        <v>102</v>
      </c>
      <c r="Y1" t="s">
        <v>40</v>
      </c>
      <c r="Z1" t="s">
        <v>109</v>
      </c>
      <c r="AA1" t="s">
        <v>5</v>
      </c>
    </row>
    <row r="2" spans="1:27" x14ac:dyDescent="0.25">
      <c r="A2" t="s">
        <v>55</v>
      </c>
      <c r="B2" t="s">
        <v>75</v>
      </c>
      <c r="C2" t="s">
        <v>56</v>
      </c>
      <c r="D2" t="s">
        <v>5</v>
      </c>
      <c r="H2" s="12" t="s">
        <v>83</v>
      </c>
      <c r="I2" s="9">
        <f>1-2^I3</f>
        <v>4.9999617125113915E-2</v>
      </c>
      <c r="J2" s="9">
        <f t="shared" ref="J2:N2" si="0">1-2^J3</f>
        <v>4.9999617125113915E-2</v>
      </c>
      <c r="K2" s="9">
        <f t="shared" si="0"/>
        <v>4.9999617125113915E-2</v>
      </c>
      <c r="L2" s="9">
        <f t="shared" si="0"/>
        <v>4.9999617125113915E-2</v>
      </c>
      <c r="M2" s="9">
        <f t="shared" si="0"/>
        <v>4.9999617125113915E-2</v>
      </c>
      <c r="N2" s="9">
        <f t="shared" si="0"/>
        <v>4.9999617125113915E-2</v>
      </c>
      <c r="P2" s="12" t="s">
        <v>83</v>
      </c>
      <c r="Q2" s="9">
        <f>1-2^Q3</f>
        <v>4.9999617125113915E-2</v>
      </c>
      <c r="R2" s="9">
        <f t="shared" ref="R2" si="1">1-2^R3</f>
        <v>4.9999617125113915E-2</v>
      </c>
      <c r="S2" s="9">
        <f t="shared" ref="S2" si="2">1-2^S3</f>
        <v>4.9999617125113915E-2</v>
      </c>
      <c r="T2" s="9">
        <f t="shared" ref="T2" si="3">1-2^T3</f>
        <v>4.9999617125113915E-2</v>
      </c>
      <c r="U2" s="9">
        <f t="shared" ref="U2" si="4">1-2^U3</f>
        <v>4.9999617125113915E-2</v>
      </c>
      <c r="V2" s="9">
        <f t="shared" ref="V2" si="5">1-2^V3</f>
        <v>4.9999617125113915E-2</v>
      </c>
      <c r="Y2" t="s">
        <v>111</v>
      </c>
      <c r="Z2">
        <v>1045</v>
      </c>
      <c r="AA2" t="s">
        <v>112</v>
      </c>
    </row>
    <row r="3" spans="1:27" x14ac:dyDescent="0.25">
      <c r="A3" s="7">
        <v>4.9000000000000002E-2</v>
      </c>
      <c r="B3" s="5">
        <v>-7.1999999999999995E-2</v>
      </c>
      <c r="C3" t="s">
        <v>57</v>
      </c>
      <c r="D3" s="3" t="s">
        <v>61</v>
      </c>
      <c r="E3" t="s">
        <v>62</v>
      </c>
      <c r="H3" s="13" t="s">
        <v>85</v>
      </c>
      <c r="I3">
        <v>-7.3999999999999996E-2</v>
      </c>
      <c r="J3">
        <v>-7.3999999999999996E-2</v>
      </c>
      <c r="K3">
        <v>-7.3999999999999996E-2</v>
      </c>
      <c r="L3">
        <v>-7.3999999999999996E-2</v>
      </c>
      <c r="M3">
        <v>-7.3999999999999996E-2</v>
      </c>
      <c r="N3">
        <v>-7.3999999999999996E-2</v>
      </c>
      <c r="P3" s="13" t="s">
        <v>85</v>
      </c>
      <c r="Q3">
        <v>-7.3999999999999996E-2</v>
      </c>
      <c r="R3">
        <v>-7.3999999999999996E-2</v>
      </c>
      <c r="S3">
        <v>-7.3999999999999996E-2</v>
      </c>
      <c r="T3">
        <v>-7.3999999999999996E-2</v>
      </c>
      <c r="U3">
        <v>-7.3999999999999996E-2</v>
      </c>
      <c r="V3">
        <v>-7.3999999999999996E-2</v>
      </c>
      <c r="Y3">
        <v>2019</v>
      </c>
      <c r="Z3">
        <v>104</v>
      </c>
      <c r="AA3" t="s">
        <v>113</v>
      </c>
    </row>
    <row r="4" spans="1:27" x14ac:dyDescent="0.25">
      <c r="A4" s="7">
        <v>5.2999999999999999E-2</v>
      </c>
      <c r="B4" s="5">
        <v>-7.8E-2</v>
      </c>
      <c r="C4" t="s">
        <v>58</v>
      </c>
      <c r="D4" t="s">
        <v>61</v>
      </c>
      <c r="E4" t="s">
        <v>62</v>
      </c>
      <c r="H4" s="13" t="s">
        <v>84</v>
      </c>
      <c r="I4">
        <f t="shared" ref="I4:N4" si="6">$Z$9</f>
        <v>1719</v>
      </c>
      <c r="J4">
        <f t="shared" si="6"/>
        <v>1719</v>
      </c>
      <c r="K4">
        <f t="shared" si="6"/>
        <v>1719</v>
      </c>
      <c r="L4">
        <f t="shared" si="6"/>
        <v>1719</v>
      </c>
      <c r="M4">
        <f t="shared" si="6"/>
        <v>1719</v>
      </c>
      <c r="N4">
        <f t="shared" si="6"/>
        <v>1719</v>
      </c>
      <c r="P4" s="13" t="s">
        <v>116</v>
      </c>
      <c r="Q4">
        <f>$Z$9</f>
        <v>1719</v>
      </c>
      <c r="R4">
        <f>Q4</f>
        <v>1719</v>
      </c>
      <c r="S4">
        <f>R4</f>
        <v>1719</v>
      </c>
      <c r="T4">
        <f>S4</f>
        <v>1719</v>
      </c>
      <c r="U4">
        <f>T4</f>
        <v>1719</v>
      </c>
      <c r="V4">
        <f>T4</f>
        <v>1719</v>
      </c>
      <c r="Y4">
        <v>2020</v>
      </c>
      <c r="Z4">
        <v>104</v>
      </c>
      <c r="AA4" t="s">
        <v>113</v>
      </c>
    </row>
    <row r="5" spans="1:27" x14ac:dyDescent="0.25">
      <c r="A5" s="7">
        <v>0.26800000000000002</v>
      </c>
      <c r="B5" s="5">
        <v>-0.45</v>
      </c>
      <c r="C5" t="s">
        <v>59</v>
      </c>
      <c r="D5" t="s">
        <v>61</v>
      </c>
      <c r="E5" t="s">
        <v>62</v>
      </c>
      <c r="H5" s="19" t="s">
        <v>86</v>
      </c>
      <c r="I5" s="19"/>
      <c r="J5" s="19"/>
      <c r="K5" s="19"/>
      <c r="L5" s="19"/>
      <c r="M5" s="19"/>
      <c r="N5" s="19"/>
      <c r="P5" s="19" t="s">
        <v>86</v>
      </c>
      <c r="Q5" s="19"/>
      <c r="R5" s="19"/>
      <c r="S5" s="19"/>
      <c r="T5" s="19"/>
      <c r="U5" s="19"/>
      <c r="V5" s="19"/>
      <c r="Y5">
        <v>2021</v>
      </c>
      <c r="Z5">
        <v>104</v>
      </c>
      <c r="AA5" t="s">
        <v>113</v>
      </c>
    </row>
    <row r="6" spans="1:27" x14ac:dyDescent="0.25">
      <c r="A6" s="7">
        <v>0.437</v>
      </c>
      <c r="B6" s="5">
        <v>-0.82899999999999996</v>
      </c>
      <c r="C6" t="s">
        <v>60</v>
      </c>
      <c r="D6" t="s">
        <v>61</v>
      </c>
      <c r="E6" t="s">
        <v>62</v>
      </c>
      <c r="H6" t="s">
        <v>40</v>
      </c>
      <c r="I6" t="s">
        <v>28</v>
      </c>
      <c r="J6" t="s">
        <v>81</v>
      </c>
      <c r="K6" t="s">
        <v>82</v>
      </c>
      <c r="L6" t="s">
        <v>2</v>
      </c>
      <c r="M6" t="s">
        <v>3</v>
      </c>
      <c r="N6" t="s">
        <v>80</v>
      </c>
      <c r="P6" t="s">
        <v>40</v>
      </c>
      <c r="Q6" t="s">
        <v>103</v>
      </c>
      <c r="R6" t="s">
        <v>104</v>
      </c>
      <c r="S6" t="s">
        <v>105</v>
      </c>
      <c r="T6" t="s">
        <v>107</v>
      </c>
      <c r="U6" t="s">
        <v>108</v>
      </c>
      <c r="V6" t="s">
        <v>115</v>
      </c>
      <c r="Y6">
        <v>2022</v>
      </c>
      <c r="Z6">
        <v>104</v>
      </c>
      <c r="AA6" t="s">
        <v>110</v>
      </c>
    </row>
    <row r="7" spans="1:27" x14ac:dyDescent="0.25">
      <c r="H7">
        <v>2025</v>
      </c>
      <c r="I7">
        <f t="shared" ref="I7:N12" si="7">I34/(I$4^I$3)</f>
        <v>402.62283243923065</v>
      </c>
      <c r="J7">
        <f t="shared" si="7"/>
        <v>774.00768649955546</v>
      </c>
      <c r="K7">
        <f t="shared" si="7"/>
        <v>362.70763784396212</v>
      </c>
      <c r="L7">
        <f t="shared" si="7"/>
        <v>468.53621687947475</v>
      </c>
      <c r="M7">
        <f t="shared" si="7"/>
        <v>242.96205405815644</v>
      </c>
      <c r="N7">
        <f t="shared" si="7"/>
        <v>625.63624449874601</v>
      </c>
      <c r="P7">
        <v>2025</v>
      </c>
      <c r="Q7">
        <f t="shared" ref="Q7:V12" si="8">Q34/(Q$4^Q$3)</f>
        <v>625.63624449874601</v>
      </c>
      <c r="R7">
        <f t="shared" si="8"/>
        <v>625.63624449874601</v>
      </c>
      <c r="S7">
        <f t="shared" si="8"/>
        <v>625.63624449874601</v>
      </c>
      <c r="T7">
        <f t="shared" si="8"/>
        <v>774.00768649955546</v>
      </c>
      <c r="U7">
        <f t="shared" si="8"/>
        <v>362.70763784396212</v>
      </c>
      <c r="V7">
        <f t="shared" si="8"/>
        <v>625.63624449874601</v>
      </c>
      <c r="Y7">
        <v>2023</v>
      </c>
      <c r="Z7">
        <v>140</v>
      </c>
      <c r="AA7" t="s">
        <v>110</v>
      </c>
    </row>
    <row r="8" spans="1:27" x14ac:dyDescent="0.25">
      <c r="A8" t="s">
        <v>63</v>
      </c>
      <c r="C8" t="s">
        <v>64</v>
      </c>
      <c r="D8" t="s">
        <v>56</v>
      </c>
      <c r="E8" t="s">
        <v>5</v>
      </c>
      <c r="H8">
        <v>2030</v>
      </c>
      <c r="I8">
        <f t="shared" si="7"/>
        <v>367.91396757377976</v>
      </c>
      <c r="J8">
        <f t="shared" si="7"/>
        <v>659.76272656262699</v>
      </c>
      <c r="K8">
        <f t="shared" si="7"/>
        <v>309.17132253719507</v>
      </c>
      <c r="L8">
        <f t="shared" si="7"/>
        <v>360.89331081690437</v>
      </c>
      <c r="M8">
        <f t="shared" si="7"/>
        <v>218.84088473896614</v>
      </c>
      <c r="N8">
        <f t="shared" si="7"/>
        <v>515.10827265465582</v>
      </c>
      <c r="P8">
        <v>2030</v>
      </c>
      <c r="Q8">
        <f t="shared" si="8"/>
        <v>515.10827265465582</v>
      </c>
      <c r="R8">
        <f t="shared" si="8"/>
        <v>515.10827265465582</v>
      </c>
      <c r="S8">
        <f t="shared" si="8"/>
        <v>515.10827265465582</v>
      </c>
      <c r="T8">
        <f t="shared" si="8"/>
        <v>659.76272656262699</v>
      </c>
      <c r="U8">
        <f t="shared" si="8"/>
        <v>309.17132253719507</v>
      </c>
      <c r="V8">
        <f t="shared" si="8"/>
        <v>515.10827265465582</v>
      </c>
      <c r="Y8">
        <v>2024</v>
      </c>
      <c r="Z8">
        <v>118</v>
      </c>
      <c r="AA8" t="s">
        <v>110</v>
      </c>
    </row>
    <row r="9" spans="1:27" x14ac:dyDescent="0.25">
      <c r="A9" t="s">
        <v>66</v>
      </c>
      <c r="C9" s="1">
        <v>0.03</v>
      </c>
      <c r="D9" t="s">
        <v>67</v>
      </c>
      <c r="E9" t="s">
        <v>69</v>
      </c>
      <c r="F9" t="s">
        <v>65</v>
      </c>
      <c r="H9">
        <v>2035</v>
      </c>
      <c r="I9">
        <f t="shared" si="7"/>
        <v>336.19724623121249</v>
      </c>
      <c r="J9">
        <f t="shared" si="7"/>
        <v>562.38053310547014</v>
      </c>
      <c r="K9">
        <f t="shared" si="7"/>
        <v>263.53706596198032</v>
      </c>
      <c r="L9">
        <f t="shared" si="7"/>
        <v>277.98060662168695</v>
      </c>
      <c r="M9">
        <f t="shared" si="7"/>
        <v>197.11445484351233</v>
      </c>
      <c r="N9">
        <f t="shared" si="7"/>
        <v>383.20139362110473</v>
      </c>
      <c r="P9">
        <v>2035</v>
      </c>
      <c r="Q9">
        <f t="shared" si="8"/>
        <v>383.20139362110473</v>
      </c>
      <c r="R9">
        <f t="shared" si="8"/>
        <v>383.20139362110473</v>
      </c>
      <c r="S9">
        <f t="shared" si="8"/>
        <v>383.20139362110473</v>
      </c>
      <c r="T9">
        <f t="shared" si="8"/>
        <v>562.38053310547014</v>
      </c>
      <c r="U9">
        <f t="shared" si="8"/>
        <v>263.53706596198032</v>
      </c>
      <c r="V9">
        <f t="shared" si="8"/>
        <v>383.20139362110473</v>
      </c>
      <c r="Y9" s="17" t="s">
        <v>114</v>
      </c>
      <c r="Z9" s="17">
        <f>SUM(Z2:Z8)</f>
        <v>1719</v>
      </c>
    </row>
    <row r="10" spans="1:27" x14ac:dyDescent="0.25">
      <c r="A10" t="s">
        <v>68</v>
      </c>
      <c r="D10" t="s">
        <v>67</v>
      </c>
      <c r="E10" t="s">
        <v>69</v>
      </c>
      <c r="F10" t="s">
        <v>65</v>
      </c>
      <c r="H10">
        <v>2040</v>
      </c>
      <c r="I10">
        <f t="shared" si="7"/>
        <v>307.21472500438381</v>
      </c>
      <c r="J10">
        <f t="shared" si="7"/>
        <v>479.37213074126458</v>
      </c>
      <c r="K10">
        <f t="shared" si="7"/>
        <v>224.63850969713965</v>
      </c>
      <c r="L10">
        <f t="shared" si="7"/>
        <v>214.11651405466162</v>
      </c>
      <c r="M10">
        <f t="shared" si="7"/>
        <v>177.54501566103755</v>
      </c>
      <c r="N10">
        <f t="shared" si="7"/>
        <v>351.43675686754244</v>
      </c>
      <c r="P10">
        <v>2040</v>
      </c>
      <c r="Q10">
        <f t="shared" si="8"/>
        <v>351.43675686754244</v>
      </c>
      <c r="R10">
        <f t="shared" si="8"/>
        <v>351.43675686754244</v>
      </c>
      <c r="S10">
        <f t="shared" si="8"/>
        <v>351.43675686754244</v>
      </c>
      <c r="T10">
        <f t="shared" si="8"/>
        <v>479.37213074126458</v>
      </c>
      <c r="U10">
        <f t="shared" si="8"/>
        <v>224.63850969713965</v>
      </c>
      <c r="V10">
        <f t="shared" si="8"/>
        <v>351.43675686754244</v>
      </c>
    </row>
    <row r="11" spans="1:27" x14ac:dyDescent="0.25">
      <c r="C11" t="s">
        <v>70</v>
      </c>
      <c r="D11" t="s">
        <v>67</v>
      </c>
      <c r="E11" t="s">
        <v>69</v>
      </c>
      <c r="F11" t="s">
        <v>72</v>
      </c>
      <c r="H11">
        <v>2045</v>
      </c>
      <c r="I11">
        <f t="shared" si="7"/>
        <v>280.73069698676449</v>
      </c>
      <c r="J11">
        <f t="shared" si="7"/>
        <v>408.61592143397195</v>
      </c>
      <c r="K11">
        <f t="shared" si="7"/>
        <v>191.48145197242181</v>
      </c>
      <c r="L11">
        <f t="shared" si="7"/>
        <v>164.92474834157514</v>
      </c>
      <c r="M11">
        <f t="shared" si="7"/>
        <v>159.91842207159965</v>
      </c>
      <c r="N11">
        <f t="shared" si="7"/>
        <v>320.45153921329012</v>
      </c>
      <c r="P11">
        <v>2045</v>
      </c>
      <c r="Q11">
        <f t="shared" si="8"/>
        <v>320.45153921329012</v>
      </c>
      <c r="R11">
        <f t="shared" si="8"/>
        <v>320.45153921329012</v>
      </c>
      <c r="S11">
        <f t="shared" si="8"/>
        <v>320.45153921329012</v>
      </c>
      <c r="T11">
        <f t="shared" si="8"/>
        <v>408.61592143397195</v>
      </c>
      <c r="U11">
        <f t="shared" si="8"/>
        <v>191.48145197242181</v>
      </c>
      <c r="V11">
        <f t="shared" si="8"/>
        <v>320.45153921329012</v>
      </c>
    </row>
    <row r="12" spans="1:27" x14ac:dyDescent="0.25">
      <c r="C12" s="1">
        <v>0.05</v>
      </c>
      <c r="D12" t="s">
        <v>71</v>
      </c>
      <c r="E12" t="s">
        <v>69</v>
      </c>
      <c r="F12" t="s">
        <v>72</v>
      </c>
      <c r="H12">
        <v>2050</v>
      </c>
      <c r="I12">
        <f t="shared" si="7"/>
        <v>256.52977483273304</v>
      </c>
      <c r="J12">
        <f t="shared" si="7"/>
        <v>348.3034589248</v>
      </c>
      <c r="K12">
        <f t="shared" si="7"/>
        <v>163.21843702978293</v>
      </c>
      <c r="L12">
        <f t="shared" si="7"/>
        <v>127.03444540755035</v>
      </c>
      <c r="M12">
        <f t="shared" si="7"/>
        <v>144.04178919162132</v>
      </c>
      <c r="N12">
        <f t="shared" si="7"/>
        <v>300.11679224808154</v>
      </c>
      <c r="P12">
        <v>2050</v>
      </c>
      <c r="Q12">
        <f t="shared" si="8"/>
        <v>300.11679224808154</v>
      </c>
      <c r="R12">
        <f t="shared" si="8"/>
        <v>300.11679224808154</v>
      </c>
      <c r="S12">
        <f t="shared" si="8"/>
        <v>300.11679224808154</v>
      </c>
      <c r="T12">
        <f t="shared" si="8"/>
        <v>348.3034589248</v>
      </c>
      <c r="U12">
        <f t="shared" si="8"/>
        <v>163.21843702978293</v>
      </c>
      <c r="V12">
        <f t="shared" si="8"/>
        <v>300.11679224808154</v>
      </c>
    </row>
    <row r="13" spans="1:27" x14ac:dyDescent="0.25">
      <c r="A13" s="8" t="s">
        <v>88</v>
      </c>
      <c r="P13" s="13"/>
    </row>
    <row r="14" spans="1:27" x14ac:dyDescent="0.25">
      <c r="A14" s="4" t="s">
        <v>79</v>
      </c>
      <c r="B14" t="s">
        <v>57</v>
      </c>
      <c r="C14" t="s">
        <v>58</v>
      </c>
      <c r="D14" t="s">
        <v>59</v>
      </c>
      <c r="E14" t="s">
        <v>60</v>
      </c>
      <c r="H14" s="19" t="s">
        <v>89</v>
      </c>
      <c r="I14" s="19"/>
      <c r="J14" s="19"/>
      <c r="K14" s="19"/>
      <c r="L14" s="19"/>
      <c r="M14" s="19"/>
      <c r="N14" s="19"/>
      <c r="P14" s="19" t="s">
        <v>89</v>
      </c>
      <c r="Q14" s="19"/>
      <c r="R14" s="19"/>
      <c r="S14" s="19"/>
      <c r="T14" s="19"/>
      <c r="U14" s="19"/>
      <c r="V14" s="19"/>
    </row>
    <row r="15" spans="1:27" x14ac:dyDescent="0.25">
      <c r="A15" t="s">
        <v>77</v>
      </c>
      <c r="B15">
        <f>B18/(B16^B17)</f>
        <v>3084.0998748711568</v>
      </c>
      <c r="C15">
        <f t="shared" ref="C15:E15" si="9">C18/(C16^C17)</f>
        <v>9616.9213175821751</v>
      </c>
      <c r="D15">
        <f t="shared" si="9"/>
        <v>113244.05359147559</v>
      </c>
      <c r="E15">
        <f t="shared" si="9"/>
        <v>12395053.207512364</v>
      </c>
      <c r="H15" s="13" t="s">
        <v>40</v>
      </c>
      <c r="I15" t="s">
        <v>28</v>
      </c>
      <c r="J15" t="s">
        <v>81</v>
      </c>
      <c r="K15" t="s">
        <v>82</v>
      </c>
      <c r="L15" t="s">
        <v>2</v>
      </c>
      <c r="M15" t="s">
        <v>3</v>
      </c>
      <c r="N15" t="s">
        <v>80</v>
      </c>
      <c r="P15" t="s">
        <v>40</v>
      </c>
      <c r="Q15" t="s">
        <v>103</v>
      </c>
      <c r="R15" t="s">
        <v>104</v>
      </c>
      <c r="S15" t="s">
        <v>105</v>
      </c>
      <c r="T15" t="s">
        <v>107</v>
      </c>
      <c r="U15" t="s">
        <v>108</v>
      </c>
      <c r="V15" t="s">
        <v>115</v>
      </c>
    </row>
    <row r="16" spans="1:27" x14ac:dyDescent="0.25">
      <c r="A16" t="s">
        <v>76</v>
      </c>
      <c r="B16">
        <v>261</v>
      </c>
      <c r="C16">
        <v>4498</v>
      </c>
      <c r="D16">
        <v>7099</v>
      </c>
      <c r="E16">
        <v>18928</v>
      </c>
      <c r="H16" s="13">
        <v>2025</v>
      </c>
      <c r="I16" s="10">
        <v>100</v>
      </c>
      <c r="J16" s="10">
        <v>0</v>
      </c>
      <c r="K16" s="10">
        <v>100</v>
      </c>
      <c r="L16" s="10">
        <v>600</v>
      </c>
      <c r="M16" s="10">
        <v>100</v>
      </c>
      <c r="N16" s="10">
        <v>400</v>
      </c>
      <c r="P16" s="13">
        <v>2025</v>
      </c>
      <c r="Q16" s="16">
        <v>0</v>
      </c>
      <c r="R16" s="16">
        <v>118</v>
      </c>
      <c r="S16" s="16">
        <f>R16*3</f>
        <v>354</v>
      </c>
      <c r="T16" s="16">
        <v>700</v>
      </c>
      <c r="U16" s="16">
        <v>700</v>
      </c>
      <c r="V16" s="16">
        <v>0</v>
      </c>
    </row>
    <row r="17" spans="1:22" x14ac:dyDescent="0.25">
      <c r="A17" t="s">
        <v>74</v>
      </c>
      <c r="B17" s="5">
        <f>B3</f>
        <v>-7.1999999999999995E-2</v>
      </c>
      <c r="C17" s="5">
        <f>B4</f>
        <v>-7.8E-2</v>
      </c>
      <c r="D17" s="5">
        <f>B5</f>
        <v>-0.45</v>
      </c>
      <c r="E17" s="5">
        <f>B6</f>
        <v>-0.82899999999999996</v>
      </c>
      <c r="H17" s="13">
        <v>2030</v>
      </c>
      <c r="I17" s="10">
        <v>0</v>
      </c>
      <c r="J17" s="10">
        <v>300</v>
      </c>
      <c r="K17" s="10">
        <v>200</v>
      </c>
      <c r="L17" s="10">
        <v>500</v>
      </c>
      <c r="M17" s="10">
        <v>100</v>
      </c>
      <c r="N17" s="10">
        <v>400</v>
      </c>
      <c r="P17" s="13">
        <v>2030</v>
      </c>
      <c r="Q17" s="16">
        <v>600</v>
      </c>
      <c r="R17" s="16">
        <v>118</v>
      </c>
      <c r="S17" s="16">
        <f t="shared" ref="S17:S21" si="10">R17*3</f>
        <v>354</v>
      </c>
      <c r="T17" s="16">
        <v>0</v>
      </c>
      <c r="U17" s="16">
        <v>0</v>
      </c>
      <c r="V17" s="16">
        <v>1800</v>
      </c>
    </row>
    <row r="18" spans="1:22" x14ac:dyDescent="0.25">
      <c r="A18" t="s">
        <v>73</v>
      </c>
      <c r="B18">
        <v>2066</v>
      </c>
      <c r="C18">
        <v>4990</v>
      </c>
      <c r="D18">
        <v>2094</v>
      </c>
      <c r="E18">
        <v>3528</v>
      </c>
      <c r="H18" s="13">
        <v>2035</v>
      </c>
      <c r="I18" s="10">
        <v>0</v>
      </c>
      <c r="J18" s="10">
        <v>300</v>
      </c>
      <c r="K18" s="10">
        <v>300</v>
      </c>
      <c r="L18" s="10">
        <v>400</v>
      </c>
      <c r="M18" s="10">
        <v>100</v>
      </c>
      <c r="N18" s="10">
        <v>400</v>
      </c>
      <c r="P18" s="13">
        <v>2035</v>
      </c>
      <c r="Q18" s="16">
        <v>600</v>
      </c>
      <c r="R18" s="16">
        <v>118</v>
      </c>
      <c r="S18" s="16">
        <f t="shared" si="10"/>
        <v>354</v>
      </c>
      <c r="T18" s="16">
        <v>0</v>
      </c>
      <c r="U18" s="16">
        <v>0</v>
      </c>
      <c r="V18" s="16">
        <v>1800</v>
      </c>
    </row>
    <row r="19" spans="1:22" x14ac:dyDescent="0.25">
      <c r="A19" s="4" t="s">
        <v>78</v>
      </c>
      <c r="H19" s="13">
        <v>2040</v>
      </c>
      <c r="I19" s="10">
        <v>0</v>
      </c>
      <c r="J19" s="10">
        <v>0</v>
      </c>
      <c r="K19" s="10">
        <v>400</v>
      </c>
      <c r="L19" s="10">
        <v>300</v>
      </c>
      <c r="M19" s="10">
        <v>100</v>
      </c>
      <c r="N19" s="10">
        <v>400</v>
      </c>
      <c r="P19" s="13">
        <v>2040</v>
      </c>
      <c r="Q19" s="16">
        <v>0</v>
      </c>
      <c r="R19" s="16">
        <v>118</v>
      </c>
      <c r="S19" s="16">
        <f t="shared" si="10"/>
        <v>354</v>
      </c>
      <c r="T19" s="16">
        <v>0</v>
      </c>
      <c r="U19" s="16">
        <v>0</v>
      </c>
      <c r="V19" s="16">
        <v>0</v>
      </c>
    </row>
    <row r="20" spans="1:22" x14ac:dyDescent="0.25">
      <c r="A20" t="s">
        <v>77</v>
      </c>
      <c r="B20">
        <f>B15</f>
        <v>3084.0998748711568</v>
      </c>
      <c r="C20">
        <f t="shared" ref="C20:E20" si="11">C15</f>
        <v>9616.9213175821751</v>
      </c>
      <c r="D20">
        <f t="shared" si="11"/>
        <v>113244.05359147559</v>
      </c>
      <c r="E20">
        <f t="shared" si="11"/>
        <v>12395053.207512364</v>
      </c>
      <c r="H20" s="13">
        <v>2045</v>
      </c>
      <c r="I20" s="10">
        <v>0</v>
      </c>
      <c r="J20" s="10">
        <v>0</v>
      </c>
      <c r="K20" s="10">
        <v>500</v>
      </c>
      <c r="L20" s="10">
        <v>200</v>
      </c>
      <c r="M20" s="10">
        <v>100</v>
      </c>
      <c r="N20" s="10">
        <v>400</v>
      </c>
      <c r="P20" s="13">
        <v>2045</v>
      </c>
      <c r="Q20" s="16">
        <v>0</v>
      </c>
      <c r="R20" s="16">
        <v>118</v>
      </c>
      <c r="S20" s="16">
        <f t="shared" si="10"/>
        <v>354</v>
      </c>
      <c r="T20" s="16">
        <v>0</v>
      </c>
      <c r="U20" s="16">
        <v>0</v>
      </c>
      <c r="V20" s="16">
        <v>0</v>
      </c>
    </row>
    <row r="21" spans="1:22" x14ac:dyDescent="0.25">
      <c r="A21" t="s">
        <v>76</v>
      </c>
      <c r="B21">
        <f>B16+100</f>
        <v>361</v>
      </c>
      <c r="C21">
        <f t="shared" ref="C21:E21" si="12">C16+100</f>
        <v>4598</v>
      </c>
      <c r="D21">
        <f t="shared" si="12"/>
        <v>7199</v>
      </c>
      <c r="E21">
        <f t="shared" si="12"/>
        <v>19028</v>
      </c>
      <c r="H21" s="13">
        <v>2050</v>
      </c>
      <c r="I21" s="10">
        <v>0</v>
      </c>
      <c r="J21" s="10">
        <v>0</v>
      </c>
      <c r="K21" s="10">
        <v>600</v>
      </c>
      <c r="L21" s="10">
        <v>100</v>
      </c>
      <c r="M21" s="10">
        <v>100</v>
      </c>
      <c r="N21" s="10">
        <v>400</v>
      </c>
      <c r="P21" s="13">
        <v>2050</v>
      </c>
      <c r="Q21" s="16">
        <v>0</v>
      </c>
      <c r="R21" s="16">
        <v>118</v>
      </c>
      <c r="S21" s="16">
        <f t="shared" si="10"/>
        <v>354</v>
      </c>
      <c r="T21" s="16">
        <v>0</v>
      </c>
      <c r="U21" s="16">
        <v>0</v>
      </c>
      <c r="V21" s="16">
        <v>0</v>
      </c>
    </row>
    <row r="22" spans="1:22" x14ac:dyDescent="0.25">
      <c r="A22" t="s">
        <v>74</v>
      </c>
      <c r="B22" s="5">
        <f>B17</f>
        <v>-7.1999999999999995E-2</v>
      </c>
      <c r="C22" s="5">
        <f t="shared" ref="C22:E22" si="13">C17</f>
        <v>-7.8E-2</v>
      </c>
      <c r="D22" s="5">
        <f t="shared" si="13"/>
        <v>-0.45</v>
      </c>
      <c r="E22" s="5">
        <f t="shared" si="13"/>
        <v>-0.82899999999999996</v>
      </c>
      <c r="P22" s="12" t="s">
        <v>5</v>
      </c>
      <c r="Q22" t="s">
        <v>49</v>
      </c>
      <c r="R22" t="s">
        <v>106</v>
      </c>
      <c r="S22" t="s">
        <v>106</v>
      </c>
      <c r="T22" t="s">
        <v>106</v>
      </c>
      <c r="U22" t="s">
        <v>106</v>
      </c>
      <c r="V22" t="s">
        <v>49</v>
      </c>
    </row>
    <row r="23" spans="1:22" x14ac:dyDescent="0.25">
      <c r="A23" t="s">
        <v>73</v>
      </c>
      <c r="B23">
        <f>B20*(B21^B22)</f>
        <v>2018.3102007173761</v>
      </c>
      <c r="C23">
        <f t="shared" ref="C23:E23" si="14">C20*(C21^C22)</f>
        <v>4981.4489427856479</v>
      </c>
      <c r="D23">
        <f t="shared" si="14"/>
        <v>2080.8603191100246</v>
      </c>
      <c r="E23">
        <f t="shared" si="14"/>
        <v>3512.6225095265308</v>
      </c>
      <c r="H23" s="19" t="s">
        <v>90</v>
      </c>
      <c r="I23" s="19"/>
      <c r="J23" s="19"/>
      <c r="K23" s="19"/>
      <c r="L23" s="19"/>
      <c r="M23" s="19"/>
      <c r="N23" s="19"/>
      <c r="P23" s="19" t="s">
        <v>90</v>
      </c>
      <c r="Q23" s="19"/>
      <c r="R23" s="19"/>
      <c r="S23" s="19"/>
      <c r="T23" s="19"/>
      <c r="U23" s="19"/>
      <c r="V23" s="19"/>
    </row>
    <row r="24" spans="1:22" x14ac:dyDescent="0.25">
      <c r="H24" s="13" t="s">
        <v>40</v>
      </c>
      <c r="I24" t="s">
        <v>28</v>
      </c>
      <c r="J24" t="s">
        <v>81</v>
      </c>
      <c r="K24" t="s">
        <v>82</v>
      </c>
      <c r="L24" t="s">
        <v>2</v>
      </c>
      <c r="M24" t="s">
        <v>3</v>
      </c>
      <c r="N24" t="s">
        <v>80</v>
      </c>
      <c r="P24" t="s">
        <v>40</v>
      </c>
      <c r="Q24" t="s">
        <v>103</v>
      </c>
      <c r="R24" t="s">
        <v>104</v>
      </c>
      <c r="S24" t="s">
        <v>105</v>
      </c>
      <c r="T24" t="s">
        <v>107</v>
      </c>
      <c r="U24" t="s">
        <v>108</v>
      </c>
      <c r="V24" t="s">
        <v>115</v>
      </c>
    </row>
    <row r="25" spans="1:22" x14ac:dyDescent="0.25">
      <c r="H25" s="14">
        <v>2025</v>
      </c>
      <c r="I25" s="10">
        <f t="shared" ref="I25:N25" si="15">I4+I16*5</f>
        <v>2219</v>
      </c>
      <c r="J25" s="10">
        <f t="shared" si="15"/>
        <v>1719</v>
      </c>
      <c r="K25" s="10">
        <f t="shared" si="15"/>
        <v>2219</v>
      </c>
      <c r="L25" s="10">
        <f t="shared" si="15"/>
        <v>4719</v>
      </c>
      <c r="M25" s="10">
        <f t="shared" si="15"/>
        <v>2219</v>
      </c>
      <c r="N25" s="10">
        <f t="shared" si="15"/>
        <v>3719</v>
      </c>
      <c r="P25" s="14">
        <v>2025</v>
      </c>
      <c r="Q25" s="10">
        <f t="shared" ref="Q25:V25" si="16">Q4+Q16*5</f>
        <v>1719</v>
      </c>
      <c r="R25" s="10">
        <f t="shared" si="16"/>
        <v>2309</v>
      </c>
      <c r="S25" s="10">
        <f t="shared" si="16"/>
        <v>3489</v>
      </c>
      <c r="T25" s="10">
        <f t="shared" si="16"/>
        <v>5219</v>
      </c>
      <c r="U25" s="10">
        <f t="shared" si="16"/>
        <v>5219</v>
      </c>
      <c r="V25" s="10">
        <f t="shared" si="16"/>
        <v>1719</v>
      </c>
    </row>
    <row r="26" spans="1:22" x14ac:dyDescent="0.25">
      <c r="H26" s="14">
        <v>2030</v>
      </c>
      <c r="I26" s="10">
        <f t="shared" ref="I26:N26" si="17">I25+I17*5</f>
        <v>2219</v>
      </c>
      <c r="J26" s="10">
        <f t="shared" si="17"/>
        <v>3219</v>
      </c>
      <c r="K26" s="10">
        <f t="shared" si="17"/>
        <v>3219</v>
      </c>
      <c r="L26" s="10">
        <f t="shared" si="17"/>
        <v>7219</v>
      </c>
      <c r="M26" s="10">
        <f t="shared" si="17"/>
        <v>2719</v>
      </c>
      <c r="N26" s="10">
        <f t="shared" si="17"/>
        <v>5719</v>
      </c>
      <c r="P26" s="14">
        <v>2030</v>
      </c>
      <c r="Q26" s="10">
        <f t="shared" ref="Q26:V26" si="18">Q25+Q17*5</f>
        <v>4719</v>
      </c>
      <c r="R26" s="10">
        <f t="shared" si="18"/>
        <v>2899</v>
      </c>
      <c r="S26" s="10">
        <f t="shared" si="18"/>
        <v>5259</v>
      </c>
      <c r="T26" s="10">
        <f t="shared" si="18"/>
        <v>5219</v>
      </c>
      <c r="U26" s="10">
        <f t="shared" si="18"/>
        <v>5219</v>
      </c>
      <c r="V26" s="10">
        <f t="shared" si="18"/>
        <v>10719</v>
      </c>
    </row>
    <row r="27" spans="1:22" x14ac:dyDescent="0.25">
      <c r="H27" s="14">
        <v>2035</v>
      </c>
      <c r="I27" s="10">
        <f t="shared" ref="I27:N30" si="19">I26+I18*5</f>
        <v>2219</v>
      </c>
      <c r="J27" s="10">
        <f t="shared" si="19"/>
        <v>4719</v>
      </c>
      <c r="K27" s="10">
        <f t="shared" si="19"/>
        <v>4719</v>
      </c>
      <c r="L27" s="10">
        <f t="shared" si="19"/>
        <v>9219</v>
      </c>
      <c r="M27" s="10">
        <f t="shared" si="19"/>
        <v>3219</v>
      </c>
      <c r="N27" s="10">
        <f t="shared" si="19"/>
        <v>7719</v>
      </c>
      <c r="P27" s="14">
        <v>2035</v>
      </c>
      <c r="Q27" s="10">
        <f t="shared" ref="Q27:V30" si="20">Q26+Q18*5</f>
        <v>7719</v>
      </c>
      <c r="R27" s="10">
        <f t="shared" si="20"/>
        <v>3489</v>
      </c>
      <c r="S27" s="10">
        <f t="shared" si="20"/>
        <v>7029</v>
      </c>
      <c r="T27" s="10">
        <f t="shared" si="20"/>
        <v>5219</v>
      </c>
      <c r="U27" s="10">
        <f t="shared" si="20"/>
        <v>5219</v>
      </c>
      <c r="V27" s="10">
        <f t="shared" si="20"/>
        <v>19719</v>
      </c>
    </row>
    <row r="28" spans="1:22" x14ac:dyDescent="0.25">
      <c r="H28" s="14">
        <v>2040</v>
      </c>
      <c r="I28" s="10">
        <f t="shared" si="19"/>
        <v>2219</v>
      </c>
      <c r="J28" s="10">
        <f t="shared" si="19"/>
        <v>4719</v>
      </c>
      <c r="K28" s="10">
        <f t="shared" si="19"/>
        <v>6719</v>
      </c>
      <c r="L28" s="10">
        <f t="shared" si="19"/>
        <v>10719</v>
      </c>
      <c r="M28" s="10">
        <f t="shared" si="19"/>
        <v>3719</v>
      </c>
      <c r="N28" s="10">
        <f t="shared" si="19"/>
        <v>9719</v>
      </c>
      <c r="P28" s="14">
        <v>2040</v>
      </c>
      <c r="Q28" s="10">
        <f t="shared" si="20"/>
        <v>7719</v>
      </c>
      <c r="R28" s="10">
        <f t="shared" si="20"/>
        <v>4079</v>
      </c>
      <c r="S28" s="10">
        <f t="shared" si="20"/>
        <v>8799</v>
      </c>
      <c r="T28" s="10">
        <f t="shared" si="20"/>
        <v>5219</v>
      </c>
      <c r="U28" s="10">
        <f t="shared" si="20"/>
        <v>5219</v>
      </c>
      <c r="V28" s="10">
        <f t="shared" si="20"/>
        <v>19719</v>
      </c>
    </row>
    <row r="29" spans="1:22" x14ac:dyDescent="0.25">
      <c r="H29" s="14">
        <v>2045</v>
      </c>
      <c r="I29" s="10">
        <f t="shared" si="19"/>
        <v>2219</v>
      </c>
      <c r="J29" s="10">
        <f t="shared" si="19"/>
        <v>4719</v>
      </c>
      <c r="K29" s="10">
        <f t="shared" si="19"/>
        <v>9219</v>
      </c>
      <c r="L29" s="10">
        <f t="shared" si="19"/>
        <v>11719</v>
      </c>
      <c r="M29" s="10">
        <f t="shared" si="19"/>
        <v>4219</v>
      </c>
      <c r="N29" s="10">
        <f t="shared" si="19"/>
        <v>11719</v>
      </c>
      <c r="P29" s="14">
        <v>2045</v>
      </c>
      <c r="Q29" s="10">
        <f t="shared" si="20"/>
        <v>7719</v>
      </c>
      <c r="R29" s="10">
        <f t="shared" si="20"/>
        <v>4669</v>
      </c>
      <c r="S29" s="10">
        <f t="shared" si="20"/>
        <v>10569</v>
      </c>
      <c r="T29" s="10">
        <f t="shared" si="20"/>
        <v>5219</v>
      </c>
      <c r="U29" s="10">
        <f t="shared" si="20"/>
        <v>5219</v>
      </c>
      <c r="V29" s="10">
        <f t="shared" si="20"/>
        <v>19719</v>
      </c>
    </row>
    <row r="30" spans="1:22" x14ac:dyDescent="0.25">
      <c r="H30" s="14">
        <v>2050</v>
      </c>
      <c r="I30" s="10">
        <f t="shared" si="19"/>
        <v>2219</v>
      </c>
      <c r="J30" s="10">
        <f t="shared" si="19"/>
        <v>4719</v>
      </c>
      <c r="K30" s="10">
        <f t="shared" si="19"/>
        <v>12219</v>
      </c>
      <c r="L30" s="10">
        <f t="shared" si="19"/>
        <v>12219</v>
      </c>
      <c r="M30" s="10">
        <f t="shared" si="19"/>
        <v>4719</v>
      </c>
      <c r="N30" s="10">
        <f t="shared" si="19"/>
        <v>13719</v>
      </c>
      <c r="P30" s="14">
        <v>2050</v>
      </c>
      <c r="Q30" s="10">
        <f t="shared" si="20"/>
        <v>7719</v>
      </c>
      <c r="R30" s="10">
        <f t="shared" si="20"/>
        <v>5259</v>
      </c>
      <c r="S30" s="10">
        <f t="shared" si="20"/>
        <v>12339</v>
      </c>
      <c r="T30" s="10">
        <f t="shared" si="20"/>
        <v>5219</v>
      </c>
      <c r="U30" s="10">
        <f t="shared" si="20"/>
        <v>5219</v>
      </c>
      <c r="V30" s="10">
        <f t="shared" si="20"/>
        <v>19719</v>
      </c>
    </row>
    <row r="31" spans="1:22" x14ac:dyDescent="0.25">
      <c r="H31" s="14"/>
      <c r="I31" s="10"/>
      <c r="J31" s="10"/>
      <c r="K31" s="10"/>
      <c r="L31" s="10"/>
      <c r="M31" s="10"/>
      <c r="N31" s="10"/>
      <c r="P31" s="14"/>
      <c r="Q31" s="10"/>
      <c r="R31" s="10"/>
      <c r="S31" s="10"/>
      <c r="T31" s="10"/>
      <c r="U31" s="10"/>
      <c r="V31" s="10"/>
    </row>
    <row r="32" spans="1:22" x14ac:dyDescent="0.25">
      <c r="H32" s="18" t="s">
        <v>91</v>
      </c>
      <c r="I32" s="18"/>
      <c r="J32" s="18"/>
      <c r="K32" s="18"/>
      <c r="L32" s="18"/>
      <c r="M32" s="18"/>
      <c r="N32" s="18"/>
      <c r="P32" s="18" t="s">
        <v>91</v>
      </c>
      <c r="Q32" s="18"/>
      <c r="R32" s="18"/>
      <c r="S32" s="18"/>
      <c r="T32" s="18"/>
      <c r="U32" s="18"/>
      <c r="V32" s="18"/>
    </row>
    <row r="33" spans="8:22" x14ac:dyDescent="0.25">
      <c r="H33" s="14" t="s">
        <v>40</v>
      </c>
      <c r="I33" s="10" t="s">
        <v>28</v>
      </c>
      <c r="J33" s="10" t="s">
        <v>81</v>
      </c>
      <c r="K33" s="10" t="s">
        <v>82</v>
      </c>
      <c r="L33" s="10" t="s">
        <v>2</v>
      </c>
      <c r="M33" s="10" t="s">
        <v>3</v>
      </c>
      <c r="N33" s="10" t="s">
        <v>80</v>
      </c>
      <c r="P33" t="s">
        <v>40</v>
      </c>
      <c r="Q33" t="s">
        <v>103</v>
      </c>
      <c r="R33" t="s">
        <v>104</v>
      </c>
      <c r="S33" t="s">
        <v>105</v>
      </c>
      <c r="T33" t="s">
        <v>107</v>
      </c>
      <c r="U33" t="s">
        <v>108</v>
      </c>
      <c r="V33" t="s">
        <v>115</v>
      </c>
    </row>
    <row r="34" spans="8:22" x14ac:dyDescent="0.25">
      <c r="H34" s="14">
        <v>2025</v>
      </c>
      <c r="I34" s="10">
        <f>'Baseline Parameters'!G2</f>
        <v>232</v>
      </c>
      <c r="J34" s="10">
        <f>'Baseline Parameters'!B2</f>
        <v>446</v>
      </c>
      <c r="K34" s="10">
        <f>'Baseline Parameters'!C2</f>
        <v>209</v>
      </c>
      <c r="L34" s="10">
        <f>'Baseline Parameters'!E2</f>
        <v>269.98072031209182</v>
      </c>
      <c r="M34" s="10">
        <f>'Baseline Parameters'!F2</f>
        <v>140</v>
      </c>
      <c r="N34" s="10">
        <f>Procurement!J3</f>
        <v>360.50516023732143</v>
      </c>
      <c r="P34" s="14">
        <v>2025</v>
      </c>
      <c r="Q34" s="10">
        <f>$N34</f>
        <v>360.50516023732143</v>
      </c>
      <c r="R34" s="10">
        <f>$N34</f>
        <v>360.50516023732143</v>
      </c>
      <c r="S34" s="10">
        <f>$N34</f>
        <v>360.50516023732143</v>
      </c>
      <c r="T34" s="10">
        <f>J34</f>
        <v>446</v>
      </c>
      <c r="U34" s="10">
        <f>K34</f>
        <v>209</v>
      </c>
      <c r="V34" s="10">
        <f>$N34</f>
        <v>360.50516023732143</v>
      </c>
    </row>
    <row r="35" spans="8:22" x14ac:dyDescent="0.25">
      <c r="H35" s="14">
        <v>2030</v>
      </c>
      <c r="I35" s="10">
        <f>'Baseline Parameters'!G3</f>
        <v>212</v>
      </c>
      <c r="J35" s="10">
        <f>'Baseline Parameters'!B3</f>
        <v>380.16957864810638</v>
      </c>
      <c r="K35" s="10">
        <f>'Baseline Parameters'!C3</f>
        <v>178.15121510639958</v>
      </c>
      <c r="L35" s="10">
        <f>'Baseline Parameters'!E3</f>
        <v>207.95454545454541</v>
      </c>
      <c r="M35" s="10">
        <f>'Baseline Parameters'!F3</f>
        <v>126.10085958575935</v>
      </c>
      <c r="N35" s="10">
        <f>Procurement!J4</f>
        <v>296.81654796345282</v>
      </c>
      <c r="P35" s="14">
        <v>2030</v>
      </c>
      <c r="Q35" s="10">
        <f t="shared" ref="Q35:V39" si="21">$N35</f>
        <v>296.81654796345282</v>
      </c>
      <c r="R35" s="10">
        <f t="shared" si="21"/>
        <v>296.81654796345282</v>
      </c>
      <c r="S35" s="10">
        <f t="shared" si="21"/>
        <v>296.81654796345282</v>
      </c>
      <c r="T35" s="10">
        <f t="shared" ref="T35:T39" si="22">J35</f>
        <v>380.16957864810638</v>
      </c>
      <c r="U35" s="10">
        <f t="shared" ref="U35:U39" si="23">K35</f>
        <v>178.15121510639958</v>
      </c>
      <c r="V35" s="10">
        <f t="shared" si="21"/>
        <v>296.81654796345282</v>
      </c>
    </row>
    <row r="36" spans="8:22" x14ac:dyDescent="0.25">
      <c r="H36" s="14">
        <v>2035</v>
      </c>
      <c r="I36" s="10">
        <f>'Baseline Parameters'!G4</f>
        <v>193.72413793103445</v>
      </c>
      <c r="J36" s="10">
        <f>'Baseline Parameters'!B4</f>
        <v>324.05584872080431</v>
      </c>
      <c r="K36" s="10">
        <f>'Baseline Parameters'!C4</f>
        <v>151.85576767409884</v>
      </c>
      <c r="L36" s="10">
        <f>'Baseline Parameters'!E4</f>
        <v>160.17844876188263</v>
      </c>
      <c r="M36" s="10">
        <f>'Baseline Parameters'!F4</f>
        <v>113.58161991619573</v>
      </c>
      <c r="N36" s="10">
        <f>Procurement!J5</f>
        <v>220.8089461332641</v>
      </c>
      <c r="P36" s="14">
        <v>2035</v>
      </c>
      <c r="Q36" s="10">
        <f t="shared" si="21"/>
        <v>220.8089461332641</v>
      </c>
      <c r="R36" s="10">
        <f t="shared" si="21"/>
        <v>220.8089461332641</v>
      </c>
      <c r="S36" s="10">
        <f t="shared" si="21"/>
        <v>220.8089461332641</v>
      </c>
      <c r="T36" s="10">
        <f t="shared" si="22"/>
        <v>324.05584872080431</v>
      </c>
      <c r="U36" s="10">
        <f t="shared" si="23"/>
        <v>151.85576767409884</v>
      </c>
      <c r="V36" s="10">
        <f t="shared" si="21"/>
        <v>220.8089461332641</v>
      </c>
    </row>
    <row r="37" spans="8:22" x14ac:dyDescent="0.25">
      <c r="H37" s="14">
        <v>2040</v>
      </c>
      <c r="I37" s="10">
        <f>'Baseline Parameters'!G5</f>
        <v>177.02378121284181</v>
      </c>
      <c r="J37" s="10">
        <f>'Baseline Parameters'!B5</f>
        <v>276.22460866960239</v>
      </c>
      <c r="K37" s="10">
        <f>'Baseline Parameters'!C5</f>
        <v>129.4415767084011</v>
      </c>
      <c r="L37" s="10">
        <f>'Baseline Parameters'!E5</f>
        <v>123.37857483077323</v>
      </c>
      <c r="M37" s="10">
        <f>'Baseline Parameters'!F5</f>
        <v>102.30528503268064</v>
      </c>
      <c r="N37" s="10">
        <f>Procurement!J6</f>
        <v>202.50547416626196</v>
      </c>
      <c r="P37" s="14">
        <v>2040</v>
      </c>
      <c r="Q37" s="10">
        <f t="shared" si="21"/>
        <v>202.50547416626196</v>
      </c>
      <c r="R37" s="10">
        <f t="shared" si="21"/>
        <v>202.50547416626196</v>
      </c>
      <c r="S37" s="10">
        <f t="shared" si="21"/>
        <v>202.50547416626196</v>
      </c>
      <c r="T37" s="10">
        <f t="shared" si="22"/>
        <v>276.22460866960239</v>
      </c>
      <c r="U37" s="10">
        <f t="shared" si="23"/>
        <v>129.4415767084011</v>
      </c>
      <c r="V37" s="10">
        <f t="shared" si="21"/>
        <v>202.50547416626196</v>
      </c>
    </row>
    <row r="38" spans="8:22" x14ac:dyDescent="0.25">
      <c r="H38" s="14">
        <v>2045</v>
      </c>
      <c r="I38" s="10">
        <f>'Baseline Parameters'!G6</f>
        <v>161.7631104186313</v>
      </c>
      <c r="J38" s="10">
        <f>'Baseline Parameters'!B6</f>
        <v>235.45334773578654</v>
      </c>
      <c r="K38" s="10">
        <f>'Baseline Parameters'!C6</f>
        <v>110.33576160712865</v>
      </c>
      <c r="L38" s="10">
        <f>'Baseline Parameters'!E6</f>
        <v>95.033213549856328</v>
      </c>
      <c r="M38" s="10">
        <f>'Baseline Parameters'!F6</f>
        <v>92.14845987705111</v>
      </c>
      <c r="N38" s="10">
        <f>Procurement!J7</f>
        <v>184.65112037257458</v>
      </c>
      <c r="P38" s="14">
        <v>2045</v>
      </c>
      <c r="Q38" s="10">
        <f t="shared" si="21"/>
        <v>184.65112037257458</v>
      </c>
      <c r="R38" s="10">
        <f t="shared" si="21"/>
        <v>184.65112037257458</v>
      </c>
      <c r="S38" s="10">
        <f t="shared" si="21"/>
        <v>184.65112037257458</v>
      </c>
      <c r="T38" s="10">
        <f t="shared" si="22"/>
        <v>235.45334773578654</v>
      </c>
      <c r="U38" s="10">
        <f t="shared" si="23"/>
        <v>110.33576160712865</v>
      </c>
      <c r="V38" s="10">
        <f t="shared" si="21"/>
        <v>184.65112037257458</v>
      </c>
    </row>
    <row r="39" spans="8:22" x14ac:dyDescent="0.25">
      <c r="H39" s="14">
        <v>2050</v>
      </c>
      <c r="I39" s="10">
        <f>'Baseline Parameters'!G7</f>
        <v>147.8180146928872</v>
      </c>
      <c r="J39" s="10">
        <f>'Baseline Parameters'!B7</f>
        <v>200.70000000000002</v>
      </c>
      <c r="K39" s="10">
        <f>'Baseline Parameters'!C7</f>
        <v>94.05</v>
      </c>
      <c r="L39" s="10">
        <f>'Baseline Parameters'!E7</f>
        <v>73.199999999999989</v>
      </c>
      <c r="M39" s="10">
        <f>'Baseline Parameters'!F7</f>
        <v>83</v>
      </c>
      <c r="N39" s="10">
        <f>Procurement!J8</f>
        <v>172.93379856211703</v>
      </c>
      <c r="P39" s="14">
        <v>2050</v>
      </c>
      <c r="Q39" s="10">
        <f t="shared" si="21"/>
        <v>172.93379856211703</v>
      </c>
      <c r="R39" s="10">
        <f t="shared" si="21"/>
        <v>172.93379856211703</v>
      </c>
      <c r="S39" s="10">
        <f t="shared" si="21"/>
        <v>172.93379856211703</v>
      </c>
      <c r="T39" s="10">
        <f t="shared" si="22"/>
        <v>200.70000000000002</v>
      </c>
      <c r="U39" s="10">
        <f t="shared" si="23"/>
        <v>94.05</v>
      </c>
      <c r="V39" s="10">
        <f t="shared" si="21"/>
        <v>172.93379856211703</v>
      </c>
    </row>
    <row r="40" spans="8:22" x14ac:dyDescent="0.25">
      <c r="H40" s="14"/>
      <c r="I40" s="10"/>
      <c r="J40" s="10"/>
      <c r="K40" s="10"/>
      <c r="L40" s="10"/>
      <c r="M40" s="10"/>
      <c r="N40" s="10"/>
      <c r="P40" s="14"/>
      <c r="Q40" s="10"/>
      <c r="R40" s="10"/>
      <c r="S40" s="10"/>
      <c r="T40" s="10"/>
      <c r="U40" s="10"/>
      <c r="V40" s="10"/>
    </row>
    <row r="41" spans="8:22" x14ac:dyDescent="0.25">
      <c r="H41" s="18" t="s">
        <v>92</v>
      </c>
      <c r="I41" s="18"/>
      <c r="J41" s="18"/>
      <c r="K41" s="18"/>
      <c r="L41" s="18"/>
      <c r="M41" s="18"/>
      <c r="N41" s="18"/>
      <c r="P41" s="18" t="s">
        <v>92</v>
      </c>
      <c r="Q41" s="18"/>
      <c r="R41" s="18"/>
      <c r="S41" s="18"/>
      <c r="T41" s="18"/>
      <c r="U41" s="18"/>
      <c r="V41" s="18"/>
    </row>
    <row r="42" spans="8:22" x14ac:dyDescent="0.25">
      <c r="H42" s="14" t="s">
        <v>40</v>
      </c>
      <c r="I42" s="10" t="s">
        <v>28</v>
      </c>
      <c r="J42" s="10" t="s">
        <v>81</v>
      </c>
      <c r="K42" s="10" t="s">
        <v>82</v>
      </c>
      <c r="L42" s="10" t="s">
        <v>2</v>
      </c>
      <c r="M42" s="10" t="s">
        <v>3</v>
      </c>
      <c r="N42" s="10" t="s">
        <v>80</v>
      </c>
      <c r="P42" t="s">
        <v>40</v>
      </c>
      <c r="Q42" t="s">
        <v>103</v>
      </c>
      <c r="R42" t="s">
        <v>104</v>
      </c>
      <c r="S42" t="s">
        <v>105</v>
      </c>
      <c r="T42" t="s">
        <v>107</v>
      </c>
      <c r="U42" t="s">
        <v>108</v>
      </c>
      <c r="V42" t="s">
        <v>115</v>
      </c>
    </row>
    <row r="43" spans="8:22" x14ac:dyDescent="0.25">
      <c r="H43" s="14">
        <v>2025</v>
      </c>
      <c r="I43" s="10">
        <f t="shared" ref="I43:N48" si="24">I7*I25^I$3</f>
        <v>227.65791780169334</v>
      </c>
      <c r="J43" s="10">
        <f t="shared" si="24"/>
        <v>446</v>
      </c>
      <c r="K43" s="10">
        <f t="shared" si="24"/>
        <v>205.08838284721514</v>
      </c>
      <c r="L43" s="10">
        <f t="shared" si="24"/>
        <v>250.54068948498627</v>
      </c>
      <c r="M43" s="10">
        <f t="shared" si="24"/>
        <v>137.37977798378049</v>
      </c>
      <c r="N43" s="10">
        <f t="shared" si="24"/>
        <v>340.49470546798307</v>
      </c>
      <c r="P43" s="14">
        <v>2025</v>
      </c>
      <c r="Q43" s="10">
        <f t="shared" ref="Q43:V48" si="25">Q7*Q25^Q$3</f>
        <v>360.50516023732143</v>
      </c>
      <c r="R43" s="10">
        <f t="shared" si="25"/>
        <v>352.71873592109205</v>
      </c>
      <c r="S43" s="10">
        <f t="shared" si="25"/>
        <v>342.107053662032</v>
      </c>
      <c r="T43" s="10">
        <f t="shared" si="25"/>
        <v>410.81265512816464</v>
      </c>
      <c r="U43" s="10">
        <f t="shared" si="25"/>
        <v>192.51086305333277</v>
      </c>
      <c r="V43" s="10">
        <f t="shared" si="25"/>
        <v>360.50516023732143</v>
      </c>
    </row>
    <row r="44" spans="8:22" x14ac:dyDescent="0.25">
      <c r="H44" s="14">
        <v>2030</v>
      </c>
      <c r="I44" s="10">
        <f t="shared" si="24"/>
        <v>208.03223523258188</v>
      </c>
      <c r="J44" s="10">
        <f t="shared" si="24"/>
        <v>362.92461439647064</v>
      </c>
      <c r="K44" s="10">
        <f t="shared" si="24"/>
        <v>170.07005472839089</v>
      </c>
      <c r="L44" s="10">
        <f t="shared" si="24"/>
        <v>187.00427351359522</v>
      </c>
      <c r="M44" s="10">
        <f t="shared" si="24"/>
        <v>121.89395837797517</v>
      </c>
      <c r="N44" s="10">
        <f t="shared" si="24"/>
        <v>271.5543959414494</v>
      </c>
      <c r="P44" s="14">
        <v>2030</v>
      </c>
      <c r="Q44" s="10">
        <f t="shared" si="25"/>
        <v>275.44419650170983</v>
      </c>
      <c r="R44" s="10">
        <f t="shared" si="25"/>
        <v>285.55657003285313</v>
      </c>
      <c r="S44" s="10">
        <f t="shared" si="25"/>
        <v>273.24466425259618</v>
      </c>
      <c r="T44" s="10">
        <f t="shared" si="25"/>
        <v>350.17595068023365</v>
      </c>
      <c r="U44" s="10">
        <f t="shared" si="25"/>
        <v>164.09590513939193</v>
      </c>
      <c r="V44" s="10">
        <f t="shared" si="25"/>
        <v>259.2191658004752</v>
      </c>
    </row>
    <row r="45" spans="8:22" x14ac:dyDescent="0.25">
      <c r="H45" s="14">
        <v>2035</v>
      </c>
      <c r="I45" s="10">
        <f t="shared" si="24"/>
        <v>190.09842185046273</v>
      </c>
      <c r="J45" s="10">
        <f t="shared" si="24"/>
        <v>300.72212444021858</v>
      </c>
      <c r="K45" s="10">
        <f t="shared" si="24"/>
        <v>140.92135427803959</v>
      </c>
      <c r="L45" s="10">
        <f t="shared" si="24"/>
        <v>141.45812458337952</v>
      </c>
      <c r="M45" s="10">
        <f t="shared" si="24"/>
        <v>108.4294165703549</v>
      </c>
      <c r="N45" s="10">
        <f t="shared" si="24"/>
        <v>197.58208444082797</v>
      </c>
      <c r="P45" s="14">
        <v>2035</v>
      </c>
      <c r="Q45" s="10">
        <f t="shared" si="25"/>
        <v>197.58208444082797</v>
      </c>
      <c r="R45" s="10">
        <f t="shared" si="25"/>
        <v>209.54012956192068</v>
      </c>
      <c r="S45" s="10">
        <f t="shared" si="25"/>
        <v>198.9559618656977</v>
      </c>
      <c r="T45" s="10">
        <f t="shared" si="25"/>
        <v>298.48933547714006</v>
      </c>
      <c r="U45" s="10">
        <f t="shared" si="25"/>
        <v>139.8750473424266</v>
      </c>
      <c r="V45" s="10">
        <f t="shared" si="25"/>
        <v>184.33406406551856</v>
      </c>
    </row>
    <row r="46" spans="8:22" x14ac:dyDescent="0.25">
      <c r="H46" s="14">
        <v>2040</v>
      </c>
      <c r="I46" s="10">
        <f t="shared" si="24"/>
        <v>173.71062686335384</v>
      </c>
      <c r="J46" s="10">
        <f t="shared" si="24"/>
        <v>256.33498506412843</v>
      </c>
      <c r="K46" s="10">
        <f t="shared" si="24"/>
        <v>117.02096248366335</v>
      </c>
      <c r="L46" s="10">
        <f t="shared" si="24"/>
        <v>107.75036454241936</v>
      </c>
      <c r="M46" s="10">
        <f t="shared" si="24"/>
        <v>96.62665541899338</v>
      </c>
      <c r="N46" s="10">
        <f t="shared" si="24"/>
        <v>178.14071267621432</v>
      </c>
      <c r="P46" s="14">
        <v>2040</v>
      </c>
      <c r="Q46" s="10">
        <f t="shared" si="25"/>
        <v>181.20395209123592</v>
      </c>
      <c r="R46" s="10">
        <f t="shared" si="25"/>
        <v>189.9617703421664</v>
      </c>
      <c r="S46" s="10">
        <f t="shared" si="25"/>
        <v>179.45646847078069</v>
      </c>
      <c r="T46" s="10">
        <f t="shared" si="25"/>
        <v>254.43175986389599</v>
      </c>
      <c r="U46" s="10">
        <f t="shared" si="25"/>
        <v>119.22923276133241</v>
      </c>
      <c r="V46" s="10">
        <f t="shared" si="25"/>
        <v>169.05409722871059</v>
      </c>
    </row>
    <row r="47" spans="8:22" x14ac:dyDescent="0.25">
      <c r="H47" s="14">
        <v>2045</v>
      </c>
      <c r="I47" s="10">
        <f t="shared" si="24"/>
        <v>158.73557282340954</v>
      </c>
      <c r="J47" s="10">
        <f t="shared" si="24"/>
        <v>218.49946920313531</v>
      </c>
      <c r="K47" s="10">
        <f t="shared" si="24"/>
        <v>97.440635941140712</v>
      </c>
      <c r="L47" s="10">
        <f t="shared" si="24"/>
        <v>82.449481539281351</v>
      </c>
      <c r="M47" s="10">
        <f t="shared" si="24"/>
        <v>86.224957908187065</v>
      </c>
      <c r="N47" s="10">
        <f t="shared" si="24"/>
        <v>160.20071900840423</v>
      </c>
      <c r="P47" s="14">
        <v>2045</v>
      </c>
      <c r="Q47" s="10">
        <f t="shared" si="25"/>
        <v>165.2276952380752</v>
      </c>
      <c r="R47" s="10">
        <f t="shared" si="25"/>
        <v>171.49039287198505</v>
      </c>
      <c r="S47" s="10">
        <f t="shared" si="25"/>
        <v>161.42985382479438</v>
      </c>
      <c r="T47" s="10">
        <f t="shared" si="25"/>
        <v>216.87716354742938</v>
      </c>
      <c r="U47" s="10">
        <f t="shared" si="25"/>
        <v>101.63077843366084</v>
      </c>
      <c r="V47" s="10">
        <f t="shared" si="25"/>
        <v>154.14905984826089</v>
      </c>
    </row>
    <row r="48" spans="8:22" x14ac:dyDescent="0.25">
      <c r="H48" s="14">
        <v>2050</v>
      </c>
      <c r="I48" s="10">
        <f t="shared" si="24"/>
        <v>145.05147171794317</v>
      </c>
      <c r="J48" s="10">
        <f t="shared" si="24"/>
        <v>186.24854516096593</v>
      </c>
      <c r="K48" s="10">
        <f t="shared" si="24"/>
        <v>81.344571464021328</v>
      </c>
      <c r="L48" s="10">
        <f t="shared" si="24"/>
        <v>63.311245413783745</v>
      </c>
      <c r="M48" s="10">
        <f t="shared" si="24"/>
        <v>77.023563768610728</v>
      </c>
      <c r="N48" s="10">
        <f t="shared" si="24"/>
        <v>148.29565759240268</v>
      </c>
      <c r="P48" s="14">
        <v>2050</v>
      </c>
      <c r="Q48" s="10">
        <f t="shared" si="25"/>
        <v>154.74291684518829</v>
      </c>
      <c r="R48" s="10">
        <f t="shared" si="25"/>
        <v>159.200145848506</v>
      </c>
      <c r="S48" s="10">
        <f t="shared" si="25"/>
        <v>149.46364819523117</v>
      </c>
      <c r="T48" s="10">
        <f t="shared" si="25"/>
        <v>184.86569480767412</v>
      </c>
      <c r="U48" s="10">
        <f t="shared" si="25"/>
        <v>86.629888373999734</v>
      </c>
      <c r="V48" s="10">
        <f t="shared" si="25"/>
        <v>144.36729336140115</v>
      </c>
    </row>
    <row r="49" spans="8:22" x14ac:dyDescent="0.25">
      <c r="H49" s="14"/>
      <c r="I49" s="10"/>
      <c r="J49" s="10"/>
      <c r="K49" s="10"/>
      <c r="L49" s="10"/>
      <c r="M49" s="10"/>
      <c r="N49" s="10"/>
      <c r="P49" s="14"/>
      <c r="Q49" s="10"/>
      <c r="R49" s="10"/>
      <c r="S49" s="10"/>
      <c r="T49" s="10"/>
      <c r="U49" s="10"/>
      <c r="V49" s="10"/>
    </row>
    <row r="50" spans="8:22" x14ac:dyDescent="0.25">
      <c r="H50" s="18" t="s">
        <v>93</v>
      </c>
      <c r="I50" s="18"/>
      <c r="J50" s="18"/>
      <c r="K50" s="18"/>
      <c r="L50" s="18"/>
      <c r="M50" s="18"/>
      <c r="N50" s="18"/>
      <c r="P50" s="18" t="s">
        <v>93</v>
      </c>
      <c r="Q50" s="18"/>
      <c r="R50" s="18"/>
      <c r="S50" s="18"/>
      <c r="T50" s="18"/>
      <c r="U50" s="18"/>
      <c r="V50" s="18"/>
    </row>
    <row r="51" spans="8:22" x14ac:dyDescent="0.25">
      <c r="H51" s="14" t="s">
        <v>40</v>
      </c>
      <c r="I51" s="10" t="s">
        <v>28</v>
      </c>
      <c r="J51" s="10" t="s">
        <v>81</v>
      </c>
      <c r="K51" s="10" t="s">
        <v>82</v>
      </c>
      <c r="L51" s="10" t="s">
        <v>2</v>
      </c>
      <c r="M51" s="10" t="s">
        <v>3</v>
      </c>
      <c r="N51" s="10" t="s">
        <v>80</v>
      </c>
      <c r="P51" t="s">
        <v>40</v>
      </c>
      <c r="Q51" t="s">
        <v>103</v>
      </c>
      <c r="R51" t="s">
        <v>104</v>
      </c>
      <c r="S51" t="s">
        <v>105</v>
      </c>
      <c r="T51" t="s">
        <v>107</v>
      </c>
      <c r="U51" t="s">
        <v>108</v>
      </c>
      <c r="V51" t="s">
        <v>115</v>
      </c>
    </row>
    <row r="52" spans="8:22" x14ac:dyDescent="0.25">
      <c r="H52" s="14">
        <v>2025</v>
      </c>
      <c r="I52" s="10">
        <f>I34-I43</f>
        <v>4.342082198306656</v>
      </c>
      <c r="J52" s="10">
        <f t="shared" ref="J52:N52" si="26">J34-J43</f>
        <v>0</v>
      </c>
      <c r="K52" s="10">
        <f t="shared" si="26"/>
        <v>3.9116171527848564</v>
      </c>
      <c r="L52" s="10">
        <f t="shared" si="26"/>
        <v>19.440030827105545</v>
      </c>
      <c r="M52" s="10">
        <f t="shared" si="26"/>
        <v>2.6202220162195147</v>
      </c>
      <c r="N52" s="10">
        <f t="shared" si="26"/>
        <v>20.010454769338367</v>
      </c>
      <c r="P52" s="14">
        <v>2025</v>
      </c>
      <c r="Q52" s="10">
        <f>Q34-Q43</f>
        <v>0</v>
      </c>
      <c r="R52" s="10">
        <f t="shared" ref="R52:V52" si="27">R34-R43</f>
        <v>7.786424316229386</v>
      </c>
      <c r="S52" s="10">
        <f t="shared" si="27"/>
        <v>18.398106575289432</v>
      </c>
      <c r="T52" s="10">
        <f t="shared" si="27"/>
        <v>35.187344871835364</v>
      </c>
      <c r="U52" s="10">
        <f t="shared" si="27"/>
        <v>16.48913694666723</v>
      </c>
      <c r="V52" s="10">
        <f t="shared" si="27"/>
        <v>0</v>
      </c>
    </row>
    <row r="53" spans="8:22" x14ac:dyDescent="0.25">
      <c r="H53" s="14">
        <v>2030</v>
      </c>
      <c r="I53" s="10">
        <f t="shared" ref="I53:N57" si="28">I35-I44</f>
        <v>3.9677647674181173</v>
      </c>
      <c r="J53" s="10">
        <f t="shared" si="28"/>
        <v>17.244964251635736</v>
      </c>
      <c r="K53" s="10">
        <f t="shared" si="28"/>
        <v>8.0811603780086898</v>
      </c>
      <c r="L53" s="10">
        <f t="shared" si="28"/>
        <v>20.950271940950188</v>
      </c>
      <c r="M53" s="10">
        <f t="shared" si="28"/>
        <v>4.2069012077841847</v>
      </c>
      <c r="N53" s="10">
        <f t="shared" si="28"/>
        <v>25.26215202200342</v>
      </c>
      <c r="P53" s="14">
        <v>2030</v>
      </c>
      <c r="Q53" s="10">
        <f t="shared" ref="Q53:V53" si="29">Q35-Q44</f>
        <v>21.372351461742994</v>
      </c>
      <c r="R53" s="10">
        <f t="shared" si="29"/>
        <v>11.259977930599689</v>
      </c>
      <c r="S53" s="10">
        <f t="shared" si="29"/>
        <v>23.571883710856639</v>
      </c>
      <c r="T53" s="10">
        <f t="shared" si="29"/>
        <v>29.993627967872726</v>
      </c>
      <c r="U53" s="10">
        <f t="shared" si="29"/>
        <v>14.055309967007645</v>
      </c>
      <c r="V53" s="10">
        <f t="shared" si="29"/>
        <v>37.597382162977624</v>
      </c>
    </row>
    <row r="54" spans="8:22" x14ac:dyDescent="0.25">
      <c r="H54" s="14">
        <v>2035</v>
      </c>
      <c r="I54" s="10">
        <f t="shared" si="28"/>
        <v>3.6257160805717206</v>
      </c>
      <c r="J54" s="10">
        <f t="shared" si="28"/>
        <v>23.333724280585727</v>
      </c>
      <c r="K54" s="10">
        <f t="shared" si="28"/>
        <v>10.934413396059256</v>
      </c>
      <c r="L54" s="10">
        <f t="shared" si="28"/>
        <v>18.72032417850312</v>
      </c>
      <c r="M54" s="10">
        <f t="shared" si="28"/>
        <v>5.1522033458408316</v>
      </c>
      <c r="N54" s="10">
        <f t="shared" si="28"/>
        <v>23.226861692436131</v>
      </c>
      <c r="P54" s="14">
        <v>2035</v>
      </c>
      <c r="Q54" s="10">
        <f t="shared" ref="Q54:V54" si="30">Q36-Q45</f>
        <v>23.226861692436131</v>
      </c>
      <c r="R54" s="10">
        <f t="shared" si="30"/>
        <v>11.268816571343422</v>
      </c>
      <c r="S54" s="10">
        <f t="shared" si="30"/>
        <v>21.852984267566399</v>
      </c>
      <c r="T54" s="10">
        <f t="shared" si="30"/>
        <v>25.566513243664247</v>
      </c>
      <c r="U54" s="10">
        <f t="shared" si="30"/>
        <v>11.980720331672245</v>
      </c>
      <c r="V54" s="10">
        <f t="shared" si="30"/>
        <v>36.47488206774554</v>
      </c>
    </row>
    <row r="55" spans="8:22" x14ac:dyDescent="0.25">
      <c r="H55" s="14">
        <v>2040</v>
      </c>
      <c r="I55" s="10">
        <f t="shared" si="28"/>
        <v>3.3131543494879736</v>
      </c>
      <c r="J55" s="10">
        <f t="shared" si="28"/>
        <v>19.889623605473957</v>
      </c>
      <c r="K55" s="10">
        <f t="shared" si="28"/>
        <v>12.420614224737747</v>
      </c>
      <c r="L55" s="10">
        <f t="shared" si="28"/>
        <v>15.62821028835387</v>
      </c>
      <c r="M55" s="10">
        <f t="shared" si="28"/>
        <v>5.6786296136872636</v>
      </c>
      <c r="N55" s="10">
        <f t="shared" si="28"/>
        <v>24.364761490047641</v>
      </c>
      <c r="P55" s="14">
        <v>2040</v>
      </c>
      <c r="Q55" s="10">
        <f t="shared" ref="Q55:V55" si="31">Q37-Q46</f>
        <v>21.301522075026043</v>
      </c>
      <c r="R55" s="10">
        <f t="shared" si="31"/>
        <v>12.543703824095559</v>
      </c>
      <c r="S55" s="10">
        <f t="shared" si="31"/>
        <v>23.04900569548127</v>
      </c>
      <c r="T55" s="10">
        <f t="shared" si="31"/>
        <v>21.792848805706399</v>
      </c>
      <c r="U55" s="10">
        <f t="shared" si="31"/>
        <v>10.212343947068689</v>
      </c>
      <c r="V55" s="10">
        <f t="shared" si="31"/>
        <v>33.451376937551373</v>
      </c>
    </row>
    <row r="56" spans="8:22" x14ac:dyDescent="0.25">
      <c r="H56" s="14">
        <v>2045</v>
      </c>
      <c r="I56" s="10">
        <f t="shared" si="28"/>
        <v>3.0275375952217587</v>
      </c>
      <c r="J56" s="10">
        <f t="shared" si="28"/>
        <v>16.953878532651231</v>
      </c>
      <c r="K56" s="10">
        <f t="shared" si="28"/>
        <v>12.895125665987933</v>
      </c>
      <c r="L56" s="10">
        <f t="shared" si="28"/>
        <v>12.583732010574977</v>
      </c>
      <c r="M56" s="10">
        <f t="shared" si="28"/>
        <v>5.9235019688640449</v>
      </c>
      <c r="N56" s="10">
        <f t="shared" si="28"/>
        <v>24.450401364170347</v>
      </c>
      <c r="P56" s="14">
        <v>2045</v>
      </c>
      <c r="Q56" s="10">
        <f t="shared" ref="Q56:V56" si="32">Q38-Q47</f>
        <v>19.423425134499382</v>
      </c>
      <c r="R56" s="10">
        <f t="shared" si="32"/>
        <v>13.16072750058953</v>
      </c>
      <c r="S56" s="10">
        <f t="shared" si="32"/>
        <v>23.221266547780203</v>
      </c>
      <c r="T56" s="10">
        <f t="shared" si="32"/>
        <v>18.576184188357161</v>
      </c>
      <c r="U56" s="10">
        <f t="shared" si="32"/>
        <v>8.7049831734678094</v>
      </c>
      <c r="V56" s="10">
        <f t="shared" si="32"/>
        <v>30.502060524313691</v>
      </c>
    </row>
    <row r="57" spans="8:22" x14ac:dyDescent="0.25">
      <c r="H57" s="14">
        <v>2050</v>
      </c>
      <c r="I57" s="10">
        <f t="shared" si="28"/>
        <v>2.7665429749440307</v>
      </c>
      <c r="J57" s="10">
        <f t="shared" si="28"/>
        <v>14.451454839034085</v>
      </c>
      <c r="K57" s="10">
        <f t="shared" si="28"/>
        <v>12.705428535978669</v>
      </c>
      <c r="L57" s="10">
        <f t="shared" si="28"/>
        <v>9.888754586216244</v>
      </c>
      <c r="M57" s="10">
        <f t="shared" si="28"/>
        <v>5.9764362313892718</v>
      </c>
      <c r="N57" s="10">
        <f t="shared" si="28"/>
        <v>24.638140969714357</v>
      </c>
      <c r="P57" s="14">
        <v>2050</v>
      </c>
      <c r="Q57" s="10">
        <f t="shared" ref="Q57:V57" si="33">Q39-Q48</f>
        <v>18.190881716928743</v>
      </c>
      <c r="R57" s="10">
        <f t="shared" si="33"/>
        <v>13.733652713611036</v>
      </c>
      <c r="S57" s="10">
        <f t="shared" si="33"/>
        <v>23.470150366885861</v>
      </c>
      <c r="T57" s="10">
        <f t="shared" si="33"/>
        <v>15.8343051923259</v>
      </c>
      <c r="U57" s="10">
        <f t="shared" si="33"/>
        <v>7.4201116260002635</v>
      </c>
      <c r="V57" s="10">
        <f t="shared" si="33"/>
        <v>28.566505200715881</v>
      </c>
    </row>
    <row r="58" spans="8:22" x14ac:dyDescent="0.25">
      <c r="P58" s="13"/>
    </row>
    <row r="59" spans="8:22" x14ac:dyDescent="0.25">
      <c r="H59" s="18" t="s">
        <v>94</v>
      </c>
      <c r="I59" s="18"/>
      <c r="J59" s="18"/>
      <c r="K59" s="18"/>
      <c r="L59" s="18"/>
      <c r="M59" s="18"/>
      <c r="N59" s="18"/>
      <c r="P59" s="18" t="s">
        <v>94</v>
      </c>
      <c r="Q59" s="18"/>
      <c r="R59" s="18"/>
      <c r="S59" s="18"/>
      <c r="T59" s="18"/>
      <c r="U59" s="18"/>
      <c r="V59" s="18"/>
    </row>
    <row r="60" spans="8:22" x14ac:dyDescent="0.25">
      <c r="H60" s="14" t="s">
        <v>40</v>
      </c>
      <c r="I60" s="10" t="s">
        <v>28</v>
      </c>
      <c r="J60" s="10" t="s">
        <v>81</v>
      </c>
      <c r="K60" s="10" t="s">
        <v>82</v>
      </c>
      <c r="L60" s="10" t="s">
        <v>2</v>
      </c>
      <c r="M60" s="10" t="s">
        <v>3</v>
      </c>
      <c r="N60" s="10" t="s">
        <v>80</v>
      </c>
      <c r="P60" t="s">
        <v>40</v>
      </c>
      <c r="Q60" t="s">
        <v>103</v>
      </c>
      <c r="R60" t="s">
        <v>104</v>
      </c>
      <c r="S60" t="s">
        <v>105</v>
      </c>
      <c r="T60" t="s">
        <v>107</v>
      </c>
      <c r="U60" t="s">
        <v>108</v>
      </c>
      <c r="V60" t="s">
        <v>115</v>
      </c>
    </row>
    <row r="61" spans="8:22" x14ac:dyDescent="0.25">
      <c r="H61" s="14">
        <v>2025</v>
      </c>
      <c r="I61" s="15">
        <f>(1-(I52/I34))/I34</f>
        <v>4.2296729674809255E-3</v>
      </c>
      <c r="J61" s="15">
        <f t="shared" ref="J61:N61" si="34">(1-(J52/J34))/J34</f>
        <v>2.242152466367713E-3</v>
      </c>
      <c r="K61" s="15">
        <f t="shared" si="34"/>
        <v>4.6951393706008366E-3</v>
      </c>
      <c r="L61" s="15">
        <f t="shared" si="34"/>
        <v>3.4372630131788207E-3</v>
      </c>
      <c r="M61" s="15">
        <f t="shared" si="34"/>
        <v>7.0091723461112492E-3</v>
      </c>
      <c r="N61" s="15">
        <f t="shared" si="34"/>
        <v>2.6199161506589817E-3</v>
      </c>
      <c r="P61" s="14">
        <v>2025</v>
      </c>
      <c r="Q61" s="15">
        <f t="shared" ref="Q61:V66" si="35">Q52/Q34</f>
        <v>0</v>
      </c>
      <c r="R61" s="15">
        <f t="shared" si="35"/>
        <v>2.159864871588402E-2</v>
      </c>
      <c r="S61" s="15">
        <f t="shared" si="35"/>
        <v>5.1034239185863285E-2</v>
      </c>
      <c r="T61" s="15">
        <f t="shared" si="35"/>
        <v>7.8895392089316965E-2</v>
      </c>
      <c r="U61" s="15">
        <f t="shared" si="35"/>
        <v>7.8895392089316896E-2</v>
      </c>
      <c r="V61" s="15">
        <f t="shared" si="35"/>
        <v>0</v>
      </c>
    </row>
    <row r="62" spans="8:22" x14ac:dyDescent="0.25">
      <c r="H62" s="14">
        <v>2030</v>
      </c>
      <c r="I62" s="15">
        <f t="shared" ref="I62:N66" si="36">(1-(I53/I35))/I35</f>
        <v>4.6286987191300703E-3</v>
      </c>
      <c r="J62" s="15">
        <f t="shared" si="36"/>
        <v>2.5110866614096584E-3</v>
      </c>
      <c r="K62" s="15">
        <f t="shared" si="36"/>
        <v>5.358586846835922E-3</v>
      </c>
      <c r="L62" s="15">
        <f t="shared" si="36"/>
        <v>4.3242888533228281E-3</v>
      </c>
      <c r="M62" s="15">
        <f t="shared" si="36"/>
        <v>7.6655988170767544E-3</v>
      </c>
      <c r="N62" s="15">
        <f t="shared" si="36"/>
        <v>3.082340536972066E-3</v>
      </c>
      <c r="P62" s="14">
        <v>2030</v>
      </c>
      <c r="Q62" s="15">
        <f t="shared" si="35"/>
        <v>7.2005255799870646E-2</v>
      </c>
      <c r="R62" s="15">
        <f t="shared" si="35"/>
        <v>3.7935815937008122E-2</v>
      </c>
      <c r="S62" s="15">
        <f t="shared" si="35"/>
        <v>7.9415665577240849E-2</v>
      </c>
      <c r="T62" s="15">
        <f t="shared" si="35"/>
        <v>7.889539208931684E-2</v>
      </c>
      <c r="U62" s="15">
        <f t="shared" si="35"/>
        <v>7.8895392089316979E-2</v>
      </c>
      <c r="V62" s="15">
        <f t="shared" si="35"/>
        <v>0.12666875354809062</v>
      </c>
    </row>
    <row r="63" spans="8:22" x14ac:dyDescent="0.25">
      <c r="H63" s="14">
        <v>2035</v>
      </c>
      <c r="I63" s="15">
        <f t="shared" si="36"/>
        <v>5.0653684096140404E-3</v>
      </c>
      <c r="J63" s="15">
        <f t="shared" si="36"/>
        <v>2.8636876879813964E-3</v>
      </c>
      <c r="K63" s="15">
        <f t="shared" si="36"/>
        <v>6.1110273150225018E-3</v>
      </c>
      <c r="L63" s="15">
        <f t="shared" si="36"/>
        <v>5.5134028844093996E-3</v>
      </c>
      <c r="M63" s="15">
        <f t="shared" si="36"/>
        <v>8.4048700724761085E-3</v>
      </c>
      <c r="N63" s="15">
        <f t="shared" si="36"/>
        <v>4.0524179733364973E-3</v>
      </c>
      <c r="P63" s="14">
        <v>2035</v>
      </c>
      <c r="Q63" s="15">
        <f t="shared" si="35"/>
        <v>0.10518985801607014</v>
      </c>
      <c r="R63" s="15">
        <f t="shared" si="35"/>
        <v>5.1034239185863375E-2</v>
      </c>
      <c r="S63" s="15">
        <f t="shared" si="35"/>
        <v>9.8967839167066807E-2</v>
      </c>
      <c r="T63" s="15">
        <f t="shared" si="35"/>
        <v>7.8895392089316993E-2</v>
      </c>
      <c r="U63" s="15">
        <f t="shared" si="35"/>
        <v>7.889539208931691E-2</v>
      </c>
      <c r="V63" s="15">
        <f t="shared" si="35"/>
        <v>0.1651875193758317</v>
      </c>
    </row>
    <row r="64" spans="8:22" x14ac:dyDescent="0.25">
      <c r="H64" s="14">
        <v>2040</v>
      </c>
      <c r="I64" s="15">
        <f t="shared" si="36"/>
        <v>5.5432333539172512E-3</v>
      </c>
      <c r="J64" s="15">
        <f t="shared" si="36"/>
        <v>3.3595657847781462E-3</v>
      </c>
      <c r="K64" s="15">
        <f t="shared" si="36"/>
        <v>6.984190506932688E-3</v>
      </c>
      <c r="L64" s="15">
        <f t="shared" si="36"/>
        <v>7.078467616032813E-3</v>
      </c>
      <c r="M64" s="15">
        <f t="shared" si="36"/>
        <v>9.2321065465968011E-3</v>
      </c>
      <c r="N64" s="15">
        <f t="shared" si="36"/>
        <v>4.3439983353645469E-3</v>
      </c>
      <c r="P64" s="14">
        <v>2040</v>
      </c>
      <c r="Q64" s="15">
        <f t="shared" si="35"/>
        <v>0.10518985801607007</v>
      </c>
      <c r="R64" s="15">
        <f t="shared" si="35"/>
        <v>6.1942541927517823E-2</v>
      </c>
      <c r="S64" s="15">
        <f t="shared" si="35"/>
        <v>0.11381917348346579</v>
      </c>
      <c r="T64" s="15">
        <f t="shared" si="35"/>
        <v>7.8895392089316882E-2</v>
      </c>
      <c r="U64" s="15">
        <f t="shared" si="35"/>
        <v>7.8895392089316854E-2</v>
      </c>
      <c r="V64" s="15">
        <f t="shared" si="35"/>
        <v>0.16518751937583165</v>
      </c>
    </row>
    <row r="65" spans="8:22" x14ac:dyDescent="0.25">
      <c r="H65" s="14">
        <v>2045</v>
      </c>
      <c r="I65" s="15">
        <f t="shared" si="36"/>
        <v>6.0661798967396345E-3</v>
      </c>
      <c r="J65" s="15">
        <f t="shared" si="36"/>
        <v>3.9413104681844512E-3</v>
      </c>
      <c r="K65" s="15">
        <f t="shared" si="36"/>
        <v>8.0040080256891903E-3</v>
      </c>
      <c r="L65" s="15">
        <f t="shared" si="36"/>
        <v>9.129292010114377E-3</v>
      </c>
      <c r="M65" s="15">
        <f t="shared" si="36"/>
        <v>1.0154459901310238E-2</v>
      </c>
      <c r="N65" s="15">
        <f t="shared" si="36"/>
        <v>4.6985144493336935E-3</v>
      </c>
      <c r="P65" s="14">
        <v>2045</v>
      </c>
      <c r="Q65" s="15">
        <f t="shared" si="35"/>
        <v>0.10518985801607006</v>
      </c>
      <c r="R65" s="15">
        <f t="shared" si="35"/>
        <v>7.1273477648198635E-2</v>
      </c>
      <c r="S65" s="15">
        <f t="shared" si="35"/>
        <v>0.12575751774983088</v>
      </c>
      <c r="T65" s="15">
        <f t="shared" si="35"/>
        <v>7.8895392089316924E-2</v>
      </c>
      <c r="U65" s="15">
        <f t="shared" si="35"/>
        <v>7.8895392089316868E-2</v>
      </c>
      <c r="V65" s="15">
        <f t="shared" si="35"/>
        <v>0.16518751937583168</v>
      </c>
    </row>
    <row r="66" spans="8:22" x14ac:dyDescent="0.25">
      <c r="H66" s="14">
        <v>2050</v>
      </c>
      <c r="I66" s="15">
        <f t="shared" si="36"/>
        <v>6.6384610190735622E-3</v>
      </c>
      <c r="J66" s="15">
        <f t="shared" si="36"/>
        <v>4.62379045441021E-3</v>
      </c>
      <c r="K66" s="15">
        <f t="shared" si="36"/>
        <v>9.196254377799239E-3</v>
      </c>
      <c r="L66" s="15">
        <f t="shared" si="36"/>
        <v>1.1815679292787139E-2</v>
      </c>
      <c r="M66" s="15">
        <f t="shared" si="36"/>
        <v>1.1180659568676256E-2</v>
      </c>
      <c r="N66" s="15">
        <f t="shared" si="36"/>
        <v>4.9587095646873537E-3</v>
      </c>
      <c r="P66" s="14">
        <v>2050</v>
      </c>
      <c r="Q66" s="15">
        <f t="shared" si="35"/>
        <v>0.10518985801607002</v>
      </c>
      <c r="R66" s="15">
        <f t="shared" si="35"/>
        <v>7.9415665577240932E-2</v>
      </c>
      <c r="S66" s="15">
        <f t="shared" si="35"/>
        <v>0.13571754371922554</v>
      </c>
      <c r="T66" s="15">
        <f t="shared" si="35"/>
        <v>7.8895392089316882E-2</v>
      </c>
      <c r="U66" s="15">
        <f t="shared" si="35"/>
        <v>7.8895392089316993E-2</v>
      </c>
      <c r="V66" s="15">
        <f t="shared" si="35"/>
        <v>0.16518751937583168</v>
      </c>
    </row>
  </sheetData>
  <mergeCells count="14">
    <mergeCell ref="H14:N14"/>
    <mergeCell ref="H23:N23"/>
    <mergeCell ref="H5:N5"/>
    <mergeCell ref="P5:V5"/>
    <mergeCell ref="P14:V14"/>
    <mergeCell ref="P23:V23"/>
    <mergeCell ref="P32:V32"/>
    <mergeCell ref="P41:V41"/>
    <mergeCell ref="P59:V59"/>
    <mergeCell ref="H41:N41"/>
    <mergeCell ref="H50:N50"/>
    <mergeCell ref="H32:N32"/>
    <mergeCell ref="H59:N59"/>
    <mergeCell ref="P50:V50"/>
  </mergeCells>
  <phoneticPr fontId="3" type="noConversion"/>
  <conditionalFormatting sqref="I52:N57">
    <cfRule type="colorScale" priority="4">
      <colorScale>
        <cfvo type="min"/>
        <cfvo type="max"/>
        <color rgb="FFFCFCFF"/>
        <color rgb="FF63BE7B"/>
      </colorScale>
    </cfRule>
  </conditionalFormatting>
  <conditionalFormatting sqref="I61:N66">
    <cfRule type="colorScale" priority="3">
      <colorScale>
        <cfvo type="min"/>
        <cfvo type="max"/>
        <color rgb="FFFCFCFF"/>
        <color rgb="FF63BE7B"/>
      </colorScale>
    </cfRule>
  </conditionalFormatting>
  <conditionalFormatting sqref="Q52:V57">
    <cfRule type="colorScale" priority="2">
      <colorScale>
        <cfvo type="min"/>
        <cfvo type="max"/>
        <color rgb="FFFCFCFF"/>
        <color rgb="FF63BE7B"/>
      </colorScale>
    </cfRule>
  </conditionalFormatting>
  <conditionalFormatting sqref="Q61:V66">
    <cfRule type="colorScale" priority="1">
      <colorScale>
        <cfvo type="min"/>
        <cfvo type="max"/>
        <color rgb="FFFCFCFF"/>
        <color rgb="FF63BE7B"/>
      </colorScale>
    </cfRule>
  </conditionalFormatting>
  <hyperlinks>
    <hyperlink ref="D3" r:id="rId1" xr:uid="{24FFCE81-5015-4DFC-9C15-040909BF294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H35"/>
  <sheetViews>
    <sheetView workbookViewId="0">
      <selection activeCell="B4" sqref="B4"/>
    </sheetView>
  </sheetViews>
  <sheetFormatPr defaultRowHeight="15" x14ac:dyDescent="0.25"/>
  <sheetData>
    <row r="1" spans="1:8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</row>
    <row r="2" spans="1:8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</row>
    <row r="3" spans="1:8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</row>
    <row r="4" spans="1:8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</row>
    <row r="5" spans="1:8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</row>
    <row r="6" spans="1:8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</row>
    <row r="7" spans="1:8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</row>
    <row r="10" spans="1:8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</row>
    <row r="11" spans="1:8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</row>
    <row r="13" spans="1:8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</row>
    <row r="14" spans="1:8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</row>
    <row r="15" spans="1:8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</row>
    <row r="16" spans="1:8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</row>
    <row r="17" spans="1:8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</row>
    <row r="18" spans="1:8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8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</row>
    <row r="21" spans="1:8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</row>
    <row r="22" spans="1:8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</row>
    <row r="23" spans="1:8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</row>
    <row r="24" spans="1:8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</row>
    <row r="25" spans="1:8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</row>
    <row r="26" spans="1:8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</row>
    <row r="27" spans="1:8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9" spans="1:8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</row>
    <row r="30" spans="1:8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</row>
    <row r="31" spans="1:8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</row>
    <row r="32" spans="1:8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</row>
    <row r="33" spans="1:8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</row>
    <row r="34" spans="1:8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</row>
    <row r="35" spans="1:8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A587-BA09-4421-98D4-BDAFBA104359}">
  <dimension ref="A1:L20"/>
  <sheetViews>
    <sheetView workbookViewId="0">
      <selection activeCell="I37" sqref="I37"/>
    </sheetView>
  </sheetViews>
  <sheetFormatPr defaultRowHeight="15" x14ac:dyDescent="0.25"/>
  <sheetData>
    <row r="1" spans="1:12" x14ac:dyDescent="0.25">
      <c r="A1" s="4" t="s">
        <v>47</v>
      </c>
      <c r="B1" t="s">
        <v>41</v>
      </c>
      <c r="C1" t="s">
        <v>42</v>
      </c>
      <c r="D1" t="s">
        <v>45</v>
      </c>
      <c r="I1" t="s">
        <v>46</v>
      </c>
    </row>
    <row r="2" spans="1:12" x14ac:dyDescent="0.25">
      <c r="A2" t="s">
        <v>40</v>
      </c>
      <c r="B2" t="s">
        <v>44</v>
      </c>
      <c r="C2" t="s">
        <v>44</v>
      </c>
      <c r="D2" t="s">
        <v>44</v>
      </c>
      <c r="I2" t="s">
        <v>40</v>
      </c>
      <c r="J2" t="s">
        <v>53</v>
      </c>
      <c r="K2" t="s">
        <v>48</v>
      </c>
      <c r="L2" t="s">
        <v>51</v>
      </c>
    </row>
    <row r="3" spans="1:12" x14ac:dyDescent="0.25">
      <c r="A3">
        <v>2025</v>
      </c>
      <c r="B3">
        <v>0.05</v>
      </c>
      <c r="C3">
        <f>K3/$J3</f>
        <v>9.1538218144439369</v>
      </c>
      <c r="D3">
        <f>L3/$J3</f>
        <v>0</v>
      </c>
      <c r="I3">
        <f>A3</f>
        <v>2025</v>
      </c>
      <c r="J3">
        <v>360.50516023732143</v>
      </c>
      <c r="K3">
        <v>3300</v>
      </c>
      <c r="L3">
        <v>0</v>
      </c>
    </row>
    <row r="4" spans="1:12" x14ac:dyDescent="0.25">
      <c r="A4">
        <v>2030</v>
      </c>
      <c r="B4">
        <v>5</v>
      </c>
      <c r="C4">
        <f t="shared" ref="C4:C8" si="0">K4/$J4</f>
        <v>11.117978504373452</v>
      </c>
      <c r="D4">
        <f t="shared" ref="D4:D8" si="1">L4/$J4</f>
        <v>67.381687905293646</v>
      </c>
      <c r="I4">
        <f t="shared" ref="I4:I8" si="2">A4</f>
        <v>2030</v>
      </c>
      <c r="J4">
        <v>296.81654796345282</v>
      </c>
      <c r="K4">
        <v>3300</v>
      </c>
      <c r="L4">
        <v>20000</v>
      </c>
    </row>
    <row r="5" spans="1:12" x14ac:dyDescent="0.25">
      <c r="A5">
        <v>2035</v>
      </c>
      <c r="B5">
        <v>10</v>
      </c>
      <c r="C5">
        <f t="shared" si="0"/>
        <v>14.945046646834507</v>
      </c>
      <c r="D5">
        <f t="shared" si="1"/>
        <v>158.50807049672963</v>
      </c>
      <c r="I5">
        <f t="shared" si="2"/>
        <v>2035</v>
      </c>
      <c r="J5">
        <v>220.8089461332641</v>
      </c>
      <c r="K5">
        <v>3300</v>
      </c>
      <c r="L5">
        <f>(L4+L6)/2</f>
        <v>35000</v>
      </c>
    </row>
    <row r="6" spans="1:12" x14ac:dyDescent="0.25">
      <c r="A6">
        <v>2040</v>
      </c>
      <c r="B6">
        <v>0</v>
      </c>
      <c r="C6">
        <f t="shared" si="0"/>
        <v>0</v>
      </c>
      <c r="D6">
        <f t="shared" si="1"/>
        <v>246.90690563233255</v>
      </c>
      <c r="I6">
        <f t="shared" si="2"/>
        <v>2040</v>
      </c>
      <c r="J6">
        <v>202.50547416626196</v>
      </c>
      <c r="K6">
        <v>0</v>
      </c>
      <c r="L6">
        <v>50000</v>
      </c>
    </row>
    <row r="7" spans="1:12" x14ac:dyDescent="0.25">
      <c r="A7">
        <v>2045</v>
      </c>
      <c r="B7">
        <v>0</v>
      </c>
      <c r="C7">
        <f t="shared" si="0"/>
        <v>0</v>
      </c>
      <c r="D7">
        <f t="shared" si="1"/>
        <v>406.1713779405772</v>
      </c>
      <c r="I7">
        <f t="shared" si="2"/>
        <v>2045</v>
      </c>
      <c r="J7">
        <v>184.65112037257458</v>
      </c>
      <c r="K7">
        <v>0</v>
      </c>
      <c r="L7">
        <f>(L6+L8)/2</f>
        <v>75000</v>
      </c>
    </row>
    <row r="8" spans="1:12" x14ac:dyDescent="0.25">
      <c r="A8">
        <v>2050</v>
      </c>
      <c r="B8">
        <v>0</v>
      </c>
      <c r="C8">
        <f t="shared" si="0"/>
        <v>0</v>
      </c>
      <c r="D8">
        <f t="shared" si="1"/>
        <v>578.25596171173243</v>
      </c>
      <c r="I8">
        <f t="shared" si="2"/>
        <v>2050</v>
      </c>
      <c r="J8">
        <v>172.93379856211703</v>
      </c>
      <c r="K8">
        <v>0</v>
      </c>
      <c r="L8">
        <v>100000</v>
      </c>
    </row>
    <row r="9" spans="1:12" x14ac:dyDescent="0.25">
      <c r="A9" t="s">
        <v>5</v>
      </c>
      <c r="B9" t="s">
        <v>43</v>
      </c>
      <c r="J9" t="s">
        <v>52</v>
      </c>
      <c r="K9" t="s">
        <v>50</v>
      </c>
      <c r="L9" t="s">
        <v>49</v>
      </c>
    </row>
    <row r="12" spans="1:12" x14ac:dyDescent="0.25">
      <c r="A12" s="4" t="s">
        <v>54</v>
      </c>
      <c r="B12" t="s">
        <v>41</v>
      </c>
      <c r="C12" t="s">
        <v>42</v>
      </c>
      <c r="D12" t="s">
        <v>45</v>
      </c>
      <c r="I12" t="s">
        <v>46</v>
      </c>
    </row>
    <row r="13" spans="1:12" x14ac:dyDescent="0.25">
      <c r="A13" t="s">
        <v>40</v>
      </c>
      <c r="B13" t="s">
        <v>44</v>
      </c>
      <c r="C13" t="s">
        <v>44</v>
      </c>
      <c r="D13" t="s">
        <v>44</v>
      </c>
      <c r="I13" t="s">
        <v>40</v>
      </c>
      <c r="J13" t="s">
        <v>53</v>
      </c>
      <c r="K13" t="s">
        <v>48</v>
      </c>
      <c r="L13" t="s">
        <v>51</v>
      </c>
    </row>
    <row r="14" spans="1:12" x14ac:dyDescent="0.25">
      <c r="A14">
        <v>2025</v>
      </c>
      <c r="B14">
        <v>0.05</v>
      </c>
      <c r="C14">
        <f>K14/$J14</f>
        <v>9.1527704871198079</v>
      </c>
      <c r="D14">
        <f>L14/$J14</f>
        <v>0</v>
      </c>
      <c r="I14">
        <f>A14</f>
        <v>2025</v>
      </c>
      <c r="J14">
        <v>360.54656943970235</v>
      </c>
      <c r="K14">
        <v>3300</v>
      </c>
      <c r="L14">
        <v>0</v>
      </c>
    </row>
    <row r="15" spans="1:12" x14ac:dyDescent="0.25">
      <c r="A15">
        <v>2030</v>
      </c>
      <c r="B15">
        <v>5</v>
      </c>
      <c r="C15">
        <f t="shared" ref="C15:C19" si="3">K15/$J15</f>
        <v>11.123317675046577</v>
      </c>
      <c r="D15">
        <f t="shared" ref="D15:D19" si="4">L15/$J15</f>
        <v>67.41404651543381</v>
      </c>
      <c r="I15">
        <f t="shared" ref="I15:I19" si="5">A15</f>
        <v>2030</v>
      </c>
      <c r="J15">
        <v>296.67407660243612</v>
      </c>
      <c r="K15">
        <v>3300</v>
      </c>
      <c r="L15">
        <v>20000</v>
      </c>
    </row>
    <row r="16" spans="1:12" x14ac:dyDescent="0.25">
      <c r="A16">
        <v>2035</v>
      </c>
      <c r="B16">
        <v>10</v>
      </c>
      <c r="C16">
        <f t="shared" si="3"/>
        <v>14.849857137390348</v>
      </c>
      <c r="D16">
        <f t="shared" si="4"/>
        <v>157.49848479050368</v>
      </c>
      <c r="I16">
        <f t="shared" si="5"/>
        <v>2035</v>
      </c>
      <c r="J16">
        <v>222.22436010451264</v>
      </c>
      <c r="K16">
        <v>3300</v>
      </c>
      <c r="L16">
        <f>(L15+L17)/2</f>
        <v>35000</v>
      </c>
    </row>
    <row r="17" spans="1:12" x14ac:dyDescent="0.25">
      <c r="A17">
        <v>2040</v>
      </c>
      <c r="B17">
        <v>0</v>
      </c>
      <c r="C17">
        <f t="shared" si="3"/>
        <v>0</v>
      </c>
      <c r="D17">
        <f t="shared" si="4"/>
        <v>243.06758416564975</v>
      </c>
      <c r="I17">
        <f t="shared" si="5"/>
        <v>2040</v>
      </c>
      <c r="J17">
        <v>205.70410559527826</v>
      </c>
      <c r="K17">
        <v>0</v>
      </c>
      <c r="L17">
        <v>50000</v>
      </c>
    </row>
    <row r="18" spans="1:12" x14ac:dyDescent="0.25">
      <c r="A18">
        <v>2045</v>
      </c>
      <c r="B18">
        <v>0</v>
      </c>
      <c r="C18">
        <f t="shared" si="3"/>
        <v>0</v>
      </c>
      <c r="D18">
        <f t="shared" si="4"/>
        <v>380.4751980809001</v>
      </c>
      <c r="I18">
        <f t="shared" si="5"/>
        <v>2045</v>
      </c>
      <c r="J18">
        <v>197.12191590489118</v>
      </c>
      <c r="K18">
        <v>0</v>
      </c>
      <c r="L18">
        <f>(L17+L19)/2</f>
        <v>75000</v>
      </c>
    </row>
    <row r="19" spans="1:12" x14ac:dyDescent="0.25">
      <c r="A19">
        <v>2050</v>
      </c>
      <c r="B19">
        <v>0</v>
      </c>
      <c r="C19">
        <f t="shared" si="3"/>
        <v>0</v>
      </c>
      <c r="D19">
        <f t="shared" si="4"/>
        <v>474.18677475115379</v>
      </c>
      <c r="I19">
        <f t="shared" si="5"/>
        <v>2050</v>
      </c>
      <c r="J19">
        <v>210.88736617017318</v>
      </c>
      <c r="K19">
        <v>0</v>
      </c>
      <c r="L19">
        <v>100000</v>
      </c>
    </row>
    <row r="20" spans="1:12" x14ac:dyDescent="0.25">
      <c r="A20" t="s">
        <v>5</v>
      </c>
      <c r="B20" t="s">
        <v>43</v>
      </c>
      <c r="J20" t="s">
        <v>52</v>
      </c>
      <c r="K20" t="s">
        <v>50</v>
      </c>
      <c r="L2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 Parameters</vt:lpstr>
      <vt:lpstr>Learning Rates</vt:lpstr>
      <vt:lpstr>S2</vt:lpstr>
      <vt:lpstr>verify-2025</vt:lpstr>
      <vt:lpstr>Procurement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2025-10-17T13:30:05Z</dcterms:modified>
</cp:coreProperties>
</file>