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GCAM-CDR-policy\building_xml\inputs\"/>
    </mc:Choice>
  </mc:AlternateContent>
  <xr:revisionPtr revIDLastSave="0" documentId="8_{835A60F3-56E8-4B5B-93AB-DC3240EC0F38}" xr6:coauthVersionLast="47" xr6:coauthVersionMax="47" xr10:uidLastSave="{00000000-0000-0000-0000-000000000000}"/>
  <bookViews>
    <workbookView xWindow="-105" yWindow="0" windowWidth="14610" windowHeight="17385" xr2:uid="{DF30C629-ABD0-40E4-96C4-221FB08C6D9A}"/>
  </bookViews>
  <sheets>
    <sheet name="NDC" sheetId="1" r:id="rId1"/>
    <sheet name="1.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S12" i="2"/>
  <c r="T12" i="2"/>
  <c r="U12" i="2"/>
  <c r="V12" i="2"/>
  <c r="W12" i="2"/>
  <c r="X12" i="2"/>
  <c r="Y12" i="2"/>
  <c r="Z12" i="2"/>
  <c r="AA12" i="2"/>
  <c r="AB12" i="2"/>
  <c r="S13" i="2"/>
  <c r="T13" i="2"/>
  <c r="U13" i="2"/>
  <c r="V13" i="2"/>
  <c r="W13" i="2"/>
  <c r="X13" i="2"/>
  <c r="Y13" i="2"/>
  <c r="Z13" i="2"/>
  <c r="AA13" i="2"/>
  <c r="AB13" i="2"/>
  <c r="S14" i="2"/>
  <c r="T14" i="2"/>
  <c r="U14" i="2"/>
  <c r="V14" i="2"/>
  <c r="W14" i="2"/>
  <c r="X14" i="2"/>
  <c r="Y14" i="2"/>
  <c r="Z14" i="2"/>
  <c r="AA14" i="2"/>
  <c r="AB14" i="2"/>
  <c r="R13" i="2"/>
  <c r="R14" i="2"/>
  <c r="R12" i="2"/>
  <c r="S7" i="2"/>
  <c r="T7" i="2"/>
  <c r="U7" i="2"/>
  <c r="V7" i="2"/>
  <c r="W7" i="2"/>
  <c r="X7" i="2"/>
  <c r="Y7" i="2"/>
  <c r="Z7" i="2"/>
  <c r="AA7" i="2"/>
  <c r="AB7" i="2"/>
  <c r="S8" i="2"/>
  <c r="T8" i="2"/>
  <c r="U8" i="2"/>
  <c r="V8" i="2"/>
  <c r="W8" i="2"/>
  <c r="X8" i="2"/>
  <c r="Y8" i="2"/>
  <c r="Z8" i="2"/>
  <c r="AA8" i="2"/>
  <c r="AB8" i="2"/>
  <c r="S9" i="2"/>
  <c r="T9" i="2"/>
  <c r="U9" i="2"/>
  <c r="V9" i="2"/>
  <c r="W9" i="2"/>
  <c r="X9" i="2"/>
  <c r="Y9" i="2"/>
  <c r="Z9" i="2"/>
  <c r="AA9" i="2"/>
  <c r="AB9" i="2"/>
  <c r="R8" i="2"/>
  <c r="R9" i="2"/>
  <c r="R7" i="2"/>
  <c r="S2" i="2"/>
  <c r="T2" i="2"/>
  <c r="U2" i="2"/>
  <c r="V2" i="2"/>
  <c r="W2" i="2"/>
  <c r="X2" i="2"/>
  <c r="Y2" i="2"/>
  <c r="Z2" i="2"/>
  <c r="AA2" i="2"/>
  <c r="AB2" i="2"/>
  <c r="S3" i="2"/>
  <c r="T3" i="2"/>
  <c r="U3" i="2"/>
  <c r="V3" i="2"/>
  <c r="W3" i="2"/>
  <c r="X3" i="2"/>
  <c r="Y3" i="2"/>
  <c r="Z3" i="2"/>
  <c r="AA3" i="2"/>
  <c r="AB3" i="2"/>
  <c r="S4" i="2"/>
  <c r="T4" i="2"/>
  <c r="U4" i="2"/>
  <c r="V4" i="2"/>
  <c r="W4" i="2"/>
  <c r="X4" i="2"/>
  <c r="Y4" i="2"/>
  <c r="Z4" i="2"/>
  <c r="AA4" i="2"/>
  <c r="AB4" i="2"/>
  <c r="R4" i="2"/>
  <c r="R2" i="2"/>
  <c r="AB22" i="1"/>
  <c r="AA22" i="1"/>
  <c r="Z22" i="1"/>
  <c r="Y22" i="1"/>
  <c r="X22" i="1"/>
  <c r="W22" i="1"/>
  <c r="V22" i="1"/>
  <c r="U22" i="1"/>
  <c r="T22" i="1"/>
  <c r="S22" i="1"/>
  <c r="R22" i="1"/>
  <c r="AB21" i="1"/>
  <c r="AA21" i="1"/>
  <c r="Z21" i="1"/>
  <c r="Y21" i="1"/>
  <c r="X21" i="1"/>
  <c r="W21" i="1"/>
  <c r="V21" i="1"/>
  <c r="U21" i="1"/>
  <c r="T21" i="1"/>
  <c r="S21" i="1"/>
  <c r="R21" i="1"/>
  <c r="AB20" i="1"/>
  <c r="AA20" i="1"/>
  <c r="Z20" i="1"/>
  <c r="Y20" i="1"/>
  <c r="X20" i="1"/>
  <c r="W20" i="1"/>
  <c r="V20" i="1"/>
  <c r="U20" i="1"/>
  <c r="T20" i="1"/>
  <c r="S20" i="1"/>
  <c r="R20" i="1"/>
  <c r="AB19" i="1"/>
  <c r="AA19" i="1"/>
  <c r="Z19" i="1"/>
  <c r="Y19" i="1"/>
  <c r="X19" i="1"/>
  <c r="W19" i="1"/>
  <c r="V19" i="1"/>
  <c r="U19" i="1"/>
  <c r="T19" i="1"/>
  <c r="S19" i="1"/>
  <c r="R19" i="1"/>
  <c r="AB18" i="1"/>
  <c r="AA18" i="1"/>
  <c r="Z18" i="1"/>
  <c r="Y18" i="1"/>
  <c r="X18" i="1"/>
  <c r="W18" i="1"/>
  <c r="V18" i="1"/>
  <c r="U18" i="1"/>
  <c r="T18" i="1"/>
  <c r="S18" i="1"/>
  <c r="R18" i="1"/>
  <c r="S10" i="1"/>
  <c r="T10" i="1"/>
  <c r="U10" i="1"/>
  <c r="V10" i="1"/>
  <c r="W10" i="1"/>
  <c r="X10" i="1"/>
  <c r="Y10" i="1"/>
  <c r="Z10" i="1"/>
  <c r="AA10" i="1"/>
  <c r="AB10" i="1"/>
  <c r="S11" i="1"/>
  <c r="T11" i="1"/>
  <c r="U11" i="1"/>
  <c r="V11" i="1"/>
  <c r="W11" i="1"/>
  <c r="X11" i="1"/>
  <c r="Y11" i="1"/>
  <c r="Z11" i="1"/>
  <c r="AA11" i="1"/>
  <c r="AB11" i="1"/>
  <c r="S12" i="1"/>
  <c r="T12" i="1"/>
  <c r="U12" i="1"/>
  <c r="V12" i="1"/>
  <c r="W12" i="1"/>
  <c r="X12" i="1"/>
  <c r="Y12" i="1"/>
  <c r="Z12" i="1"/>
  <c r="AA12" i="1"/>
  <c r="AB12" i="1"/>
  <c r="S13" i="1"/>
  <c r="T13" i="1"/>
  <c r="U13" i="1"/>
  <c r="V13" i="1"/>
  <c r="W13" i="1"/>
  <c r="X13" i="1"/>
  <c r="Y13" i="1"/>
  <c r="Z13" i="1"/>
  <c r="AA13" i="1"/>
  <c r="AB13" i="1"/>
  <c r="S14" i="1"/>
  <c r="T14" i="1"/>
  <c r="U14" i="1"/>
  <c r="V14" i="1"/>
  <c r="W14" i="1"/>
  <c r="X14" i="1"/>
  <c r="Y14" i="1"/>
  <c r="Z14" i="1"/>
  <c r="AA14" i="1"/>
  <c r="AB14" i="1"/>
  <c r="R11" i="1"/>
  <c r="R12" i="1"/>
  <c r="R13" i="1"/>
  <c r="R14" i="1"/>
  <c r="R10" i="1"/>
  <c r="S2" i="1"/>
  <c r="T2" i="1"/>
  <c r="U2" i="1"/>
  <c r="V2" i="1"/>
  <c r="W2" i="1"/>
  <c r="X2" i="1"/>
  <c r="Y2" i="1"/>
  <c r="Z2" i="1"/>
  <c r="AA2" i="1"/>
  <c r="AB2" i="1"/>
  <c r="S3" i="1"/>
  <c r="T3" i="1"/>
  <c r="U3" i="1"/>
  <c r="V3" i="1"/>
  <c r="W3" i="1"/>
  <c r="X3" i="1"/>
  <c r="Y3" i="1"/>
  <c r="Z3" i="1"/>
  <c r="AA3" i="1"/>
  <c r="AB3" i="1"/>
  <c r="S4" i="1"/>
  <c r="T4" i="1"/>
  <c r="U4" i="1"/>
  <c r="V4" i="1"/>
  <c r="W4" i="1"/>
  <c r="X4" i="1"/>
  <c r="Y4" i="1"/>
  <c r="Z4" i="1"/>
  <c r="AA4" i="1"/>
  <c r="AB4" i="1"/>
  <c r="S5" i="1"/>
  <c r="T5" i="1"/>
  <c r="U5" i="1"/>
  <c r="V5" i="1"/>
  <c r="W5" i="1"/>
  <c r="X5" i="1"/>
  <c r="Y5" i="1"/>
  <c r="Z5" i="1"/>
  <c r="AA5" i="1"/>
  <c r="AB5" i="1"/>
  <c r="S6" i="1"/>
  <c r="T6" i="1"/>
  <c r="U6" i="1"/>
  <c r="V6" i="1"/>
  <c r="W6" i="1"/>
  <c r="X6" i="1"/>
  <c r="Y6" i="1"/>
  <c r="Z6" i="1"/>
  <c r="AA6" i="1"/>
  <c r="AB6" i="1"/>
  <c r="R3" i="1"/>
  <c r="R4" i="1"/>
  <c r="R5" i="1"/>
  <c r="R6" i="1"/>
  <c r="R2" i="1"/>
</calcChain>
</file>

<file path=xl/sharedStrings.xml><?xml version="1.0" encoding="utf-8"?>
<sst xmlns="http://schemas.openxmlformats.org/spreadsheetml/2006/main" count="146" uniqueCount="19">
  <si>
    <t>Region</t>
  </si>
  <si>
    <t>Model - Scenario</t>
  </si>
  <si>
    <t>Variable</t>
  </si>
  <si>
    <t>Unit</t>
  </si>
  <si>
    <t>World</t>
  </si>
  <si>
    <t>AIM/CGE - SSP2-34</t>
  </si>
  <si>
    <t>Price|Carbon</t>
  </si>
  <si>
    <t>US$2005/t CO2</t>
  </si>
  <si>
    <t>GCAM4 - SSP2-34</t>
  </si>
  <si>
    <t>IMAGE - SSP2-34</t>
  </si>
  <si>
    <t>REMIND-MAGPIE - SSP2-34</t>
  </si>
  <si>
    <t>WITCH-GLOBIOM - SSP2-34</t>
  </si>
  <si>
    <t>Emissions|CO2|Carbon Capture and Storage</t>
  </si>
  <si>
    <t>Mt CO2/yr</t>
  </si>
  <si>
    <t>Emissions|CO2</t>
  </si>
  <si>
    <t>USD$2025/t CO2</t>
  </si>
  <si>
    <t>AIM/CGE - SSP2-19</t>
  </si>
  <si>
    <t>GCAM4 - SSP2-19</t>
  </si>
  <si>
    <t>REMIND-MAGPIE - SSP2-19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</si>
</sst>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719E-85DD-43EF-BAB3-E07986A94934}">
  <dimension ref="A1:AB22"/>
  <sheetViews>
    <sheetView tabSelected="1" workbookViewId="0">
      <selection activeCell="X26" sqref="X26"/>
    </sheetView>
  </sheetViews>
  <sheetFormatPr defaultRowHeight="15" x14ac:dyDescent="0.25"/>
  <cols>
    <col min="1" max="1" width="7.28515625" bestFit="1" customWidth="1"/>
    <col min="2" max="2" width="25.5703125" customWidth="1"/>
    <col min="3" max="3" width="57.7109375" customWidth="1"/>
    <col min="4" max="4" width="20" customWidth="1"/>
    <col min="17" max="17" width="1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2005</v>
      </c>
      <c r="F1" s="1">
        <v>2010</v>
      </c>
      <c r="G1" s="1">
        <v>2020</v>
      </c>
      <c r="H1" s="1">
        <v>2030</v>
      </c>
      <c r="I1" s="1">
        <v>2040</v>
      </c>
      <c r="J1" s="1">
        <v>2050</v>
      </c>
      <c r="K1" s="1">
        <v>2060</v>
      </c>
      <c r="L1" s="1">
        <v>2070</v>
      </c>
      <c r="M1" s="1">
        <v>2080</v>
      </c>
      <c r="N1" s="1">
        <v>2090</v>
      </c>
      <c r="O1" s="1">
        <v>2100</v>
      </c>
      <c r="Q1" s="4" t="s">
        <v>3</v>
      </c>
      <c r="R1" s="1">
        <v>2005</v>
      </c>
      <c r="S1" s="1">
        <v>2010</v>
      </c>
      <c r="T1" s="1">
        <v>2020</v>
      </c>
      <c r="U1" s="1">
        <v>2030</v>
      </c>
      <c r="V1" s="1">
        <v>2040</v>
      </c>
      <c r="W1" s="1">
        <v>2050</v>
      </c>
      <c r="X1" s="1">
        <v>2060</v>
      </c>
      <c r="Y1" s="1">
        <v>2070</v>
      </c>
      <c r="Z1" s="1">
        <v>2080</v>
      </c>
      <c r="AA1" s="1">
        <v>2090</v>
      </c>
      <c r="AB1" s="1">
        <v>2100</v>
      </c>
    </row>
    <row r="2" spans="1:28" x14ac:dyDescent="0.25">
      <c r="A2" s="2" t="s">
        <v>4</v>
      </c>
      <c r="B2" s="2" t="s">
        <v>5</v>
      </c>
      <c r="C2" s="2" t="s">
        <v>6</v>
      </c>
      <c r="D2" s="2" t="s">
        <v>7</v>
      </c>
      <c r="E2" s="3">
        <v>0</v>
      </c>
      <c r="F2" s="3">
        <v>6.1310000000000002</v>
      </c>
      <c r="G2" s="3">
        <v>15.615</v>
      </c>
      <c r="H2" s="3">
        <v>32.340000000000003</v>
      </c>
      <c r="I2" s="3">
        <v>58.643000000000001</v>
      </c>
      <c r="J2" s="3">
        <v>74.739999999999995</v>
      </c>
      <c r="K2" s="3">
        <v>102.876</v>
      </c>
      <c r="L2" s="3">
        <v>132.61799999999999</v>
      </c>
      <c r="M2" s="3">
        <v>169.33799999999999</v>
      </c>
      <c r="N2" s="3">
        <v>206.744</v>
      </c>
      <c r="O2" s="3">
        <v>248.251</v>
      </c>
      <c r="Q2" t="s">
        <v>15</v>
      </c>
      <c r="R2">
        <f>E2*1.67</f>
        <v>0</v>
      </c>
      <c r="S2">
        <f t="shared" ref="S2:AB6" si="0">F2*1.67</f>
        <v>10.238770000000001</v>
      </c>
      <c r="T2">
        <f t="shared" si="0"/>
        <v>26.07705</v>
      </c>
      <c r="U2">
        <f t="shared" si="0"/>
        <v>54.007800000000003</v>
      </c>
      <c r="V2">
        <f t="shared" si="0"/>
        <v>97.933809999999994</v>
      </c>
      <c r="W2">
        <f t="shared" si="0"/>
        <v>124.81579999999998</v>
      </c>
      <c r="X2">
        <f t="shared" si="0"/>
        <v>171.80292</v>
      </c>
      <c r="Y2">
        <f t="shared" si="0"/>
        <v>221.47205999999997</v>
      </c>
      <c r="Z2">
        <f t="shared" si="0"/>
        <v>282.79445999999996</v>
      </c>
      <c r="AA2">
        <f t="shared" si="0"/>
        <v>345.26247999999998</v>
      </c>
      <c r="AB2">
        <f t="shared" si="0"/>
        <v>414.57916999999998</v>
      </c>
    </row>
    <row r="3" spans="1:28" x14ac:dyDescent="0.25">
      <c r="A3" s="2" t="s">
        <v>4</v>
      </c>
      <c r="B3" s="2" t="s">
        <v>8</v>
      </c>
      <c r="C3" s="2" t="s">
        <v>6</v>
      </c>
      <c r="D3" s="2" t="s">
        <v>7</v>
      </c>
      <c r="E3" s="3"/>
      <c r="F3" s="3">
        <v>0</v>
      </c>
      <c r="G3" s="3">
        <v>0</v>
      </c>
      <c r="H3" s="3">
        <v>0</v>
      </c>
      <c r="I3" s="3">
        <v>43.677999999999997</v>
      </c>
      <c r="J3" s="3">
        <v>71.147000000000006</v>
      </c>
      <c r="K3" s="3">
        <v>115.89100000000001</v>
      </c>
      <c r="L3" s="3">
        <v>188.77500000000001</v>
      </c>
      <c r="M3" s="3">
        <v>307.49400000000003</v>
      </c>
      <c r="N3" s="3">
        <v>500.87599999999998</v>
      </c>
      <c r="O3" s="3">
        <v>815.87400000000002</v>
      </c>
      <c r="Q3" t="s">
        <v>15</v>
      </c>
      <c r="R3">
        <f t="shared" ref="R3:R6" si="1">E3*1.67</f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72.94225999999999</v>
      </c>
      <c r="W3">
        <f t="shared" si="0"/>
        <v>118.81549000000001</v>
      </c>
      <c r="X3">
        <f t="shared" si="0"/>
        <v>193.53797</v>
      </c>
      <c r="Y3">
        <f t="shared" si="0"/>
        <v>315.25425000000001</v>
      </c>
      <c r="Z3">
        <f t="shared" si="0"/>
        <v>513.51498000000004</v>
      </c>
      <c r="AA3">
        <f t="shared" si="0"/>
        <v>836.46291999999994</v>
      </c>
      <c r="AB3">
        <f t="shared" si="0"/>
        <v>1362.5095799999999</v>
      </c>
    </row>
    <row r="4" spans="1:28" x14ac:dyDescent="0.25">
      <c r="A4" s="2" t="s">
        <v>4</v>
      </c>
      <c r="B4" s="2" t="s">
        <v>9</v>
      </c>
      <c r="C4" s="2" t="s">
        <v>6</v>
      </c>
      <c r="D4" s="2" t="s">
        <v>7</v>
      </c>
      <c r="E4" s="3">
        <v>0</v>
      </c>
      <c r="F4" s="3">
        <v>0</v>
      </c>
      <c r="G4" s="3">
        <v>0</v>
      </c>
      <c r="H4" s="3">
        <v>0</v>
      </c>
      <c r="I4" s="3">
        <v>49.396999999999998</v>
      </c>
      <c r="J4" s="3">
        <v>98.097999999999999</v>
      </c>
      <c r="K4" s="3">
        <v>156.822</v>
      </c>
      <c r="L4" s="3">
        <v>180.001</v>
      </c>
      <c r="M4" s="3">
        <v>375.32400000000001</v>
      </c>
      <c r="N4" s="3">
        <v>517.72699999999998</v>
      </c>
      <c r="O4" s="3">
        <v>302.48599999999999</v>
      </c>
      <c r="Q4" t="s">
        <v>15</v>
      </c>
      <c r="R4">
        <f t="shared" si="1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82.492989999999992</v>
      </c>
      <c r="W4">
        <f t="shared" si="0"/>
        <v>163.82365999999999</v>
      </c>
      <c r="X4">
        <f t="shared" si="0"/>
        <v>261.89274</v>
      </c>
      <c r="Y4">
        <f t="shared" si="0"/>
        <v>300.60167000000001</v>
      </c>
      <c r="Z4">
        <f t="shared" si="0"/>
        <v>626.79107999999997</v>
      </c>
      <c r="AA4">
        <f t="shared" si="0"/>
        <v>864.60408999999993</v>
      </c>
      <c r="AB4">
        <f t="shared" si="0"/>
        <v>505.15161999999998</v>
      </c>
    </row>
    <row r="5" spans="1:28" x14ac:dyDescent="0.25">
      <c r="A5" s="2" t="s">
        <v>4</v>
      </c>
      <c r="B5" s="2" t="s">
        <v>10</v>
      </c>
      <c r="C5" s="2" t="s">
        <v>6</v>
      </c>
      <c r="D5" s="2" t="s">
        <v>7</v>
      </c>
      <c r="E5" s="3">
        <v>0</v>
      </c>
      <c r="F5" s="3">
        <v>0</v>
      </c>
      <c r="G5" s="3">
        <v>7.3330000000000002</v>
      </c>
      <c r="H5" s="3">
        <v>19.72</v>
      </c>
      <c r="I5" s="3">
        <v>49.91</v>
      </c>
      <c r="J5" s="3">
        <v>81.25</v>
      </c>
      <c r="K5" s="3">
        <v>143.9</v>
      </c>
      <c r="L5" s="3">
        <v>199</v>
      </c>
      <c r="M5" s="3">
        <v>322.7</v>
      </c>
      <c r="N5" s="3">
        <v>507.2</v>
      </c>
      <c r="O5" s="3">
        <v>790.5</v>
      </c>
      <c r="Q5" t="s">
        <v>15</v>
      </c>
      <c r="R5">
        <f t="shared" si="1"/>
        <v>0</v>
      </c>
      <c r="S5">
        <f t="shared" si="0"/>
        <v>0</v>
      </c>
      <c r="T5">
        <f t="shared" si="0"/>
        <v>12.24611</v>
      </c>
      <c r="U5">
        <f t="shared" si="0"/>
        <v>32.932399999999994</v>
      </c>
      <c r="V5">
        <f t="shared" si="0"/>
        <v>83.349699999999984</v>
      </c>
      <c r="W5">
        <f t="shared" si="0"/>
        <v>135.6875</v>
      </c>
      <c r="X5">
        <f t="shared" si="0"/>
        <v>240.31299999999999</v>
      </c>
      <c r="Y5">
        <f t="shared" si="0"/>
        <v>332.33</v>
      </c>
      <c r="Z5">
        <f t="shared" si="0"/>
        <v>538.90899999999999</v>
      </c>
      <c r="AA5">
        <f t="shared" si="0"/>
        <v>847.024</v>
      </c>
      <c r="AB5">
        <f t="shared" si="0"/>
        <v>1320.135</v>
      </c>
    </row>
    <row r="6" spans="1:28" x14ac:dyDescent="0.25">
      <c r="A6" s="2" t="s">
        <v>4</v>
      </c>
      <c r="B6" s="2" t="s">
        <v>11</v>
      </c>
      <c r="C6" s="2" t="s">
        <v>6</v>
      </c>
      <c r="D6" s="2" t="s">
        <v>7</v>
      </c>
      <c r="E6" s="3"/>
      <c r="F6" s="3"/>
      <c r="G6" s="3">
        <v>6.5890000000000004</v>
      </c>
      <c r="H6" s="3">
        <v>77.510999999999996</v>
      </c>
      <c r="I6" s="3">
        <v>122.83199999999999</v>
      </c>
      <c r="J6" s="3">
        <v>215.345</v>
      </c>
      <c r="K6" s="3">
        <v>354.52699999999999</v>
      </c>
      <c r="L6" s="3">
        <v>556.6</v>
      </c>
      <c r="M6" s="3">
        <v>841.11699999999996</v>
      </c>
      <c r="N6" s="3">
        <v>1231.106</v>
      </c>
      <c r="O6" s="3">
        <v>1753.0809999999999</v>
      </c>
      <c r="Q6" t="s">
        <v>15</v>
      </c>
      <c r="R6">
        <f t="shared" si="1"/>
        <v>0</v>
      </c>
      <c r="S6">
        <f t="shared" si="0"/>
        <v>0</v>
      </c>
      <c r="T6">
        <f t="shared" si="0"/>
        <v>11.003629999999999</v>
      </c>
      <c r="U6">
        <f t="shared" si="0"/>
        <v>129.44336999999999</v>
      </c>
      <c r="V6">
        <f t="shared" si="0"/>
        <v>205.12943999999999</v>
      </c>
      <c r="W6">
        <f t="shared" si="0"/>
        <v>359.62615</v>
      </c>
      <c r="X6">
        <f t="shared" si="0"/>
        <v>592.06008999999995</v>
      </c>
      <c r="Y6">
        <f t="shared" si="0"/>
        <v>929.52200000000005</v>
      </c>
      <c r="Z6">
        <f t="shared" si="0"/>
        <v>1404.6653899999999</v>
      </c>
      <c r="AA6">
        <f t="shared" si="0"/>
        <v>2055.9470200000001</v>
      </c>
      <c r="AB6">
        <f t="shared" si="0"/>
        <v>2927.6452699999995</v>
      </c>
    </row>
    <row r="9" spans="1:28" x14ac:dyDescent="0.25">
      <c r="A9" s="1" t="s">
        <v>0</v>
      </c>
      <c r="B9" s="1" t="s">
        <v>1</v>
      </c>
      <c r="C9" s="1" t="s">
        <v>2</v>
      </c>
      <c r="D9" s="1" t="s">
        <v>3</v>
      </c>
      <c r="E9" s="1">
        <v>2005</v>
      </c>
      <c r="F9" s="1">
        <v>2010</v>
      </c>
      <c r="G9" s="1">
        <v>2020</v>
      </c>
      <c r="H9" s="1">
        <v>2030</v>
      </c>
      <c r="I9" s="1">
        <v>2040</v>
      </c>
      <c r="J9" s="1">
        <v>2050</v>
      </c>
      <c r="K9" s="1">
        <v>2060</v>
      </c>
      <c r="L9" s="1">
        <v>2070</v>
      </c>
      <c r="M9" s="1">
        <v>2080</v>
      </c>
      <c r="N9" s="1">
        <v>2090</v>
      </c>
      <c r="O9" s="1">
        <v>2100</v>
      </c>
    </row>
    <row r="10" spans="1:28" x14ac:dyDescent="0.25">
      <c r="A10" s="2" t="s">
        <v>4</v>
      </c>
      <c r="B10" s="2" t="s">
        <v>5</v>
      </c>
      <c r="C10" s="2" t="s">
        <v>12</v>
      </c>
      <c r="D10" s="2" t="s">
        <v>13</v>
      </c>
      <c r="E10" s="3">
        <v>0</v>
      </c>
      <c r="F10" s="3">
        <v>0</v>
      </c>
      <c r="G10" s="3">
        <v>0</v>
      </c>
      <c r="H10" s="3">
        <v>404.48399999999998</v>
      </c>
      <c r="I10" s="3">
        <v>3314.2640000000001</v>
      </c>
      <c r="J10" s="3">
        <v>7996.7190000000001</v>
      </c>
      <c r="K10" s="3">
        <v>14266.959000000001</v>
      </c>
      <c r="L10" s="3">
        <v>18548.474999999999</v>
      </c>
      <c r="M10" s="3">
        <v>21405.460999999999</v>
      </c>
      <c r="N10" s="3">
        <v>22750.365000000002</v>
      </c>
      <c r="O10" s="3">
        <v>24146.946</v>
      </c>
      <c r="Q10" s="2" t="s">
        <v>13</v>
      </c>
      <c r="R10">
        <f>E10</f>
        <v>0</v>
      </c>
      <c r="S10">
        <f t="shared" ref="S10:AB14" si="2">F10</f>
        <v>0</v>
      </c>
      <c r="T10">
        <f t="shared" si="2"/>
        <v>0</v>
      </c>
      <c r="U10">
        <f t="shared" si="2"/>
        <v>404.48399999999998</v>
      </c>
      <c r="V10">
        <f t="shared" si="2"/>
        <v>3314.2640000000001</v>
      </c>
      <c r="W10">
        <f t="shared" si="2"/>
        <v>7996.7190000000001</v>
      </c>
      <c r="X10">
        <f t="shared" si="2"/>
        <v>14266.959000000001</v>
      </c>
      <c r="Y10">
        <f t="shared" si="2"/>
        <v>18548.474999999999</v>
      </c>
      <c r="Z10">
        <f t="shared" si="2"/>
        <v>21405.460999999999</v>
      </c>
      <c r="AA10">
        <f t="shared" si="2"/>
        <v>22750.365000000002</v>
      </c>
      <c r="AB10">
        <f t="shared" si="2"/>
        <v>24146.946</v>
      </c>
    </row>
    <row r="11" spans="1:28" x14ac:dyDescent="0.25">
      <c r="A11" s="2" t="s">
        <v>4</v>
      </c>
      <c r="B11" s="2" t="s">
        <v>8</v>
      </c>
      <c r="C11" s="2" t="s">
        <v>12</v>
      </c>
      <c r="D11" s="2" t="s">
        <v>13</v>
      </c>
      <c r="E11" s="3"/>
      <c r="F11" s="3">
        <v>1813.3150000000001</v>
      </c>
      <c r="G11" s="3">
        <v>2539.3620000000001</v>
      </c>
      <c r="H11" s="3">
        <v>3488.4209999999998</v>
      </c>
      <c r="I11" s="3">
        <v>5788.7169999999996</v>
      </c>
      <c r="J11" s="3">
        <v>9794.48</v>
      </c>
      <c r="K11" s="3">
        <v>14039.781000000001</v>
      </c>
      <c r="L11" s="3">
        <v>17881.796999999999</v>
      </c>
      <c r="M11" s="3">
        <v>21823.41</v>
      </c>
      <c r="N11" s="3">
        <v>24310.683000000001</v>
      </c>
      <c r="O11" s="3">
        <v>25691.698</v>
      </c>
      <c r="Q11" s="2" t="s">
        <v>13</v>
      </c>
      <c r="R11">
        <f t="shared" ref="R11:R14" si="3">E11</f>
        <v>0</v>
      </c>
      <c r="S11">
        <f t="shared" si="2"/>
        <v>1813.3150000000001</v>
      </c>
      <c r="T11">
        <f t="shared" si="2"/>
        <v>2539.3620000000001</v>
      </c>
      <c r="U11">
        <f t="shared" si="2"/>
        <v>3488.4209999999998</v>
      </c>
      <c r="V11">
        <f t="shared" si="2"/>
        <v>5788.7169999999996</v>
      </c>
      <c r="W11">
        <f t="shared" si="2"/>
        <v>9794.48</v>
      </c>
      <c r="X11">
        <f t="shared" si="2"/>
        <v>14039.781000000001</v>
      </c>
      <c r="Y11">
        <f t="shared" si="2"/>
        <v>17881.796999999999</v>
      </c>
      <c r="Z11">
        <f t="shared" si="2"/>
        <v>21823.41</v>
      </c>
      <c r="AA11">
        <f t="shared" si="2"/>
        <v>24310.683000000001</v>
      </c>
      <c r="AB11">
        <f t="shared" si="2"/>
        <v>25691.698</v>
      </c>
    </row>
    <row r="12" spans="1:28" x14ac:dyDescent="0.25">
      <c r="A12" s="2" t="s">
        <v>4</v>
      </c>
      <c r="B12" s="2" t="s">
        <v>9</v>
      </c>
      <c r="C12" s="2" t="s">
        <v>12</v>
      </c>
      <c r="D12" s="2" t="s">
        <v>13</v>
      </c>
      <c r="E12" s="3">
        <v>0</v>
      </c>
      <c r="F12" s="3">
        <v>0</v>
      </c>
      <c r="G12" s="3">
        <v>3.2610000000000001</v>
      </c>
      <c r="H12" s="3">
        <v>360.31900000000002</v>
      </c>
      <c r="I12" s="3">
        <v>2276.4360000000001</v>
      </c>
      <c r="J12" s="3">
        <v>4677.5860000000002</v>
      </c>
      <c r="K12" s="3">
        <v>8551.5290000000005</v>
      </c>
      <c r="L12" s="3">
        <v>11140.517</v>
      </c>
      <c r="M12" s="3">
        <v>14094.723</v>
      </c>
      <c r="N12" s="3">
        <v>19365.634999999998</v>
      </c>
      <c r="O12" s="3">
        <v>23038.691999999999</v>
      </c>
      <c r="Q12" s="2" t="s">
        <v>13</v>
      </c>
      <c r="R12">
        <f t="shared" si="3"/>
        <v>0</v>
      </c>
      <c r="S12">
        <f t="shared" si="2"/>
        <v>0</v>
      </c>
      <c r="T12">
        <f t="shared" si="2"/>
        <v>3.2610000000000001</v>
      </c>
      <c r="U12">
        <f t="shared" si="2"/>
        <v>360.31900000000002</v>
      </c>
      <c r="V12">
        <f t="shared" si="2"/>
        <v>2276.4360000000001</v>
      </c>
      <c r="W12">
        <f t="shared" si="2"/>
        <v>4677.5860000000002</v>
      </c>
      <c r="X12">
        <f t="shared" si="2"/>
        <v>8551.5290000000005</v>
      </c>
      <c r="Y12">
        <f t="shared" si="2"/>
        <v>11140.517</v>
      </c>
      <c r="Z12">
        <f t="shared" si="2"/>
        <v>14094.723</v>
      </c>
      <c r="AA12">
        <f t="shared" si="2"/>
        <v>19365.634999999998</v>
      </c>
      <c r="AB12">
        <f t="shared" si="2"/>
        <v>23038.691999999999</v>
      </c>
    </row>
    <row r="13" spans="1:28" x14ac:dyDescent="0.25">
      <c r="A13" s="2" t="s">
        <v>4</v>
      </c>
      <c r="B13" s="2" t="s">
        <v>10</v>
      </c>
      <c r="C13" s="2" t="s">
        <v>12</v>
      </c>
      <c r="D13" s="2" t="s">
        <v>13</v>
      </c>
      <c r="E13" s="3">
        <v>0</v>
      </c>
      <c r="F13" s="3">
        <v>0</v>
      </c>
      <c r="G13" s="3">
        <v>2.4900000000000002</v>
      </c>
      <c r="H13" s="3">
        <v>239</v>
      </c>
      <c r="I13" s="3">
        <v>2150</v>
      </c>
      <c r="J13" s="3">
        <v>7190</v>
      </c>
      <c r="K13" s="3">
        <v>11700</v>
      </c>
      <c r="L13" s="3">
        <v>13800</v>
      </c>
      <c r="M13" s="3">
        <v>14300</v>
      </c>
      <c r="N13" s="3">
        <v>14400</v>
      </c>
      <c r="O13" s="3">
        <v>14600</v>
      </c>
      <c r="Q13" s="2" t="s">
        <v>13</v>
      </c>
      <c r="R13">
        <f t="shared" si="3"/>
        <v>0</v>
      </c>
      <c r="S13">
        <f t="shared" si="2"/>
        <v>0</v>
      </c>
      <c r="T13">
        <f t="shared" si="2"/>
        <v>2.4900000000000002</v>
      </c>
      <c r="U13">
        <f t="shared" si="2"/>
        <v>239</v>
      </c>
      <c r="V13">
        <f t="shared" si="2"/>
        <v>2150</v>
      </c>
      <c r="W13">
        <f t="shared" si="2"/>
        <v>7190</v>
      </c>
      <c r="X13">
        <f t="shared" si="2"/>
        <v>11700</v>
      </c>
      <c r="Y13">
        <f t="shared" si="2"/>
        <v>13800</v>
      </c>
      <c r="Z13">
        <f t="shared" si="2"/>
        <v>14300</v>
      </c>
      <c r="AA13">
        <f t="shared" si="2"/>
        <v>14400</v>
      </c>
      <c r="AB13">
        <f t="shared" si="2"/>
        <v>14600</v>
      </c>
    </row>
    <row r="14" spans="1:28" x14ac:dyDescent="0.25">
      <c r="A14" s="2" t="s">
        <v>4</v>
      </c>
      <c r="B14" s="2" t="s">
        <v>11</v>
      </c>
      <c r="C14" s="2" t="s">
        <v>12</v>
      </c>
      <c r="D14" s="2" t="s">
        <v>13</v>
      </c>
      <c r="E14" s="3">
        <v>3.0750000000000002</v>
      </c>
      <c r="F14" s="3">
        <v>1.3580000000000001</v>
      </c>
      <c r="G14" s="3">
        <v>199.113</v>
      </c>
      <c r="H14" s="3">
        <v>2331.0230000000001</v>
      </c>
      <c r="I14" s="3">
        <v>4560.2110000000002</v>
      </c>
      <c r="J14" s="3">
        <v>6738.6940000000004</v>
      </c>
      <c r="K14" s="3">
        <v>9106.8109999999997</v>
      </c>
      <c r="L14" s="3">
        <v>12868.552</v>
      </c>
      <c r="M14" s="3">
        <v>16221.647000000001</v>
      </c>
      <c r="N14" s="3">
        <v>20477.616000000002</v>
      </c>
      <c r="O14" s="3">
        <v>16482.092000000001</v>
      </c>
      <c r="Q14" s="2" t="s">
        <v>13</v>
      </c>
      <c r="R14">
        <f t="shared" si="3"/>
        <v>3.0750000000000002</v>
      </c>
      <c r="S14">
        <f t="shared" si="2"/>
        <v>1.3580000000000001</v>
      </c>
      <c r="T14">
        <f t="shared" si="2"/>
        <v>199.113</v>
      </c>
      <c r="U14">
        <f t="shared" si="2"/>
        <v>2331.0230000000001</v>
      </c>
      <c r="V14">
        <f t="shared" si="2"/>
        <v>4560.2110000000002</v>
      </c>
      <c r="W14">
        <f t="shared" si="2"/>
        <v>6738.6940000000004</v>
      </c>
      <c r="X14">
        <f t="shared" si="2"/>
        <v>9106.8109999999997</v>
      </c>
      <c r="Y14">
        <f t="shared" si="2"/>
        <v>12868.552</v>
      </c>
      <c r="Z14">
        <f t="shared" si="2"/>
        <v>16221.647000000001</v>
      </c>
      <c r="AA14">
        <f t="shared" si="2"/>
        <v>20477.616000000002</v>
      </c>
      <c r="AB14">
        <f t="shared" si="2"/>
        <v>16482.092000000001</v>
      </c>
    </row>
    <row r="17" spans="1:2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>
        <v>2005</v>
      </c>
      <c r="F17" s="1">
        <v>2010</v>
      </c>
      <c r="G17" s="1">
        <v>2020</v>
      </c>
      <c r="H17" s="1">
        <v>2030</v>
      </c>
      <c r="I17" s="1">
        <v>2040</v>
      </c>
      <c r="J17" s="1">
        <v>2050</v>
      </c>
      <c r="K17" s="1">
        <v>2060</v>
      </c>
      <c r="L17" s="1">
        <v>2070</v>
      </c>
      <c r="M17" s="1">
        <v>2080</v>
      </c>
      <c r="N17" s="1">
        <v>2090</v>
      </c>
      <c r="O17" s="1">
        <v>2100</v>
      </c>
    </row>
    <row r="18" spans="1:28" x14ac:dyDescent="0.25">
      <c r="A18" s="2" t="s">
        <v>4</v>
      </c>
      <c r="B18" s="2" t="s">
        <v>5</v>
      </c>
      <c r="C18" s="2" t="s">
        <v>14</v>
      </c>
      <c r="D18" s="2" t="s">
        <v>13</v>
      </c>
      <c r="E18" s="3">
        <v>34373.934999999998</v>
      </c>
      <c r="F18" s="3">
        <v>38251.875999999997</v>
      </c>
      <c r="G18" s="3">
        <v>43231.248</v>
      </c>
      <c r="H18" s="3">
        <v>38732.642</v>
      </c>
      <c r="I18" s="3">
        <v>31243.584999999999</v>
      </c>
      <c r="J18" s="3">
        <v>23706.942999999999</v>
      </c>
      <c r="K18" s="3">
        <v>17488.165000000001</v>
      </c>
      <c r="L18" s="3">
        <v>12730.67</v>
      </c>
      <c r="M18" s="3">
        <v>9444.6479999999992</v>
      </c>
      <c r="N18" s="3">
        <v>6695.9759999999997</v>
      </c>
      <c r="O18" s="3">
        <v>4235.4260000000004</v>
      </c>
      <c r="Q18" s="2" t="s">
        <v>13</v>
      </c>
      <c r="R18">
        <f>E18</f>
        <v>34373.934999999998</v>
      </c>
      <c r="S18">
        <f t="shared" ref="S18:S22" si="4">F18</f>
        <v>38251.875999999997</v>
      </c>
      <c r="T18">
        <f t="shared" ref="T18:T22" si="5">G18</f>
        <v>43231.248</v>
      </c>
      <c r="U18">
        <f t="shared" ref="U18:U22" si="6">H18</f>
        <v>38732.642</v>
      </c>
      <c r="V18">
        <f t="shared" ref="V18:V22" si="7">I18</f>
        <v>31243.584999999999</v>
      </c>
      <c r="W18">
        <f t="shared" ref="W18:W22" si="8">J18</f>
        <v>23706.942999999999</v>
      </c>
      <c r="X18">
        <f t="shared" ref="X18:X22" si="9">K18</f>
        <v>17488.165000000001</v>
      </c>
      <c r="Y18">
        <f t="shared" ref="Y18:Y22" si="10">L18</f>
        <v>12730.67</v>
      </c>
      <c r="Z18">
        <f t="shared" ref="Z18:Z22" si="11">M18</f>
        <v>9444.6479999999992</v>
      </c>
      <c r="AA18">
        <f t="shared" ref="AA18:AA22" si="12">N18</f>
        <v>6695.9759999999997</v>
      </c>
      <c r="AB18">
        <f t="shared" ref="AB18:AB22" si="13">O18</f>
        <v>4235.4260000000004</v>
      </c>
    </row>
    <row r="19" spans="1:28" x14ac:dyDescent="0.25">
      <c r="A19" s="2" t="s">
        <v>4</v>
      </c>
      <c r="B19" s="2" t="s">
        <v>8</v>
      </c>
      <c r="C19" s="2" t="s">
        <v>14</v>
      </c>
      <c r="D19" s="2" t="s">
        <v>13</v>
      </c>
      <c r="E19" s="3"/>
      <c r="F19" s="3">
        <v>35775.428</v>
      </c>
      <c r="G19" s="3">
        <v>39892.559000000001</v>
      </c>
      <c r="H19" s="3">
        <v>46337.379000000001</v>
      </c>
      <c r="I19" s="3">
        <v>39831.432000000001</v>
      </c>
      <c r="J19" s="3">
        <v>25420.395</v>
      </c>
      <c r="K19" s="3">
        <v>13747.066999999999</v>
      </c>
      <c r="L19" s="3">
        <v>7418.71</v>
      </c>
      <c r="M19" s="3">
        <v>2718.9470000000001</v>
      </c>
      <c r="N19" s="3">
        <v>-3427.4169999999999</v>
      </c>
      <c r="O19" s="3">
        <v>-10434.947</v>
      </c>
      <c r="Q19" s="2" t="s">
        <v>13</v>
      </c>
      <c r="R19">
        <f t="shared" ref="R19:R22" si="14">E19</f>
        <v>0</v>
      </c>
      <c r="S19">
        <f t="shared" si="4"/>
        <v>35775.428</v>
      </c>
      <c r="T19">
        <f t="shared" si="5"/>
        <v>39892.559000000001</v>
      </c>
      <c r="U19">
        <f t="shared" si="6"/>
        <v>46337.379000000001</v>
      </c>
      <c r="V19">
        <f t="shared" si="7"/>
        <v>39831.432000000001</v>
      </c>
      <c r="W19">
        <f t="shared" si="8"/>
        <v>25420.395</v>
      </c>
      <c r="X19">
        <f t="shared" si="9"/>
        <v>13747.066999999999</v>
      </c>
      <c r="Y19">
        <f t="shared" si="10"/>
        <v>7418.71</v>
      </c>
      <c r="Z19">
        <f t="shared" si="11"/>
        <v>2718.9470000000001</v>
      </c>
      <c r="AA19">
        <f t="shared" si="12"/>
        <v>-3427.4169999999999</v>
      </c>
      <c r="AB19">
        <f t="shared" si="13"/>
        <v>-10434.947</v>
      </c>
    </row>
    <row r="20" spans="1:28" x14ac:dyDescent="0.25">
      <c r="A20" s="2" t="s">
        <v>4</v>
      </c>
      <c r="B20" s="2" t="s">
        <v>9</v>
      </c>
      <c r="C20" s="2" t="s">
        <v>14</v>
      </c>
      <c r="D20" s="2" t="s">
        <v>13</v>
      </c>
      <c r="E20" s="3">
        <v>33182.728000000003</v>
      </c>
      <c r="F20" s="3">
        <v>35614.455000000002</v>
      </c>
      <c r="G20" s="3">
        <v>41210.949000000001</v>
      </c>
      <c r="H20" s="3">
        <v>39074.273999999998</v>
      </c>
      <c r="I20" s="3">
        <v>34068.127999999997</v>
      </c>
      <c r="J20" s="3">
        <v>25923.543000000001</v>
      </c>
      <c r="K20" s="3">
        <v>16112.019</v>
      </c>
      <c r="L20" s="3">
        <v>13371.31</v>
      </c>
      <c r="M20" s="3">
        <v>7137.8379999999997</v>
      </c>
      <c r="N20" s="3">
        <v>2880.9969999999998</v>
      </c>
      <c r="O20" s="3">
        <v>307.24</v>
      </c>
      <c r="Q20" s="2" t="s">
        <v>13</v>
      </c>
      <c r="R20">
        <f t="shared" si="14"/>
        <v>33182.728000000003</v>
      </c>
      <c r="S20">
        <f t="shared" si="4"/>
        <v>35614.455000000002</v>
      </c>
      <c r="T20">
        <f t="shared" si="5"/>
        <v>41210.949000000001</v>
      </c>
      <c r="U20">
        <f t="shared" si="6"/>
        <v>39074.273999999998</v>
      </c>
      <c r="V20">
        <f t="shared" si="7"/>
        <v>34068.127999999997</v>
      </c>
      <c r="W20">
        <f t="shared" si="8"/>
        <v>25923.543000000001</v>
      </c>
      <c r="X20">
        <f t="shared" si="9"/>
        <v>16112.019</v>
      </c>
      <c r="Y20">
        <f t="shared" si="10"/>
        <v>13371.31</v>
      </c>
      <c r="Z20">
        <f t="shared" si="11"/>
        <v>7137.8379999999997</v>
      </c>
      <c r="AA20">
        <f t="shared" si="12"/>
        <v>2880.9969999999998</v>
      </c>
      <c r="AB20">
        <f t="shared" si="13"/>
        <v>307.24</v>
      </c>
    </row>
    <row r="21" spans="1:28" x14ac:dyDescent="0.25">
      <c r="A21" s="2" t="s">
        <v>4</v>
      </c>
      <c r="B21" s="2" t="s">
        <v>10</v>
      </c>
      <c r="C21" s="2" t="s">
        <v>14</v>
      </c>
      <c r="D21" s="2" t="s">
        <v>13</v>
      </c>
      <c r="E21" s="3">
        <v>35075.487999999998</v>
      </c>
      <c r="F21" s="3">
        <v>35595.945</v>
      </c>
      <c r="G21" s="3">
        <v>43269.097999999998</v>
      </c>
      <c r="H21" s="3">
        <v>40887.769999999997</v>
      </c>
      <c r="I21" s="3">
        <v>34330.421000000002</v>
      </c>
      <c r="J21" s="3">
        <v>29421.453000000001</v>
      </c>
      <c r="K21" s="3">
        <v>24096.903999999999</v>
      </c>
      <c r="L21" s="3">
        <v>17296.798999999999</v>
      </c>
      <c r="M21" s="3">
        <v>9211.8029999999999</v>
      </c>
      <c r="N21" s="3">
        <v>355.36</v>
      </c>
      <c r="O21" s="3">
        <v>-5228.2259999999997</v>
      </c>
      <c r="Q21" s="2" t="s">
        <v>13</v>
      </c>
      <c r="R21">
        <f t="shared" si="14"/>
        <v>35075.487999999998</v>
      </c>
      <c r="S21">
        <f t="shared" si="4"/>
        <v>35595.945</v>
      </c>
      <c r="T21">
        <f t="shared" si="5"/>
        <v>43269.097999999998</v>
      </c>
      <c r="U21">
        <f t="shared" si="6"/>
        <v>40887.769999999997</v>
      </c>
      <c r="V21">
        <f t="shared" si="7"/>
        <v>34330.421000000002</v>
      </c>
      <c r="W21">
        <f t="shared" si="8"/>
        <v>29421.453000000001</v>
      </c>
      <c r="X21">
        <f t="shared" si="9"/>
        <v>24096.903999999999</v>
      </c>
      <c r="Y21">
        <f t="shared" si="10"/>
        <v>17296.798999999999</v>
      </c>
      <c r="Z21">
        <f t="shared" si="11"/>
        <v>9211.8029999999999</v>
      </c>
      <c r="AA21">
        <f t="shared" si="12"/>
        <v>355.36</v>
      </c>
      <c r="AB21">
        <f t="shared" si="13"/>
        <v>-5228.2259999999997</v>
      </c>
    </row>
    <row r="22" spans="1:28" x14ac:dyDescent="0.25">
      <c r="A22" s="2" t="s">
        <v>4</v>
      </c>
      <c r="B22" s="2" t="s">
        <v>11</v>
      </c>
      <c r="C22" s="2" t="s">
        <v>14</v>
      </c>
      <c r="D22" s="2" t="s">
        <v>13</v>
      </c>
      <c r="E22" s="3">
        <v>31922.044000000002</v>
      </c>
      <c r="F22" s="3">
        <v>35303.387999999999</v>
      </c>
      <c r="G22" s="3">
        <v>39759.277000000002</v>
      </c>
      <c r="H22" s="3">
        <v>29682.988000000001</v>
      </c>
      <c r="I22" s="3">
        <v>25912.21</v>
      </c>
      <c r="J22" s="3">
        <v>22804.463</v>
      </c>
      <c r="K22" s="3">
        <v>19728.367999999999</v>
      </c>
      <c r="L22" s="3">
        <v>16640.927</v>
      </c>
      <c r="M22" s="3">
        <v>13399.094999999999</v>
      </c>
      <c r="N22" s="3">
        <v>7707.9759999999997</v>
      </c>
      <c r="O22" s="3">
        <v>2461.1779999999999</v>
      </c>
      <c r="Q22" s="2" t="s">
        <v>13</v>
      </c>
      <c r="R22">
        <f t="shared" si="14"/>
        <v>31922.044000000002</v>
      </c>
      <c r="S22">
        <f t="shared" si="4"/>
        <v>35303.387999999999</v>
      </c>
      <c r="T22">
        <f t="shared" si="5"/>
        <v>39759.277000000002</v>
      </c>
      <c r="U22">
        <f t="shared" si="6"/>
        <v>29682.988000000001</v>
      </c>
      <c r="V22">
        <f t="shared" si="7"/>
        <v>25912.21</v>
      </c>
      <c r="W22">
        <f t="shared" si="8"/>
        <v>22804.463</v>
      </c>
      <c r="X22">
        <f t="shared" si="9"/>
        <v>19728.367999999999</v>
      </c>
      <c r="Y22">
        <f t="shared" si="10"/>
        <v>16640.927</v>
      </c>
      <c r="Z22">
        <f t="shared" si="11"/>
        <v>13399.094999999999</v>
      </c>
      <c r="AA22">
        <f t="shared" si="12"/>
        <v>7707.9759999999997</v>
      </c>
      <c r="AB22">
        <f t="shared" si="13"/>
        <v>2461.1779999999999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6515-A8F6-446F-98D7-33A9E53F7FCD}">
  <dimension ref="A1:AB22"/>
  <sheetViews>
    <sheetView topLeftCell="P1" workbookViewId="0">
      <selection activeCell="R14" sqref="R14:AB14"/>
    </sheetView>
  </sheetViews>
  <sheetFormatPr defaultRowHeight="15" x14ac:dyDescent="0.25"/>
  <cols>
    <col min="1" max="1" width="7.28515625" bestFit="1" customWidth="1"/>
    <col min="2" max="2" width="24.28515625" bestFit="1" customWidth="1"/>
    <col min="3" max="3" width="41.28515625" bestFit="1" customWidth="1"/>
    <col min="4" max="4" width="13.7109375" bestFit="1" customWidth="1"/>
    <col min="5" max="10" width="9.5703125" bestFit="1" customWidth="1"/>
    <col min="11" max="15" width="10.28515625" bestFit="1" customWidth="1"/>
    <col min="17" max="17" width="1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2005</v>
      </c>
      <c r="F1" s="1">
        <v>2010</v>
      </c>
      <c r="G1" s="1">
        <v>2020</v>
      </c>
      <c r="H1" s="1">
        <v>2030</v>
      </c>
      <c r="I1" s="1">
        <v>2040</v>
      </c>
      <c r="J1" s="1">
        <v>2050</v>
      </c>
      <c r="K1" s="1">
        <v>2060</v>
      </c>
      <c r="L1" s="1">
        <v>2070</v>
      </c>
      <c r="M1" s="1">
        <v>2080</v>
      </c>
      <c r="N1" s="1">
        <v>2090</v>
      </c>
      <c r="O1" s="1">
        <v>2100</v>
      </c>
      <c r="Q1" s="4" t="s">
        <v>3</v>
      </c>
      <c r="R1" s="1">
        <v>2005</v>
      </c>
      <c r="S1" s="1">
        <v>2010</v>
      </c>
      <c r="T1" s="1">
        <v>2020</v>
      </c>
      <c r="U1" s="1">
        <v>2030</v>
      </c>
      <c r="V1" s="1">
        <v>2040</v>
      </c>
      <c r="W1" s="1">
        <v>2050</v>
      </c>
      <c r="X1" s="1">
        <v>2060</v>
      </c>
      <c r="Y1" s="1">
        <v>2070</v>
      </c>
      <c r="Z1" s="1">
        <v>2080</v>
      </c>
      <c r="AA1" s="1">
        <v>2090</v>
      </c>
      <c r="AB1" s="1">
        <v>2100</v>
      </c>
    </row>
    <row r="2" spans="1:28" x14ac:dyDescent="0.25">
      <c r="A2" s="2" t="s">
        <v>4</v>
      </c>
      <c r="B2" s="2" t="s">
        <v>16</v>
      </c>
      <c r="C2" s="2" t="s">
        <v>6</v>
      </c>
      <c r="D2" s="2" t="s">
        <v>7</v>
      </c>
      <c r="E2" s="3">
        <v>0</v>
      </c>
      <c r="F2" s="3">
        <v>2.1850000000000001</v>
      </c>
      <c r="G2" s="3">
        <v>15.271000000000001</v>
      </c>
      <c r="H2" s="3">
        <v>341.31900000000002</v>
      </c>
      <c r="I2" s="3">
        <v>676.39599999999996</v>
      </c>
      <c r="J2" s="3">
        <v>981.74099999999999</v>
      </c>
      <c r="K2" s="3">
        <v>1627.203</v>
      </c>
      <c r="L2" s="3">
        <v>2031.354</v>
      </c>
      <c r="M2" s="3">
        <v>2398.8690000000001</v>
      </c>
      <c r="N2" s="3">
        <v>2624.1460000000002</v>
      </c>
      <c r="O2" s="3">
        <v>2721.3139999999999</v>
      </c>
      <c r="Q2" t="s">
        <v>15</v>
      </c>
      <c r="R2">
        <f>E2*1.67</f>
        <v>0</v>
      </c>
      <c r="S2">
        <f t="shared" ref="S2:AB4" si="0">F2*1.67</f>
        <v>3.6489500000000001</v>
      </c>
      <c r="T2">
        <f t="shared" si="0"/>
        <v>25.502569999999999</v>
      </c>
      <c r="U2">
        <f t="shared" si="0"/>
        <v>570.00273000000004</v>
      </c>
      <c r="V2">
        <f t="shared" si="0"/>
        <v>1129.5813199999998</v>
      </c>
      <c r="W2">
        <f t="shared" si="0"/>
        <v>1639.50747</v>
      </c>
      <c r="X2">
        <f t="shared" si="0"/>
        <v>2717.4290099999998</v>
      </c>
      <c r="Y2">
        <f t="shared" si="0"/>
        <v>3392.3611799999999</v>
      </c>
      <c r="Z2">
        <f t="shared" si="0"/>
        <v>4006.11123</v>
      </c>
      <c r="AA2">
        <f t="shared" si="0"/>
        <v>4382.3238200000005</v>
      </c>
      <c r="AB2">
        <f t="shared" si="0"/>
        <v>4544.5943799999995</v>
      </c>
    </row>
    <row r="3" spans="1:28" x14ac:dyDescent="0.25">
      <c r="A3" s="2" t="s">
        <v>4</v>
      </c>
      <c r="B3" s="2" t="s">
        <v>17</v>
      </c>
      <c r="C3" s="2" t="s">
        <v>6</v>
      </c>
      <c r="D3" s="2" t="s">
        <v>7</v>
      </c>
      <c r="E3" s="3"/>
      <c r="F3" s="3">
        <v>0</v>
      </c>
      <c r="G3" s="3">
        <v>0</v>
      </c>
      <c r="H3" s="3">
        <v>56.454999999999998</v>
      </c>
      <c r="I3" s="3">
        <v>156.191</v>
      </c>
      <c r="J3" s="3">
        <v>254.422</v>
      </c>
      <c r="K3" s="3">
        <v>414.37599999999998</v>
      </c>
      <c r="L3" s="3">
        <v>675.19600000000003</v>
      </c>
      <c r="M3" s="3">
        <v>1099.7349999999999</v>
      </c>
      <c r="N3" s="3">
        <v>1791.115</v>
      </c>
      <c r="O3" s="3">
        <v>2917.5709999999999</v>
      </c>
      <c r="Q3" t="s">
        <v>15</v>
      </c>
      <c r="R3">
        <f>E3*1.67</f>
        <v>0</v>
      </c>
      <c r="S3">
        <f t="shared" si="0"/>
        <v>0</v>
      </c>
      <c r="T3">
        <f t="shared" si="0"/>
        <v>0</v>
      </c>
      <c r="U3">
        <f t="shared" si="0"/>
        <v>94.279849999999996</v>
      </c>
      <c r="V3">
        <f t="shared" si="0"/>
        <v>260.83897000000002</v>
      </c>
      <c r="W3">
        <f t="shared" si="0"/>
        <v>424.88473999999997</v>
      </c>
      <c r="X3">
        <f t="shared" si="0"/>
        <v>692.0079199999999</v>
      </c>
      <c r="Y3">
        <f t="shared" si="0"/>
        <v>1127.5773200000001</v>
      </c>
      <c r="Z3">
        <f t="shared" si="0"/>
        <v>1836.5574499999998</v>
      </c>
      <c r="AA3">
        <f t="shared" si="0"/>
        <v>2991.1620499999999</v>
      </c>
      <c r="AB3">
        <f t="shared" si="0"/>
        <v>4872.34357</v>
      </c>
    </row>
    <row r="4" spans="1:28" x14ac:dyDescent="0.25">
      <c r="A4" s="2" t="s">
        <v>4</v>
      </c>
      <c r="B4" s="2" t="s">
        <v>18</v>
      </c>
      <c r="C4" s="2" t="s">
        <v>6</v>
      </c>
      <c r="D4" s="2" t="s">
        <v>7</v>
      </c>
      <c r="E4" s="3">
        <v>0</v>
      </c>
      <c r="F4" s="3">
        <v>0</v>
      </c>
      <c r="G4" s="3">
        <v>7.3330000000000002</v>
      </c>
      <c r="H4" s="3">
        <v>178.3</v>
      </c>
      <c r="I4" s="3">
        <v>578.4</v>
      </c>
      <c r="J4" s="3">
        <v>939.5</v>
      </c>
      <c r="K4" s="3">
        <v>1676</v>
      </c>
      <c r="L4" s="3">
        <v>2308</v>
      </c>
      <c r="M4" s="3">
        <v>3745</v>
      </c>
      <c r="N4" s="3">
        <v>5950</v>
      </c>
      <c r="O4" s="3">
        <v>9227</v>
      </c>
      <c r="Q4" t="s">
        <v>15</v>
      </c>
      <c r="R4">
        <f t="shared" ref="R3:R4" si="1">E4*1.67</f>
        <v>0</v>
      </c>
      <c r="S4">
        <f t="shared" si="0"/>
        <v>0</v>
      </c>
      <c r="T4">
        <f t="shared" si="0"/>
        <v>12.24611</v>
      </c>
      <c r="U4">
        <f t="shared" si="0"/>
        <v>297.76100000000002</v>
      </c>
      <c r="V4">
        <f t="shared" si="0"/>
        <v>965.92799999999988</v>
      </c>
      <c r="W4">
        <f t="shared" si="0"/>
        <v>1568.9649999999999</v>
      </c>
      <c r="X4">
        <f t="shared" si="0"/>
        <v>2798.92</v>
      </c>
      <c r="Y4">
        <f t="shared" si="0"/>
        <v>3854.3599999999997</v>
      </c>
      <c r="Z4">
        <f t="shared" si="0"/>
        <v>6254.15</v>
      </c>
      <c r="AA4">
        <f t="shared" si="0"/>
        <v>9936.5</v>
      </c>
      <c r="AB4">
        <f t="shared" si="0"/>
        <v>15409.09</v>
      </c>
    </row>
    <row r="6" spans="1:28" x14ac:dyDescent="0.25">
      <c r="A6" s="1" t="s">
        <v>0</v>
      </c>
      <c r="B6" s="1" t="s">
        <v>1</v>
      </c>
      <c r="C6" s="1" t="s">
        <v>2</v>
      </c>
      <c r="D6" s="1" t="s">
        <v>3</v>
      </c>
      <c r="E6" s="1">
        <v>2005</v>
      </c>
      <c r="F6" s="1">
        <v>2010</v>
      </c>
      <c r="G6" s="1">
        <v>2020</v>
      </c>
      <c r="H6" s="1">
        <v>2030</v>
      </c>
      <c r="I6" s="1">
        <v>2040</v>
      </c>
      <c r="J6" s="1">
        <v>2050</v>
      </c>
      <c r="K6" s="1">
        <v>2060</v>
      </c>
      <c r="L6" s="1">
        <v>2070</v>
      </c>
      <c r="M6" s="1">
        <v>2080</v>
      </c>
      <c r="N6" s="1">
        <v>2090</v>
      </c>
      <c r="O6" s="1">
        <v>2100</v>
      </c>
    </row>
    <row r="7" spans="1:28" x14ac:dyDescent="0.25">
      <c r="A7" s="2" t="s">
        <v>4</v>
      </c>
      <c r="B7" s="2" t="s">
        <v>16</v>
      </c>
      <c r="C7" s="2" t="s">
        <v>12</v>
      </c>
      <c r="D7" s="2" t="s">
        <v>13</v>
      </c>
      <c r="E7" s="3">
        <v>0</v>
      </c>
      <c r="F7" s="3">
        <v>0</v>
      </c>
      <c r="G7" s="3">
        <v>0</v>
      </c>
      <c r="H7" s="3">
        <v>1999.27</v>
      </c>
      <c r="I7" s="3">
        <v>5900.0069999999996</v>
      </c>
      <c r="J7" s="3">
        <v>14644.779</v>
      </c>
      <c r="K7" s="3">
        <v>14198.607</v>
      </c>
      <c r="L7" s="3">
        <v>15403.617</v>
      </c>
      <c r="M7" s="3">
        <v>15984.186</v>
      </c>
      <c r="N7" s="3">
        <v>16699.087</v>
      </c>
      <c r="O7" s="3">
        <v>17693.129000000001</v>
      </c>
      <c r="Q7" s="2" t="s">
        <v>13</v>
      </c>
      <c r="R7">
        <f>E7</f>
        <v>0</v>
      </c>
      <c r="S7">
        <f t="shared" ref="S7:AB9" si="2">F7</f>
        <v>0</v>
      </c>
      <c r="T7">
        <f t="shared" si="2"/>
        <v>0</v>
      </c>
      <c r="U7">
        <f t="shared" si="2"/>
        <v>1999.27</v>
      </c>
      <c r="V7">
        <f t="shared" si="2"/>
        <v>5900.0069999999996</v>
      </c>
      <c r="W7">
        <f t="shared" si="2"/>
        <v>14644.779</v>
      </c>
      <c r="X7">
        <f t="shared" si="2"/>
        <v>14198.607</v>
      </c>
      <c r="Y7">
        <f t="shared" si="2"/>
        <v>15403.617</v>
      </c>
      <c r="Z7">
        <f t="shared" si="2"/>
        <v>15984.186</v>
      </c>
      <c r="AA7">
        <f t="shared" si="2"/>
        <v>16699.087</v>
      </c>
      <c r="AB7">
        <f t="shared" si="2"/>
        <v>17693.129000000001</v>
      </c>
    </row>
    <row r="8" spans="1:28" x14ac:dyDescent="0.25">
      <c r="A8" s="2" t="s">
        <v>4</v>
      </c>
      <c r="B8" s="2" t="s">
        <v>17</v>
      </c>
      <c r="C8" s="2" t="s">
        <v>12</v>
      </c>
      <c r="D8" s="2" t="s">
        <v>13</v>
      </c>
      <c r="E8" s="3"/>
      <c r="F8" s="3">
        <v>1813.3150000000001</v>
      </c>
      <c r="G8" s="3">
        <v>2538.6109999999999</v>
      </c>
      <c r="H8" s="3">
        <v>6355.7150000000001</v>
      </c>
      <c r="I8" s="3">
        <v>16501.206999999999</v>
      </c>
      <c r="J8" s="3">
        <v>21107.522000000001</v>
      </c>
      <c r="K8" s="3">
        <v>23090.493999999999</v>
      </c>
      <c r="L8" s="3">
        <v>23796.548999999999</v>
      </c>
      <c r="M8" s="3">
        <v>25214.182000000001</v>
      </c>
      <c r="N8" s="3">
        <v>29787.47</v>
      </c>
      <c r="O8" s="3">
        <v>37466.046000000002</v>
      </c>
      <c r="Q8" s="2" t="s">
        <v>13</v>
      </c>
      <c r="R8">
        <f t="shared" ref="R8:R9" si="3">E8</f>
        <v>0</v>
      </c>
      <c r="S8">
        <f t="shared" si="2"/>
        <v>1813.3150000000001</v>
      </c>
      <c r="T8">
        <f t="shared" si="2"/>
        <v>2538.6109999999999</v>
      </c>
      <c r="U8">
        <f t="shared" si="2"/>
        <v>6355.7150000000001</v>
      </c>
      <c r="V8">
        <f t="shared" si="2"/>
        <v>16501.206999999999</v>
      </c>
      <c r="W8">
        <f t="shared" si="2"/>
        <v>21107.522000000001</v>
      </c>
      <c r="X8">
        <f t="shared" si="2"/>
        <v>23090.493999999999</v>
      </c>
      <c r="Y8">
        <f t="shared" si="2"/>
        <v>23796.548999999999</v>
      </c>
      <c r="Z8">
        <f t="shared" si="2"/>
        <v>25214.182000000001</v>
      </c>
      <c r="AA8">
        <f t="shared" si="2"/>
        <v>29787.47</v>
      </c>
      <c r="AB8">
        <f t="shared" si="2"/>
        <v>37466.046000000002</v>
      </c>
    </row>
    <row r="9" spans="1:28" x14ac:dyDescent="0.25">
      <c r="A9" s="2" t="s">
        <v>4</v>
      </c>
      <c r="B9" s="2" t="s">
        <v>18</v>
      </c>
      <c r="C9" s="2" t="s">
        <v>12</v>
      </c>
      <c r="D9" s="2" t="s">
        <v>13</v>
      </c>
      <c r="E9" s="3">
        <v>0</v>
      </c>
      <c r="F9" s="3">
        <v>0</v>
      </c>
      <c r="G9" s="3">
        <v>2.4900000000000002</v>
      </c>
      <c r="H9" s="3">
        <v>1020</v>
      </c>
      <c r="I9" s="3">
        <v>8130</v>
      </c>
      <c r="J9" s="3">
        <v>12800</v>
      </c>
      <c r="K9" s="3">
        <v>14100</v>
      </c>
      <c r="L9" s="3">
        <v>14800</v>
      </c>
      <c r="M9" s="3">
        <v>15400</v>
      </c>
      <c r="N9" s="3">
        <v>15700</v>
      </c>
      <c r="O9" s="3">
        <v>15900</v>
      </c>
      <c r="Q9" s="2" t="s">
        <v>13</v>
      </c>
      <c r="R9">
        <f t="shared" si="3"/>
        <v>0</v>
      </c>
      <c r="S9">
        <f t="shared" si="2"/>
        <v>0</v>
      </c>
      <c r="T9">
        <f t="shared" si="2"/>
        <v>2.4900000000000002</v>
      </c>
      <c r="U9">
        <f t="shared" si="2"/>
        <v>1020</v>
      </c>
      <c r="V9">
        <f t="shared" si="2"/>
        <v>8130</v>
      </c>
      <c r="W9">
        <f t="shared" si="2"/>
        <v>12800</v>
      </c>
      <c r="X9">
        <f t="shared" si="2"/>
        <v>14100</v>
      </c>
      <c r="Y9">
        <f t="shared" si="2"/>
        <v>14800</v>
      </c>
      <c r="Z9">
        <f t="shared" si="2"/>
        <v>15400</v>
      </c>
      <c r="AA9">
        <f t="shared" si="2"/>
        <v>15700</v>
      </c>
      <c r="AB9">
        <f t="shared" si="2"/>
        <v>15900</v>
      </c>
    </row>
    <row r="11" spans="1:2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>
        <v>2005</v>
      </c>
      <c r="F11" s="1">
        <v>2010</v>
      </c>
      <c r="G11" s="1">
        <v>2020</v>
      </c>
      <c r="H11" s="1">
        <v>2030</v>
      </c>
      <c r="I11" s="1">
        <v>2040</v>
      </c>
      <c r="J11" s="1">
        <v>2050</v>
      </c>
      <c r="K11" s="1">
        <v>2060</v>
      </c>
      <c r="L11" s="1">
        <v>2070</v>
      </c>
      <c r="M11" s="1">
        <v>2080</v>
      </c>
      <c r="N11" s="1">
        <v>2090</v>
      </c>
      <c r="O11" s="1">
        <v>2100</v>
      </c>
    </row>
    <row r="12" spans="1:28" x14ac:dyDescent="0.25">
      <c r="A12" s="2" t="s">
        <v>4</v>
      </c>
      <c r="B12" s="2" t="s">
        <v>16</v>
      </c>
      <c r="C12" s="2" t="s">
        <v>14</v>
      </c>
      <c r="D12" s="2" t="s">
        <v>13</v>
      </c>
      <c r="E12" s="3">
        <v>34373.934999999998</v>
      </c>
      <c r="F12" s="3">
        <v>38205.410000000003</v>
      </c>
      <c r="G12" s="3">
        <v>43338.076000000001</v>
      </c>
      <c r="H12" s="3">
        <v>20138.552</v>
      </c>
      <c r="I12" s="3">
        <v>8223.1919999999991</v>
      </c>
      <c r="J12" s="3">
        <v>399.238</v>
      </c>
      <c r="K12" s="3">
        <v>-4896.1059999999998</v>
      </c>
      <c r="L12" s="3">
        <v>-7038.6180000000004</v>
      </c>
      <c r="M12" s="3">
        <v>-7989.183</v>
      </c>
      <c r="N12" s="3">
        <v>-8407.2669999999998</v>
      </c>
      <c r="O12" s="3">
        <v>-8986.86</v>
      </c>
      <c r="Q12" s="2" t="s">
        <v>13</v>
      </c>
      <c r="R12">
        <f>E12</f>
        <v>34373.934999999998</v>
      </c>
      <c r="S12">
        <f t="shared" ref="S12:AB14" si="4">F12</f>
        <v>38205.410000000003</v>
      </c>
      <c r="T12">
        <f t="shared" si="4"/>
        <v>43338.076000000001</v>
      </c>
      <c r="U12">
        <f t="shared" si="4"/>
        <v>20138.552</v>
      </c>
      <c r="V12">
        <f t="shared" si="4"/>
        <v>8223.1919999999991</v>
      </c>
      <c r="W12">
        <f t="shared" si="4"/>
        <v>399.238</v>
      </c>
      <c r="X12">
        <f t="shared" si="4"/>
        <v>-4896.1059999999998</v>
      </c>
      <c r="Y12">
        <f t="shared" si="4"/>
        <v>-7038.6180000000004</v>
      </c>
      <c r="Z12">
        <f t="shared" si="4"/>
        <v>-7989.183</v>
      </c>
      <c r="AA12">
        <f t="shared" si="4"/>
        <v>-8407.2669999999998</v>
      </c>
      <c r="AB12">
        <f t="shared" si="4"/>
        <v>-8986.86</v>
      </c>
    </row>
    <row r="13" spans="1:28" x14ac:dyDescent="0.25">
      <c r="A13" s="2" t="s">
        <v>4</v>
      </c>
      <c r="B13" s="2" t="s">
        <v>17</v>
      </c>
      <c r="C13" s="2" t="s">
        <v>14</v>
      </c>
      <c r="D13" s="2" t="s">
        <v>13</v>
      </c>
      <c r="E13" s="3"/>
      <c r="F13" s="3">
        <v>35775.428999999996</v>
      </c>
      <c r="G13" s="3">
        <v>41337.663</v>
      </c>
      <c r="H13" s="3">
        <v>36001.981</v>
      </c>
      <c r="I13" s="3">
        <v>9535.74</v>
      </c>
      <c r="J13" s="3">
        <v>-7452.1970000000001</v>
      </c>
      <c r="K13" s="3">
        <v>-13187.102999999999</v>
      </c>
      <c r="L13" s="3">
        <v>-14127.611000000001</v>
      </c>
      <c r="M13" s="3">
        <v>-18177.965</v>
      </c>
      <c r="N13" s="3">
        <v>-23522.442999999999</v>
      </c>
      <c r="O13" s="3">
        <v>-31683.696</v>
      </c>
      <c r="Q13" s="2" t="s">
        <v>13</v>
      </c>
      <c r="R13">
        <f t="shared" ref="R13:R14" si="5">E13</f>
        <v>0</v>
      </c>
      <c r="S13">
        <f t="shared" si="4"/>
        <v>35775.428999999996</v>
      </c>
      <c r="T13">
        <f t="shared" si="4"/>
        <v>41337.663</v>
      </c>
      <c r="U13">
        <f t="shared" si="4"/>
        <v>36001.981</v>
      </c>
      <c r="V13">
        <f t="shared" si="4"/>
        <v>9535.74</v>
      </c>
      <c r="W13">
        <f t="shared" si="4"/>
        <v>-7452.1970000000001</v>
      </c>
      <c r="X13">
        <f t="shared" si="4"/>
        <v>-13187.102999999999</v>
      </c>
      <c r="Y13">
        <f t="shared" si="4"/>
        <v>-14127.611000000001</v>
      </c>
      <c r="Z13">
        <f t="shared" si="4"/>
        <v>-18177.965</v>
      </c>
      <c r="AA13">
        <f t="shared" si="4"/>
        <v>-23522.442999999999</v>
      </c>
      <c r="AB13">
        <f t="shared" si="4"/>
        <v>-31683.696</v>
      </c>
    </row>
    <row r="14" spans="1:28" x14ac:dyDescent="0.25">
      <c r="A14" s="2" t="s">
        <v>4</v>
      </c>
      <c r="B14" s="2" t="s">
        <v>18</v>
      </c>
      <c r="C14" s="2" t="s">
        <v>14</v>
      </c>
      <c r="D14" s="2" t="s">
        <v>13</v>
      </c>
      <c r="E14" s="3">
        <v>35090</v>
      </c>
      <c r="F14" s="3">
        <v>37010</v>
      </c>
      <c r="G14" s="3">
        <v>42310</v>
      </c>
      <c r="H14" s="3">
        <v>31110</v>
      </c>
      <c r="I14" s="3">
        <v>8623</v>
      </c>
      <c r="J14" s="3">
        <v>-7250</v>
      </c>
      <c r="K14" s="3">
        <v>-10480</v>
      </c>
      <c r="L14" s="3">
        <v>-12620</v>
      </c>
      <c r="M14" s="3">
        <v>-13640</v>
      </c>
      <c r="N14" s="3">
        <v>-13240</v>
      </c>
      <c r="O14" s="3">
        <v>-14180</v>
      </c>
      <c r="Q14" s="2" t="s">
        <v>13</v>
      </c>
      <c r="R14">
        <f t="shared" si="5"/>
        <v>35090</v>
      </c>
      <c r="S14">
        <f t="shared" si="4"/>
        <v>37010</v>
      </c>
      <c r="T14">
        <f t="shared" si="4"/>
        <v>42310</v>
      </c>
      <c r="U14">
        <f t="shared" si="4"/>
        <v>31110</v>
      </c>
      <c r="V14">
        <f t="shared" si="4"/>
        <v>8623</v>
      </c>
      <c r="W14">
        <f t="shared" si="4"/>
        <v>-7250</v>
      </c>
      <c r="X14">
        <f t="shared" si="4"/>
        <v>-10480</v>
      </c>
      <c r="Y14">
        <f t="shared" si="4"/>
        <v>-12620</v>
      </c>
      <c r="Z14">
        <f t="shared" si="4"/>
        <v>-13640</v>
      </c>
      <c r="AA14">
        <f t="shared" si="4"/>
        <v>-13240</v>
      </c>
      <c r="AB14">
        <f t="shared" si="4"/>
        <v>-14180</v>
      </c>
    </row>
    <row r="21" spans="17:17" x14ac:dyDescent="0.25">
      <c r="Q21" s="2"/>
    </row>
    <row r="22" spans="17:17" x14ac:dyDescent="0.25">
      <c r="Q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NDC</vt:lpstr>
      <vt:lpstr>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2025-08-20T13:39:56Z</dcterms:created>
  <dcterms:modified xsi:type="dcterms:W3CDTF">2025-08-20T15:03:34Z</dcterms:modified>
</cp:coreProperties>
</file>