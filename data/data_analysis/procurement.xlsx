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464EF09C-85D1-4F3F-A239-B0215EDB7C0F}" xr6:coauthVersionLast="47" xr6:coauthVersionMax="47" xr10:uidLastSave="{00000000-0000-0000-0000-000000000000}"/>
  <bookViews>
    <workbookView xWindow="-120" yWindow="-120" windowWidth="29040" windowHeight="17520" activeTab="1" xr2:uid="{4A617452-901D-46F6-B294-E017C63BDF58}"/>
  </bookViews>
  <sheets>
    <sheet name="Scaling" sheetId="1" r:id="rId1"/>
    <sheet name="45Q" sheetId="2" r:id="rId2"/>
    <sheet name="Marginal Supply" sheetId="3" r:id="rId3"/>
  </sheets>
  <definedNames>
    <definedName name="_xlchart.v1.0" hidden="1">'45Q'!$D$2:$D$13</definedName>
    <definedName name="_xlchart.v1.1" hidden="1">'45Q'!$D$6:$D$13</definedName>
    <definedName name="_xlchart.v1.2" hidden="1">'45Q'!$G$1</definedName>
    <definedName name="_xlchart.v1.3" hidden="1">'45Q'!$G$2:$G$13</definedName>
    <definedName name="_xlchart.v1.4" hidden="1">'45Q'!$G$6:$G$13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4" i="2"/>
  <c r="E3" i="2"/>
  <c r="E2" i="2"/>
  <c r="K73" i="3"/>
  <c r="K72" i="3"/>
  <c r="K71" i="3"/>
  <c r="K70" i="3"/>
  <c r="N70" i="3" s="1"/>
  <c r="K69" i="3"/>
  <c r="N69" i="3" s="1"/>
  <c r="K68" i="3"/>
  <c r="N68" i="3" s="1"/>
  <c r="K67" i="3"/>
  <c r="N67" i="3" s="1"/>
  <c r="K66" i="3"/>
  <c r="N66" i="3" s="1"/>
  <c r="K65" i="3"/>
  <c r="N65" i="3" s="1"/>
  <c r="K64" i="3"/>
  <c r="N64" i="3" s="1"/>
  <c r="K63" i="3"/>
  <c r="N63" i="3" s="1"/>
  <c r="K62" i="3"/>
  <c r="N62" i="3" s="1"/>
  <c r="K61" i="3"/>
  <c r="J61" i="3"/>
  <c r="I61" i="3"/>
  <c r="K60" i="3"/>
  <c r="J60" i="3"/>
  <c r="M60" i="3" s="1"/>
  <c r="I60" i="3"/>
  <c r="L60" i="3" s="1"/>
  <c r="L59" i="3"/>
  <c r="K59" i="3"/>
  <c r="J59" i="3"/>
  <c r="I59" i="3"/>
  <c r="K58" i="3"/>
  <c r="J58" i="3"/>
  <c r="I58" i="3"/>
  <c r="K57" i="3"/>
  <c r="J57" i="3"/>
  <c r="I57" i="3"/>
  <c r="K56" i="3"/>
  <c r="J56" i="3"/>
  <c r="I56" i="3"/>
  <c r="K55" i="3"/>
  <c r="N55" i="3" s="1"/>
  <c r="J55" i="3"/>
  <c r="M55" i="3" s="1"/>
  <c r="I55" i="3"/>
  <c r="K54" i="3"/>
  <c r="J54" i="3"/>
  <c r="I54" i="3"/>
  <c r="L54" i="3" s="1"/>
  <c r="I53" i="3"/>
  <c r="L53" i="3" s="1"/>
  <c r="I52" i="3"/>
  <c r="I51" i="3"/>
  <c r="L51" i="3" s="1"/>
  <c r="I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I36" i="3"/>
  <c r="K35" i="3"/>
  <c r="J35" i="3"/>
  <c r="I35" i="3"/>
  <c r="K34" i="3"/>
  <c r="J34" i="3"/>
  <c r="I34" i="3"/>
  <c r="K33" i="3"/>
  <c r="J33" i="3"/>
  <c r="K32" i="3"/>
  <c r="J32" i="3"/>
  <c r="K31" i="3"/>
  <c r="J31" i="3"/>
  <c r="K30" i="3"/>
  <c r="N30" i="3" s="1"/>
  <c r="J30" i="3"/>
  <c r="I29" i="3"/>
  <c r="I28" i="3"/>
  <c r="I27" i="3"/>
  <c r="I26" i="3"/>
  <c r="N25" i="3"/>
  <c r="N24" i="3"/>
  <c r="N23" i="3"/>
  <c r="M13" i="3"/>
  <c r="M12" i="3"/>
  <c r="M11" i="3"/>
  <c r="L7" i="3"/>
  <c r="L6" i="3"/>
  <c r="J6" i="3"/>
  <c r="M6" i="3" s="1"/>
  <c r="K6" i="3"/>
  <c r="N7" i="3" s="1"/>
  <c r="J7" i="3"/>
  <c r="M7" i="3" s="1"/>
  <c r="K7" i="3"/>
  <c r="J8" i="3"/>
  <c r="M8" i="3" s="1"/>
  <c r="K8" i="3"/>
  <c r="J9" i="3"/>
  <c r="M9" i="3" s="1"/>
  <c r="K9" i="3"/>
  <c r="J10" i="3"/>
  <c r="M10" i="3" s="1"/>
  <c r="K10" i="3"/>
  <c r="J11" i="3"/>
  <c r="K11" i="3"/>
  <c r="J12" i="3"/>
  <c r="K12" i="3"/>
  <c r="N12" i="3" s="1"/>
  <c r="J13" i="3"/>
  <c r="K13" i="3"/>
  <c r="N13" i="3" s="1"/>
  <c r="K14" i="3"/>
  <c r="N14" i="3" s="1"/>
  <c r="K15" i="3"/>
  <c r="N15" i="3" s="1"/>
  <c r="K16" i="3"/>
  <c r="N16" i="3" s="1"/>
  <c r="K17" i="3"/>
  <c r="N17" i="3" s="1"/>
  <c r="K18" i="3"/>
  <c r="N18" i="3" s="1"/>
  <c r="K19" i="3"/>
  <c r="N19" i="3" s="1"/>
  <c r="K20" i="3"/>
  <c r="N20" i="3" s="1"/>
  <c r="K21" i="3"/>
  <c r="N21" i="3" s="1"/>
  <c r="K22" i="3"/>
  <c r="N22" i="3" s="1"/>
  <c r="K23" i="3"/>
  <c r="K24" i="3"/>
  <c r="K25" i="3"/>
  <c r="I3" i="3"/>
  <c r="I4" i="3"/>
  <c r="I5" i="3"/>
  <c r="I6" i="3"/>
  <c r="I7" i="3"/>
  <c r="I8" i="3"/>
  <c r="L8" i="3" s="1"/>
  <c r="I9" i="3"/>
  <c r="L9" i="3" s="1"/>
  <c r="I10" i="3"/>
  <c r="L10" i="3" s="1"/>
  <c r="I11" i="3"/>
  <c r="L11" i="3" s="1"/>
  <c r="I12" i="3"/>
  <c r="L12" i="3" s="1"/>
  <c r="I13" i="3"/>
  <c r="L13" i="3" s="1"/>
  <c r="I2" i="3"/>
  <c r="L3" i="3" s="1"/>
  <c r="G2" i="2"/>
  <c r="E6" i="2"/>
  <c r="E7" i="2"/>
  <c r="E8" i="2"/>
  <c r="E9" i="2"/>
  <c r="E10" i="2"/>
  <c r="E12" i="2"/>
  <c r="E13" i="2"/>
  <c r="L58" i="3" l="1"/>
  <c r="N60" i="3"/>
  <c r="M58" i="3"/>
  <c r="N61" i="3"/>
  <c r="M59" i="3"/>
  <c r="L56" i="3"/>
  <c r="L55" i="3"/>
  <c r="M56" i="3"/>
  <c r="N56" i="3"/>
  <c r="L57" i="3"/>
  <c r="N57" i="3"/>
  <c r="M57" i="3"/>
  <c r="L52" i="3"/>
  <c r="L50" i="3"/>
  <c r="N71" i="3"/>
  <c r="N72" i="3"/>
  <c r="N73" i="3"/>
  <c r="N58" i="3"/>
  <c r="N59" i="3"/>
  <c r="M54" i="3"/>
  <c r="N54" i="3"/>
  <c r="M61" i="3"/>
  <c r="L61" i="3"/>
  <c r="N9" i="3"/>
  <c r="L2" i="3"/>
  <c r="L4" i="3"/>
  <c r="N10" i="3"/>
  <c r="N35" i="3"/>
  <c r="M36" i="3"/>
  <c r="N6" i="3"/>
  <c r="N8" i="3"/>
  <c r="N11" i="3"/>
  <c r="L5" i="3"/>
  <c r="N47" i="3"/>
  <c r="N42" i="3"/>
  <c r="N38" i="3"/>
  <c r="N41" i="3"/>
  <c r="N36" i="3"/>
  <c r="M30" i="3"/>
  <c r="L28" i="3"/>
  <c r="L36" i="3"/>
  <c r="N32" i="3"/>
  <c r="M32" i="3"/>
  <c r="N31" i="3"/>
  <c r="N39" i="3"/>
  <c r="N40" i="3"/>
  <c r="M33" i="3"/>
  <c r="N33" i="3"/>
  <c r="N43" i="3"/>
  <c r="L34" i="3"/>
  <c r="N44" i="3"/>
  <c r="L27" i="3"/>
  <c r="M34" i="3"/>
  <c r="N45" i="3"/>
  <c r="N34" i="3"/>
  <c r="N46" i="3"/>
  <c r="M31" i="3"/>
  <c r="L37" i="3"/>
  <c r="M37" i="3"/>
  <c r="N37" i="3"/>
  <c r="L29" i="3"/>
  <c r="N48" i="3"/>
  <c r="N49" i="3"/>
  <c r="L26" i="3"/>
  <c r="L35" i="3"/>
  <c r="M35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" i="1"/>
  <c r="G12" i="2"/>
  <c r="G10" i="2"/>
  <c r="G8" i="2"/>
  <c r="G6" i="2"/>
  <c r="G3" i="2"/>
  <c r="G13" i="2"/>
  <c r="G9" i="2"/>
  <c r="G7" i="2"/>
  <c r="G5" i="2"/>
  <c r="G4" i="2"/>
</calcChain>
</file>

<file path=xl/sharedStrings.xml><?xml version="1.0" encoding="utf-8"?>
<sst xmlns="http://schemas.openxmlformats.org/spreadsheetml/2006/main" count="243" uniqueCount="33">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</sst>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0" fontId="0" fillId="0" borderId="0" xfId="0" applyNumberFormat="1"/>
    <xf numFmtId="9" fontId="0" fillId="0" borderId="0" xfId="1" applyFont="1"/>
    <xf numFmtId="2" fontId="0" fillId="0" borderId="0" xfId="0" applyNumberFormat="1"/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Scaling!$F$2:$F$24</c:f>
              <c:numCache>
                <c:formatCode>General</c:formatCode>
                <c:ptCount val="23"/>
                <c:pt idx="0">
                  <c:v>22.652770490000002</c:v>
                </c:pt>
                <c:pt idx="1">
                  <c:v>38.92435596</c:v>
                </c:pt>
                <c:pt idx="2">
                  <c:v>72.101540779999993</c:v>
                </c:pt>
                <c:pt idx="3">
                  <c:v>95.2150848</c:v>
                </c:pt>
                <c:pt idx="4">
                  <c:v>214.75016840000001</c:v>
                </c:pt>
                <c:pt idx="5">
                  <c:v>360.96804700000001</c:v>
                </c:pt>
                <c:pt idx="6">
                  <c:v>623.27188550000005</c:v>
                </c:pt>
                <c:pt idx="7">
                  <c:v>974.18677479999997</c:v>
                </c:pt>
                <c:pt idx="8">
                  <c:v>22.652770490000002</c:v>
                </c:pt>
                <c:pt idx="9">
                  <c:v>103.695629</c:v>
                </c:pt>
                <c:pt idx="10">
                  <c:v>102.04666</c:v>
                </c:pt>
                <c:pt idx="11">
                  <c:v>246.34425669999999</c:v>
                </c:pt>
                <c:pt idx="12">
                  <c:v>470.9906421</c:v>
                </c:pt>
                <c:pt idx="13">
                  <c:v>965.18417420000003</c:v>
                </c:pt>
                <c:pt idx="14">
                  <c:v>1974.1867749999999</c:v>
                </c:pt>
                <c:pt idx="15">
                  <c:v>22.64976914</c:v>
                </c:pt>
                <c:pt idx="16">
                  <c:v>30.407393859999999</c:v>
                </c:pt>
                <c:pt idx="17">
                  <c:v>44.248195699999997</c:v>
                </c:pt>
                <c:pt idx="18">
                  <c:v>82.317910130000001</c:v>
                </c:pt>
                <c:pt idx="19">
                  <c:v>180.40034800000001</c:v>
                </c:pt>
                <c:pt idx="20">
                  <c:v>275.22336999999999</c:v>
                </c:pt>
                <c:pt idx="21">
                  <c:v>461.18036599999999</c:v>
                </c:pt>
                <c:pt idx="22">
                  <c:v>691.29305280000005</c:v>
                </c:pt>
              </c:numCache>
            </c:numRef>
          </c:xVal>
          <c:yVal>
            <c:numRef>
              <c:f>Scaling!$G$2:$G$24</c:f>
              <c:numCache>
                <c:formatCode>0.00%</c:formatCode>
                <c:ptCount val="23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>
                  <c:v>7.7999999999999996E-3</c:v>
                </c:pt>
                <c:pt idx="4">
                  <c:v>2.7300000000000001E-2</c:v>
                </c:pt>
                <c:pt idx="5">
                  <c:v>4.19E-2</c:v>
                </c:pt>
                <c:pt idx="6">
                  <c:v>2.4799999999999999E-2</c:v>
                </c:pt>
                <c:pt idx="7">
                  <c:v>-2.3E-2</c:v>
                </c:pt>
                <c:pt idx="8">
                  <c:v>5.9999999999999995E-4</c:v>
                </c:pt>
                <c:pt idx="9">
                  <c:v>-2.4E-2</c:v>
                </c:pt>
                <c:pt idx="10">
                  <c:v>8.3499999999999998E-3</c:v>
                </c:pt>
                <c:pt idx="11">
                  <c:v>4.3700000000000003E-2</c:v>
                </c:pt>
                <c:pt idx="12">
                  <c:v>0.11899999999999999</c:v>
                </c:pt>
                <c:pt idx="13">
                  <c:v>0.16400000000000001</c:v>
                </c:pt>
                <c:pt idx="14">
                  <c:v>0.108</c:v>
                </c:pt>
                <c:pt idx="15">
                  <c:v>0</c:v>
                </c:pt>
                <c:pt idx="16">
                  <c:v>-7.4999999999999997E-3</c:v>
                </c:pt>
                <c:pt idx="17">
                  <c:v>0.17300000000000001</c:v>
                </c:pt>
                <c:pt idx="18">
                  <c:v>-2.15E-3</c:v>
                </c:pt>
                <c:pt idx="19">
                  <c:v>7.8E-2</c:v>
                </c:pt>
                <c:pt idx="20">
                  <c:v>6.4999999999999997E-3</c:v>
                </c:pt>
                <c:pt idx="21">
                  <c:v>5.0599999999999999E-2</c:v>
                </c:pt>
                <c:pt idx="22">
                  <c:v>0.1055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Scaling!$H$2:$H$24</c:f>
              <c:numCache>
                <c:formatCode>General</c:formatCode>
                <c:ptCount val="23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27.80103828</c:v>
                </c:pt>
                <c:pt idx="4">
                  <c:v>57.251683640000003</c:v>
                </c:pt>
                <c:pt idx="5">
                  <c:v>117.9004628</c:v>
                </c:pt>
                <c:pt idx="6">
                  <c:v>242.7966874</c:v>
                </c:pt>
                <c:pt idx="7">
                  <c:v>500</c:v>
                </c:pt>
                <c:pt idx="8">
                  <c:v>13.5</c:v>
                </c:pt>
                <c:pt idx="9">
                  <c:v>88.845771859999999</c:v>
                </c:pt>
                <c:pt idx="10">
                  <c:v>34.63261353</c:v>
                </c:pt>
                <c:pt idx="11">
                  <c:v>88.845771859999999</c:v>
                </c:pt>
                <c:pt idx="12">
                  <c:v>227.9230579</c:v>
                </c:pt>
                <c:pt idx="13">
                  <c:v>584.70897609999997</c:v>
                </c:pt>
                <c:pt idx="14">
                  <c:v>1500</c:v>
                </c:pt>
                <c:pt idx="15">
                  <c:v>13.5</c:v>
                </c:pt>
                <c:pt idx="16">
                  <c:v>20.149627169999999</c:v>
                </c:pt>
                <c:pt idx="17">
                  <c:v>30.074627790000001</c:v>
                </c:pt>
                <c:pt idx="18">
                  <c:v>20.149627169999999</c:v>
                </c:pt>
                <c:pt idx="19">
                  <c:v>30.074627790000001</c:v>
                </c:pt>
                <c:pt idx="20">
                  <c:v>44.888336090000003</c:v>
                </c:pt>
                <c:pt idx="21">
                  <c:v>66.998758269999996</c:v>
                </c:pt>
                <c:pt idx="22">
                  <c:v>100</c:v>
                </c:pt>
              </c:numCache>
            </c:numRef>
          </c:xVal>
          <c:yVal>
            <c:numRef>
              <c:f>Scaling!$G$2:$G$24</c:f>
              <c:numCache>
                <c:formatCode>0.00%</c:formatCode>
                <c:ptCount val="23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>
                  <c:v>7.7999999999999996E-3</c:v>
                </c:pt>
                <c:pt idx="4">
                  <c:v>2.7300000000000001E-2</c:v>
                </c:pt>
                <c:pt idx="5">
                  <c:v>4.19E-2</c:v>
                </c:pt>
                <c:pt idx="6">
                  <c:v>2.4799999999999999E-2</c:v>
                </c:pt>
                <c:pt idx="7">
                  <c:v>-2.3E-2</c:v>
                </c:pt>
                <c:pt idx="8">
                  <c:v>5.9999999999999995E-4</c:v>
                </c:pt>
                <c:pt idx="9">
                  <c:v>-2.4E-2</c:v>
                </c:pt>
                <c:pt idx="10">
                  <c:v>8.3499999999999998E-3</c:v>
                </c:pt>
                <c:pt idx="11">
                  <c:v>4.3700000000000003E-2</c:v>
                </c:pt>
                <c:pt idx="12">
                  <c:v>0.11899999999999999</c:v>
                </c:pt>
                <c:pt idx="13">
                  <c:v>0.16400000000000001</c:v>
                </c:pt>
                <c:pt idx="14">
                  <c:v>0.108</c:v>
                </c:pt>
                <c:pt idx="15">
                  <c:v>0</c:v>
                </c:pt>
                <c:pt idx="16">
                  <c:v>-7.4999999999999997E-3</c:v>
                </c:pt>
                <c:pt idx="17">
                  <c:v>0.17300000000000001</c:v>
                </c:pt>
                <c:pt idx="18">
                  <c:v>-2.15E-3</c:v>
                </c:pt>
                <c:pt idx="19">
                  <c:v>7.8E-2</c:v>
                </c:pt>
                <c:pt idx="20">
                  <c:v>6.4999999999999997E-3</c:v>
                </c:pt>
                <c:pt idx="21">
                  <c:v>5.0599999999999999E-2</c:v>
                </c:pt>
                <c:pt idx="22">
                  <c:v>0.1055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Scaling!$E$1</c:f>
              <c:strCache>
                <c:ptCount val="1"/>
                <c:pt idx="0">
                  <c:v>Govt Percentage of CDR Market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Scaling!$E$2:$E$24</c:f>
              <c:numCache>
                <c:formatCode>0%</c:formatCode>
                <c:ptCount val="23"/>
                <c:pt idx="0">
                  <c:v>0.40404640545139786</c:v>
                </c:pt>
                <c:pt idx="1">
                  <c:v>0.2857675459404056</c:v>
                </c:pt>
                <c:pt idx="2">
                  <c:v>0.20595755623739934</c:v>
                </c:pt>
                <c:pt idx="3">
                  <c:v>0.7080185525392716</c:v>
                </c:pt>
                <c:pt idx="4">
                  <c:v>0.73340331201342146</c:v>
                </c:pt>
                <c:pt idx="5">
                  <c:v>0.67337701001551531</c:v>
                </c:pt>
                <c:pt idx="6">
                  <c:v>0.61044819596631716</c:v>
                </c:pt>
                <c:pt idx="7">
                  <c:v>0.48675139825969232</c:v>
                </c:pt>
                <c:pt idx="8">
                  <c:v>0.40404640545139786</c:v>
                </c:pt>
                <c:pt idx="9">
                  <c:v>0.14320620148801064</c:v>
                </c:pt>
                <c:pt idx="10">
                  <c:v>0.66061982302997468</c:v>
                </c:pt>
                <c:pt idx="11">
                  <c:v>0.63934303543273963</c:v>
                </c:pt>
                <c:pt idx="12">
                  <c:v>0.51607731125237999</c:v>
                </c:pt>
                <c:pt idx="13">
                  <c:v>0.39419958208013484</c:v>
                </c:pt>
                <c:pt idx="14">
                  <c:v>0.24019347156248674</c:v>
                </c:pt>
                <c:pt idx="15">
                  <c:v>0.40396743487514414</c:v>
                </c:pt>
                <c:pt idx="16">
                  <c:v>0.33734448723978877</c:v>
                </c:pt>
                <c:pt idx="17">
                  <c:v>0.32031968051524407</c:v>
                </c:pt>
                <c:pt idx="18">
                  <c:v>0.75522183279217314</c:v>
                </c:pt>
                <c:pt idx="19">
                  <c:v>0.83328952453018557</c:v>
                </c:pt>
                <c:pt idx="20">
                  <c:v>0.83690216390417715</c:v>
                </c:pt>
                <c:pt idx="21">
                  <c:v>0.85472330738815538</c:v>
                </c:pt>
                <c:pt idx="22">
                  <c:v>0.85534354844886418</c:v>
                </c:pt>
              </c:numCache>
            </c:numRef>
          </c:xVal>
          <c:yVal>
            <c:numRef>
              <c:f>Scaling!$G$2:$G$24</c:f>
              <c:numCache>
                <c:formatCode>0.00%</c:formatCode>
                <c:ptCount val="23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>
                  <c:v>7.7999999999999996E-3</c:v>
                </c:pt>
                <c:pt idx="4">
                  <c:v>2.7300000000000001E-2</c:v>
                </c:pt>
                <c:pt idx="5">
                  <c:v>4.19E-2</c:v>
                </c:pt>
                <c:pt idx="6">
                  <c:v>2.4799999999999999E-2</c:v>
                </c:pt>
                <c:pt idx="7">
                  <c:v>-2.3E-2</c:v>
                </c:pt>
                <c:pt idx="8">
                  <c:v>5.9999999999999995E-4</c:v>
                </c:pt>
                <c:pt idx="9">
                  <c:v>-2.4E-2</c:v>
                </c:pt>
                <c:pt idx="10">
                  <c:v>8.3499999999999998E-3</c:v>
                </c:pt>
                <c:pt idx="11">
                  <c:v>4.3700000000000003E-2</c:v>
                </c:pt>
                <c:pt idx="12">
                  <c:v>0.11899999999999999</c:v>
                </c:pt>
                <c:pt idx="13">
                  <c:v>0.16400000000000001</c:v>
                </c:pt>
                <c:pt idx="14">
                  <c:v>0.108</c:v>
                </c:pt>
                <c:pt idx="15">
                  <c:v>0</c:v>
                </c:pt>
                <c:pt idx="16">
                  <c:v>-7.4999999999999997E-3</c:v>
                </c:pt>
                <c:pt idx="17">
                  <c:v>0.17300000000000001</c:v>
                </c:pt>
                <c:pt idx="18">
                  <c:v>-2.15E-3</c:v>
                </c:pt>
                <c:pt idx="19">
                  <c:v>7.8E-2</c:v>
                </c:pt>
                <c:pt idx="20">
                  <c:v>6.4999999999999997E-3</c:v>
                </c:pt>
                <c:pt idx="21">
                  <c:v>5.0599999999999999E-2</c:v>
                </c:pt>
                <c:pt idx="22">
                  <c:v>0.1055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_xlchart.v1.3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_xlchart.v1.2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24</xdr:row>
      <xdr:rowOff>33337</xdr:rowOff>
    </xdr:from>
    <xdr:to>
      <xdr:col>5</xdr:col>
      <xdr:colOff>323850</xdr:colOff>
      <xdr:row>38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24</xdr:row>
      <xdr:rowOff>33337</xdr:rowOff>
    </xdr:from>
    <xdr:to>
      <xdr:col>13</xdr:col>
      <xdr:colOff>19050</xdr:colOff>
      <xdr:row>38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24</xdr:row>
      <xdr:rowOff>28575</xdr:rowOff>
    </xdr:from>
    <xdr:to>
      <xdr:col>20</xdr:col>
      <xdr:colOff>323850</xdr:colOff>
      <xdr:row>38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H24"/>
  <sheetViews>
    <sheetView workbookViewId="0">
      <selection activeCell="G20" sqref="G20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8">
      <c r="A1" t="s">
        <v>0</v>
      </c>
      <c r="B1" t="s">
        <v>2</v>
      </c>
      <c r="C1" t="s">
        <v>1</v>
      </c>
      <c r="E1" t="s">
        <v>4</v>
      </c>
      <c r="F1" t="s">
        <v>5</v>
      </c>
      <c r="G1" t="s">
        <v>3</v>
      </c>
      <c r="H1" t="s">
        <v>10</v>
      </c>
    </row>
    <row r="2" spans="1:8">
      <c r="A2" t="s">
        <v>7</v>
      </c>
      <c r="B2" t="s">
        <v>6</v>
      </c>
      <c r="C2">
        <v>2025</v>
      </c>
      <c r="E2" s="2">
        <f>(F2-H2)/F2</f>
        <v>0.40404640545139786</v>
      </c>
      <c r="F2">
        <v>22.652770490000002</v>
      </c>
      <c r="G2" s="1">
        <v>5.9999999999999995E-4</v>
      </c>
      <c r="H2">
        <v>13.5</v>
      </c>
    </row>
    <row r="3" spans="1:8">
      <c r="A3" t="s">
        <v>7</v>
      </c>
      <c r="B3" t="s">
        <v>6</v>
      </c>
      <c r="C3">
        <v>2030</v>
      </c>
      <c r="E3" s="2">
        <f t="shared" ref="E3:E24" si="0">(F3-H3)/F3</f>
        <v>0.2857675459404056</v>
      </c>
      <c r="F3">
        <v>38.92435596</v>
      </c>
      <c r="G3" s="1">
        <v>8.9999999999999993E-3</v>
      </c>
      <c r="H3">
        <v>27.80103828</v>
      </c>
    </row>
    <row r="4" spans="1:8">
      <c r="A4" t="s">
        <v>7</v>
      </c>
      <c r="B4" t="s">
        <v>6</v>
      </c>
      <c r="C4">
        <v>2035</v>
      </c>
      <c r="E4" s="2">
        <f t="shared" si="0"/>
        <v>0.20595755623739934</v>
      </c>
      <c r="F4">
        <v>72.101540779999993</v>
      </c>
      <c r="G4" s="1">
        <v>-2.1999999999999999E-2</v>
      </c>
      <c r="H4">
        <v>57.251683640000003</v>
      </c>
    </row>
    <row r="5" spans="1:8">
      <c r="A5" t="s">
        <v>8</v>
      </c>
      <c r="B5" t="s">
        <v>6</v>
      </c>
      <c r="C5">
        <v>2030</v>
      </c>
      <c r="E5" s="2">
        <f t="shared" si="0"/>
        <v>0.7080185525392716</v>
      </c>
      <c r="F5">
        <v>95.2150848</v>
      </c>
      <c r="G5" s="1">
        <v>7.7999999999999996E-3</v>
      </c>
      <c r="H5">
        <v>27.80103828</v>
      </c>
    </row>
    <row r="6" spans="1:8">
      <c r="A6" t="s">
        <v>8</v>
      </c>
      <c r="B6" t="s">
        <v>6</v>
      </c>
      <c r="C6">
        <v>2035</v>
      </c>
      <c r="E6" s="2">
        <f t="shared" si="0"/>
        <v>0.73340331201342146</v>
      </c>
      <c r="F6">
        <v>214.75016840000001</v>
      </c>
      <c r="G6" s="1">
        <v>2.7300000000000001E-2</v>
      </c>
      <c r="H6">
        <v>57.251683640000003</v>
      </c>
    </row>
    <row r="7" spans="1:8">
      <c r="A7" t="s">
        <v>8</v>
      </c>
      <c r="B7" t="s">
        <v>6</v>
      </c>
      <c r="C7">
        <v>2040</v>
      </c>
      <c r="E7" s="2">
        <f t="shared" si="0"/>
        <v>0.67337701001551531</v>
      </c>
      <c r="F7">
        <v>360.96804700000001</v>
      </c>
      <c r="G7" s="1">
        <v>4.19E-2</v>
      </c>
      <c r="H7">
        <v>117.9004628</v>
      </c>
    </row>
    <row r="8" spans="1:8">
      <c r="A8" t="s">
        <v>8</v>
      </c>
      <c r="B8" t="s">
        <v>6</v>
      </c>
      <c r="C8">
        <v>2045</v>
      </c>
      <c r="E8" s="2">
        <f t="shared" si="0"/>
        <v>0.61044819596631716</v>
      </c>
      <c r="F8">
        <v>623.27188550000005</v>
      </c>
      <c r="G8" s="1">
        <v>2.4799999999999999E-2</v>
      </c>
      <c r="H8">
        <v>242.7966874</v>
      </c>
    </row>
    <row r="9" spans="1:8">
      <c r="A9" t="s">
        <v>8</v>
      </c>
      <c r="B9" t="s">
        <v>6</v>
      </c>
      <c r="C9">
        <v>2050</v>
      </c>
      <c r="E9" s="2">
        <f t="shared" si="0"/>
        <v>0.48675139825969232</v>
      </c>
      <c r="F9">
        <v>974.18677479999997</v>
      </c>
      <c r="G9" s="1">
        <v>-2.3E-2</v>
      </c>
      <c r="H9">
        <v>500</v>
      </c>
    </row>
    <row r="10" spans="1:8">
      <c r="A10" t="s">
        <v>7</v>
      </c>
      <c r="B10" t="s">
        <v>9</v>
      </c>
      <c r="C10">
        <v>2025</v>
      </c>
      <c r="E10" s="2">
        <f t="shared" si="0"/>
        <v>0.40404640545139786</v>
      </c>
      <c r="F10">
        <v>22.652770490000002</v>
      </c>
      <c r="G10" s="1">
        <v>5.9999999999999995E-4</v>
      </c>
      <c r="H10">
        <v>13.5</v>
      </c>
    </row>
    <row r="11" spans="1:8">
      <c r="A11" t="s">
        <v>7</v>
      </c>
      <c r="B11" t="s">
        <v>9</v>
      </c>
      <c r="C11">
        <v>2035</v>
      </c>
      <c r="E11" s="2">
        <f t="shared" si="0"/>
        <v>0.14320620148801064</v>
      </c>
      <c r="F11">
        <v>103.695629</v>
      </c>
      <c r="G11" s="1">
        <v>-2.4E-2</v>
      </c>
      <c r="H11">
        <v>88.845771859999999</v>
      </c>
    </row>
    <row r="12" spans="1:8">
      <c r="A12" t="s">
        <v>8</v>
      </c>
      <c r="B12" t="s">
        <v>9</v>
      </c>
      <c r="C12">
        <v>2030</v>
      </c>
      <c r="E12" s="2">
        <f t="shared" si="0"/>
        <v>0.66061982302997468</v>
      </c>
      <c r="F12">
        <v>102.04666</v>
      </c>
      <c r="G12" s="1">
        <v>8.3499999999999998E-3</v>
      </c>
      <c r="H12">
        <v>34.63261353</v>
      </c>
    </row>
    <row r="13" spans="1:8">
      <c r="A13" t="s">
        <v>8</v>
      </c>
      <c r="B13" t="s">
        <v>9</v>
      </c>
      <c r="C13">
        <v>2035</v>
      </c>
      <c r="E13" s="2">
        <f t="shared" si="0"/>
        <v>0.63934303543273963</v>
      </c>
      <c r="F13">
        <v>246.34425669999999</v>
      </c>
      <c r="G13" s="1">
        <v>4.3700000000000003E-2</v>
      </c>
      <c r="H13">
        <v>88.845771859999999</v>
      </c>
    </row>
    <row r="14" spans="1:8">
      <c r="A14" t="s">
        <v>8</v>
      </c>
      <c r="B14" t="s">
        <v>9</v>
      </c>
      <c r="C14">
        <v>2040</v>
      </c>
      <c r="E14" s="2">
        <f t="shared" si="0"/>
        <v>0.51607731125237999</v>
      </c>
      <c r="F14">
        <v>470.9906421</v>
      </c>
      <c r="G14" s="1">
        <v>0.11899999999999999</v>
      </c>
      <c r="H14">
        <v>227.9230579</v>
      </c>
    </row>
    <row r="15" spans="1:8">
      <c r="A15" t="s">
        <v>8</v>
      </c>
      <c r="B15" t="s">
        <v>9</v>
      </c>
      <c r="C15">
        <v>2045</v>
      </c>
      <c r="E15" s="2">
        <f t="shared" si="0"/>
        <v>0.39419958208013484</v>
      </c>
      <c r="F15">
        <v>965.18417420000003</v>
      </c>
      <c r="G15" s="1">
        <v>0.16400000000000001</v>
      </c>
      <c r="H15">
        <v>584.70897609999997</v>
      </c>
    </row>
    <row r="16" spans="1:8">
      <c r="A16" t="s">
        <v>8</v>
      </c>
      <c r="B16" t="s">
        <v>9</v>
      </c>
      <c r="C16">
        <v>2050</v>
      </c>
      <c r="E16" s="2">
        <f t="shared" si="0"/>
        <v>0.24019347156248674</v>
      </c>
      <c r="F16">
        <v>1974.1867749999999</v>
      </c>
      <c r="G16" s="1">
        <v>0.108</v>
      </c>
      <c r="H16">
        <v>1500</v>
      </c>
    </row>
    <row r="17" spans="1:8">
      <c r="A17" t="s">
        <v>7</v>
      </c>
      <c r="B17" t="s">
        <v>11</v>
      </c>
      <c r="C17">
        <v>2025</v>
      </c>
      <c r="E17" s="2">
        <f t="shared" si="0"/>
        <v>0.40396743487514414</v>
      </c>
      <c r="F17">
        <v>22.64976914</v>
      </c>
      <c r="G17" s="1">
        <v>0</v>
      </c>
      <c r="H17">
        <v>13.5</v>
      </c>
    </row>
    <row r="18" spans="1:8">
      <c r="A18" t="s">
        <v>7</v>
      </c>
      <c r="B18" t="s">
        <v>11</v>
      </c>
      <c r="C18">
        <v>2030</v>
      </c>
      <c r="E18" s="2">
        <f t="shared" si="0"/>
        <v>0.33734448723978877</v>
      </c>
      <c r="F18">
        <v>30.407393859999999</v>
      </c>
      <c r="G18" s="1">
        <v>-7.4999999999999997E-3</v>
      </c>
      <c r="H18">
        <v>20.149627169999999</v>
      </c>
    </row>
    <row r="19" spans="1:8">
      <c r="A19" t="s">
        <v>7</v>
      </c>
      <c r="B19" t="s">
        <v>11</v>
      </c>
      <c r="C19">
        <v>2035</v>
      </c>
      <c r="E19" s="2">
        <f t="shared" si="0"/>
        <v>0.32031968051524407</v>
      </c>
      <c r="F19">
        <v>44.248195699999997</v>
      </c>
      <c r="G19" s="1">
        <v>0.17300000000000001</v>
      </c>
      <c r="H19">
        <v>30.074627790000001</v>
      </c>
    </row>
    <row r="20" spans="1:8">
      <c r="A20" t="s">
        <v>8</v>
      </c>
      <c r="B20" t="s">
        <v>11</v>
      </c>
      <c r="C20">
        <v>2030</v>
      </c>
      <c r="E20" s="2">
        <f t="shared" si="0"/>
        <v>0.75522183279217314</v>
      </c>
      <c r="F20">
        <v>82.317910130000001</v>
      </c>
      <c r="G20" s="1">
        <v>-2.15E-3</v>
      </c>
      <c r="H20">
        <v>20.149627169999999</v>
      </c>
    </row>
    <row r="21" spans="1:8">
      <c r="A21" t="s">
        <v>8</v>
      </c>
      <c r="B21" t="s">
        <v>11</v>
      </c>
      <c r="C21">
        <v>2035</v>
      </c>
      <c r="E21" s="2">
        <f t="shared" si="0"/>
        <v>0.83328952453018557</v>
      </c>
      <c r="F21">
        <v>180.40034800000001</v>
      </c>
      <c r="G21" s="1">
        <v>7.8E-2</v>
      </c>
      <c r="H21">
        <v>30.074627790000001</v>
      </c>
    </row>
    <row r="22" spans="1:8">
      <c r="A22" t="s">
        <v>8</v>
      </c>
      <c r="B22" t="s">
        <v>11</v>
      </c>
      <c r="C22">
        <v>2040</v>
      </c>
      <c r="E22" s="2">
        <f t="shared" si="0"/>
        <v>0.83690216390417715</v>
      </c>
      <c r="F22">
        <v>275.22336999999999</v>
      </c>
      <c r="G22" s="1">
        <v>6.4999999999999997E-3</v>
      </c>
      <c r="H22">
        <v>44.888336090000003</v>
      </c>
    </row>
    <row r="23" spans="1:8">
      <c r="A23" t="s">
        <v>8</v>
      </c>
      <c r="B23" t="s">
        <v>11</v>
      </c>
      <c r="C23">
        <v>2045</v>
      </c>
      <c r="E23" s="2">
        <f t="shared" si="0"/>
        <v>0.85472330738815538</v>
      </c>
      <c r="F23">
        <v>461.18036599999999</v>
      </c>
      <c r="G23" s="1">
        <v>5.0599999999999999E-2</v>
      </c>
      <c r="H23">
        <v>66.998758269999996</v>
      </c>
    </row>
    <row r="24" spans="1:8">
      <c r="A24" t="s">
        <v>8</v>
      </c>
      <c r="B24" t="s">
        <v>11</v>
      </c>
      <c r="C24">
        <v>2050</v>
      </c>
      <c r="E24" s="2">
        <f t="shared" si="0"/>
        <v>0.85534354844886418</v>
      </c>
      <c r="F24">
        <v>691.29305280000005</v>
      </c>
      <c r="G24" s="1">
        <v>0.1055</v>
      </c>
      <c r="H24">
        <v>100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tabSelected="1" workbookViewId="0">
      <selection activeCell="L18" sqref="L18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19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3">
        <v>9.1497691446116427</v>
      </c>
      <c r="D2">
        <v>2025</v>
      </c>
      <c r="E2">
        <f t="shared" ref="E2:E13" si="0">H2-I2</f>
        <v>1519.92382194522</v>
      </c>
      <c r="F2">
        <v>3300</v>
      </c>
      <c r="G2" s="2">
        <f>E2/F2</f>
        <v>0.46058297634703638</v>
      </c>
      <c r="H2">
        <v>3736.5136659285899</v>
      </c>
      <c r="I2">
        <v>2216.58984398337</v>
      </c>
    </row>
    <row r="3" spans="1:9">
      <c r="A3" t="s">
        <v>11</v>
      </c>
      <c r="B3" t="s">
        <v>7</v>
      </c>
      <c r="C3" s="3">
        <v>10.257766689126317</v>
      </c>
      <c r="D3">
        <v>2030</v>
      </c>
      <c r="E3">
        <f t="shared" si="0"/>
        <v>1626.1149472671095</v>
      </c>
      <c r="F3">
        <v>3300</v>
      </c>
      <c r="G3" s="2">
        <f t="shared" ref="G3:G13" si="1">E3/F3</f>
        <v>0.49276210523245745</v>
      </c>
      <c r="H3">
        <v>4814.1169809663397</v>
      </c>
      <c r="I3">
        <v>3188.0020336992302</v>
      </c>
    </row>
    <row r="4" spans="1:9">
      <c r="A4" t="s">
        <v>11</v>
      </c>
      <c r="B4" t="s">
        <v>12</v>
      </c>
      <c r="C4" s="3">
        <v>67.381687905293646</v>
      </c>
      <c r="D4">
        <v>2030</v>
      </c>
      <c r="E4">
        <f t="shared" si="0"/>
        <v>9886.2493241159682</v>
      </c>
      <c r="F4">
        <v>20000</v>
      </c>
      <c r="G4" s="2">
        <f t="shared" si="1"/>
        <v>0.49431246620579838</v>
      </c>
      <c r="H4">
        <v>13074.251357815199</v>
      </c>
      <c r="I4">
        <v>3188.0020336992302</v>
      </c>
    </row>
    <row r="5" spans="1:9">
      <c r="A5" t="s">
        <v>11</v>
      </c>
      <c r="B5" t="s">
        <v>13</v>
      </c>
      <c r="C5" s="3">
        <v>5</v>
      </c>
      <c r="D5">
        <v>2030</v>
      </c>
      <c r="E5">
        <f t="shared" si="0"/>
        <v>793.51772730403991</v>
      </c>
      <c r="F5">
        <v>1608</v>
      </c>
      <c r="G5" s="2">
        <f t="shared" si="1"/>
        <v>0.49348117369654221</v>
      </c>
      <c r="H5">
        <v>3981.5197610032701</v>
      </c>
      <c r="I5">
        <v>3188.0020336992302</v>
      </c>
    </row>
    <row r="6" spans="1:9">
      <c r="A6" t="s">
        <v>6</v>
      </c>
      <c r="B6" t="s">
        <v>7</v>
      </c>
      <c r="C6" s="3">
        <v>9.1527704871198079</v>
      </c>
      <c r="D6">
        <v>2025</v>
      </c>
      <c r="E6">
        <f t="shared" si="0"/>
        <v>1521.9699999999998</v>
      </c>
      <c r="F6">
        <v>3300</v>
      </c>
      <c r="G6" s="2">
        <f t="shared" si="1"/>
        <v>0.46120303030303023</v>
      </c>
      <c r="H6" s="4">
        <v>3302.97</v>
      </c>
      <c r="I6" s="4">
        <v>1781</v>
      </c>
    </row>
    <row r="7" spans="1:9">
      <c r="A7" t="s">
        <v>6</v>
      </c>
      <c r="B7" t="s">
        <v>7</v>
      </c>
      <c r="C7" s="3">
        <v>11.123317675046577</v>
      </c>
      <c r="D7">
        <v>2030</v>
      </c>
      <c r="E7">
        <f t="shared" si="0"/>
        <v>1195</v>
      </c>
      <c r="F7">
        <v>3300</v>
      </c>
      <c r="G7" s="2">
        <f t="shared" si="1"/>
        <v>0.36212121212121212</v>
      </c>
      <c r="H7" s="4">
        <v>3330</v>
      </c>
      <c r="I7" s="4">
        <v>2135</v>
      </c>
    </row>
    <row r="8" spans="1:9">
      <c r="A8" t="s">
        <v>6</v>
      </c>
      <c r="B8" t="s">
        <v>12</v>
      </c>
      <c r="C8" s="3">
        <v>67.381687905293646</v>
      </c>
      <c r="D8">
        <v>2030</v>
      </c>
      <c r="E8">
        <f t="shared" si="0"/>
        <v>7135</v>
      </c>
      <c r="F8">
        <v>20000</v>
      </c>
      <c r="G8" s="2">
        <f t="shared" si="1"/>
        <v>0.35675000000000001</v>
      </c>
      <c r="H8" s="4">
        <v>20155</v>
      </c>
      <c r="I8" s="4">
        <v>13020</v>
      </c>
    </row>
    <row r="9" spans="1:9">
      <c r="A9" t="s">
        <v>6</v>
      </c>
      <c r="B9" t="s">
        <v>13</v>
      </c>
      <c r="C9" s="3">
        <v>5</v>
      </c>
      <c r="D9">
        <v>2030</v>
      </c>
      <c r="E9">
        <f t="shared" si="0"/>
        <v>549.20000000000005</v>
      </c>
      <c r="F9">
        <v>1484</v>
      </c>
      <c r="G9" s="2">
        <f t="shared" si="1"/>
        <v>0.37008086253369277</v>
      </c>
      <c r="H9" s="4">
        <v>1480</v>
      </c>
      <c r="I9" s="4">
        <v>930.8</v>
      </c>
    </row>
    <row r="10" spans="1:9">
      <c r="A10" t="s">
        <v>9</v>
      </c>
      <c r="B10" t="s">
        <v>7</v>
      </c>
      <c r="C10" s="3">
        <v>11.123317675046577</v>
      </c>
      <c r="D10">
        <v>2025</v>
      </c>
      <c r="E10">
        <f t="shared" si="0"/>
        <v>1521.3599999999997</v>
      </c>
      <c r="F10">
        <v>3300</v>
      </c>
      <c r="G10" s="2">
        <f t="shared" si="1"/>
        <v>0.46101818181818172</v>
      </c>
      <c r="H10" s="4">
        <v>3302.74</v>
      </c>
      <c r="I10" s="4">
        <v>1781.38</v>
      </c>
    </row>
    <row r="11" spans="1:9">
      <c r="A11" t="s">
        <v>9</v>
      </c>
      <c r="B11" t="s">
        <v>7</v>
      </c>
      <c r="C11" s="3">
        <v>14.849857137390348</v>
      </c>
      <c r="D11">
        <v>2030</v>
      </c>
      <c r="G11" s="2"/>
      <c r="H11" s="4"/>
      <c r="I11" s="4"/>
    </row>
    <row r="12" spans="1:9">
      <c r="A12" t="s">
        <v>9</v>
      </c>
      <c r="B12" t="s">
        <v>12</v>
      </c>
      <c r="C12" s="3">
        <v>67.41404651543381</v>
      </c>
      <c r="D12">
        <v>2030</v>
      </c>
      <c r="E12">
        <f t="shared" si="0"/>
        <v>7172.6200000000008</v>
      </c>
      <c r="F12">
        <v>20000</v>
      </c>
      <c r="G12" s="2">
        <f t="shared" si="1"/>
        <v>0.35863100000000003</v>
      </c>
      <c r="H12" s="4">
        <v>20167</v>
      </c>
      <c r="I12" s="4">
        <v>12994.38</v>
      </c>
    </row>
    <row r="13" spans="1:9">
      <c r="A13" t="s">
        <v>9</v>
      </c>
      <c r="B13" t="s">
        <v>13</v>
      </c>
      <c r="C13" s="3">
        <v>5</v>
      </c>
      <c r="D13">
        <v>2030</v>
      </c>
      <c r="E13">
        <f t="shared" si="0"/>
        <v>560.15999999999985</v>
      </c>
      <c r="F13">
        <v>1483</v>
      </c>
      <c r="G13" s="2">
        <f t="shared" si="1"/>
        <v>0.37772083614295338</v>
      </c>
      <c r="H13" s="4">
        <v>1502.36</v>
      </c>
      <c r="I13" s="4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N73"/>
  <sheetViews>
    <sheetView topLeftCell="A33" workbookViewId="0">
      <selection activeCell="J41" sqref="J41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14">
      <c r="A1" t="s">
        <v>2</v>
      </c>
      <c r="B1" t="s">
        <v>1</v>
      </c>
      <c r="C1" t="s">
        <v>20</v>
      </c>
      <c r="D1" t="s">
        <v>25</v>
      </c>
      <c r="E1" t="s">
        <v>26</v>
      </c>
      <c r="F1" t="s">
        <v>13</v>
      </c>
      <c r="G1" t="s">
        <v>8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</row>
    <row r="2" spans="1:14">
      <c r="A2" t="s">
        <v>6</v>
      </c>
      <c r="B2">
        <v>2025</v>
      </c>
      <c r="C2" t="s">
        <v>21</v>
      </c>
      <c r="I2" s="3">
        <f>E2-$D2</f>
        <v>0</v>
      </c>
      <c r="J2" s="3"/>
      <c r="K2" s="3"/>
      <c r="L2" s="2">
        <f>I2/SUM(I2:I5)</f>
        <v>0</v>
      </c>
      <c r="M2" s="2"/>
      <c r="N2" s="2"/>
    </row>
    <row r="3" spans="1:14">
      <c r="A3" t="s">
        <v>6</v>
      </c>
      <c r="B3">
        <v>2025</v>
      </c>
      <c r="C3" t="s">
        <v>22</v>
      </c>
      <c r="D3" s="3">
        <v>12.302540506666601</v>
      </c>
      <c r="E3" s="3">
        <v>20.75363917</v>
      </c>
      <c r="F3" s="3">
        <v>12.38344833</v>
      </c>
      <c r="G3" s="3">
        <v>12.337415273333299</v>
      </c>
      <c r="I3" s="3">
        <f t="shared" ref="I3:I13" si="0">E3-$D3</f>
        <v>8.4510986633333989</v>
      </c>
      <c r="J3" s="3"/>
      <c r="K3" s="3"/>
      <c r="L3" s="2">
        <f>I3/SUM(I2:I5)</f>
        <v>0.91515732423128149</v>
      </c>
      <c r="M3" s="2"/>
      <c r="N3" s="2"/>
    </row>
    <row r="4" spans="1:14">
      <c r="A4" t="s">
        <v>6</v>
      </c>
      <c r="B4">
        <v>2025</v>
      </c>
      <c r="C4" t="s">
        <v>23</v>
      </c>
      <c r="D4" s="3">
        <v>0.75969476000000002</v>
      </c>
      <c r="E4" s="3">
        <v>1.26107314666666</v>
      </c>
      <c r="F4" s="3">
        <v>0.74495450333333302</v>
      </c>
      <c r="G4" s="3">
        <v>0.74290502000000003</v>
      </c>
      <c r="I4" s="3">
        <f t="shared" si="0"/>
        <v>0.50137838666666001</v>
      </c>
      <c r="J4" s="3"/>
      <c r="K4" s="3"/>
      <c r="L4" s="2">
        <f>I4/SUM(I2:I5)</f>
        <v>5.4293544667750375E-2</v>
      </c>
      <c r="M4" s="2"/>
      <c r="N4" s="2"/>
    </row>
    <row r="5" spans="1:14">
      <c r="A5" t="s">
        <v>6</v>
      </c>
      <c r="B5">
        <v>2025</v>
      </c>
      <c r="C5" t="s">
        <v>24</v>
      </c>
      <c r="D5" s="3">
        <v>0.17843507</v>
      </c>
      <c r="E5" s="3">
        <v>0.46054363666666598</v>
      </c>
      <c r="F5" s="3">
        <v>0.174611396666666</v>
      </c>
      <c r="G5" s="3">
        <v>0.173851956666666</v>
      </c>
      <c r="I5" s="3">
        <f t="shared" si="0"/>
        <v>0.28210856666666595</v>
      </c>
      <c r="J5" s="3"/>
      <c r="K5" s="3"/>
      <c r="L5" s="2">
        <f>I5/SUM(I2:I5)</f>
        <v>3.0549131100968078E-2</v>
      </c>
      <c r="M5" s="2"/>
      <c r="N5" s="2"/>
    </row>
    <row r="6" spans="1:14">
      <c r="A6" t="s">
        <v>6</v>
      </c>
      <c r="B6">
        <v>2030</v>
      </c>
      <c r="C6" t="s">
        <v>21</v>
      </c>
      <c r="D6" s="3">
        <v>8.65097456666666</v>
      </c>
      <c r="E6" s="3">
        <v>11.925114263333301</v>
      </c>
      <c r="F6" s="3">
        <v>10.037346550000001</v>
      </c>
      <c r="G6" s="3">
        <v>29.0249384333333</v>
      </c>
      <c r="I6" s="3">
        <f t="shared" si="0"/>
        <v>3.2741396966666407</v>
      </c>
      <c r="J6" s="3">
        <f t="shared" ref="J6:K17" si="1">F6-$D6</f>
        <v>1.3863719833333406</v>
      </c>
      <c r="K6" s="3">
        <f t="shared" si="1"/>
        <v>20.373963866666642</v>
      </c>
      <c r="L6" s="2">
        <f>I6/SUM(I6:I9)</f>
        <v>0.29026154892397193</v>
      </c>
      <c r="M6" s="2">
        <f>J6/SUM(J6:J9)</f>
        <v>0.27495341571805787</v>
      </c>
      <c r="N6" s="2">
        <f>K6/SUM(K6:K9)</f>
        <v>0.30065410025493072</v>
      </c>
    </row>
    <row r="7" spans="1:14">
      <c r="A7" t="s">
        <v>6</v>
      </c>
      <c r="B7">
        <v>2030</v>
      </c>
      <c r="C7" t="s">
        <v>22</v>
      </c>
      <c r="D7" s="3">
        <v>15.9532513066666</v>
      </c>
      <c r="E7" s="3">
        <v>22.5884521133333</v>
      </c>
      <c r="F7" s="3">
        <v>19.007243493333299</v>
      </c>
      <c r="G7" s="3">
        <v>55.595604350000002</v>
      </c>
      <c r="I7" s="3">
        <f t="shared" si="0"/>
        <v>6.6352008066667008</v>
      </c>
      <c r="J7" s="3">
        <f t="shared" si="1"/>
        <v>3.053992186666699</v>
      </c>
      <c r="K7" s="3">
        <f t="shared" si="1"/>
        <v>39.642353043333401</v>
      </c>
      <c r="L7" s="2">
        <f>I7/SUM(I6:I9)</f>
        <v>0.58822892179140773</v>
      </c>
      <c r="M7" s="2">
        <f>J7/SUM(J6:J9)</f>
        <v>0.60568562650935354</v>
      </c>
      <c r="N7" s="2">
        <f>K7/SUM(K6:K9)</f>
        <v>0.58499347815824465</v>
      </c>
    </row>
    <row r="8" spans="1:14">
      <c r="A8" t="s">
        <v>6</v>
      </c>
      <c r="B8">
        <v>2030</v>
      </c>
      <c r="C8" t="s">
        <v>23</v>
      </c>
      <c r="D8" s="3">
        <v>1.8031504333333299</v>
      </c>
      <c r="E8" s="3">
        <v>2.57378616</v>
      </c>
      <c r="F8" s="3">
        <v>2.1532217299999998</v>
      </c>
      <c r="G8" s="3">
        <v>6.3818963266666602</v>
      </c>
      <c r="I8" s="3">
        <f t="shared" si="0"/>
        <v>0.77063572666667013</v>
      </c>
      <c r="J8" s="3">
        <f t="shared" si="1"/>
        <v>0.35007129666666992</v>
      </c>
      <c r="K8" s="3">
        <f t="shared" si="1"/>
        <v>4.5787458933333305</v>
      </c>
      <c r="L8" s="2">
        <f>I8/SUM(I6:I9)</f>
        <v>6.8318990758442624E-2</v>
      </c>
      <c r="M8" s="2">
        <f>J8/SUM(J6:J9)</f>
        <v>6.9428190933231826E-2</v>
      </c>
      <c r="N8" s="2">
        <f>K8/SUM(K6:K9)</f>
        <v>6.7567545317401126E-2</v>
      </c>
    </row>
    <row r="9" spans="1:14">
      <c r="A9" t="s">
        <v>6</v>
      </c>
      <c r="B9">
        <v>2030</v>
      </c>
      <c r="C9" t="s">
        <v>24</v>
      </c>
      <c r="D9" s="3">
        <v>0.93724469666666599</v>
      </c>
      <c r="E9" s="3">
        <v>1.53723203333333</v>
      </c>
      <c r="F9" s="3">
        <v>1.1890160333333299</v>
      </c>
      <c r="G9" s="3">
        <v>4.1076434300000004</v>
      </c>
      <c r="I9" s="3">
        <f t="shared" si="0"/>
        <v>0.59998733666666404</v>
      </c>
      <c r="J9" s="3">
        <f t="shared" si="1"/>
        <v>0.25177133666666396</v>
      </c>
      <c r="K9" s="3">
        <f t="shared" si="1"/>
        <v>3.1703987333333346</v>
      </c>
      <c r="L9" s="2">
        <f>I9/SUM(I6:I9)</f>
        <v>5.3190538526177646E-2</v>
      </c>
      <c r="M9" s="2">
        <f>J9/SUM(J6:J9)</f>
        <v>4.993276683935681E-2</v>
      </c>
      <c r="N9" s="2">
        <f>K9/SUM(K6:K9)</f>
        <v>4.6784876269423577E-2</v>
      </c>
    </row>
    <row r="10" spans="1:14">
      <c r="A10" t="s">
        <v>6</v>
      </c>
      <c r="B10">
        <v>2035</v>
      </c>
      <c r="C10" t="s">
        <v>21</v>
      </c>
      <c r="D10" s="3">
        <v>32.8174128333333</v>
      </c>
      <c r="E10" s="3">
        <v>40.421700000000001</v>
      </c>
      <c r="F10" s="3">
        <v>37.7868285666666</v>
      </c>
      <c r="G10" s="3">
        <v>114.596670466666</v>
      </c>
      <c r="I10" s="3">
        <f t="shared" si="0"/>
        <v>7.6042871666667011</v>
      </c>
      <c r="J10" s="3">
        <f t="shared" si="1"/>
        <v>4.9694157333332996</v>
      </c>
      <c r="K10" s="3">
        <f t="shared" si="1"/>
        <v>81.779257633332691</v>
      </c>
      <c r="L10" s="2">
        <f>I10/SUM(I10:I13)</f>
        <v>0.51139464221983688</v>
      </c>
      <c r="M10" s="2">
        <f>J10/SUM(J10:J13)</f>
        <v>0.49509882031009567</v>
      </c>
      <c r="N10" s="2">
        <f>K10/SUM(K10:K13)</f>
        <v>0.51852648076029639</v>
      </c>
    </row>
    <row r="11" spans="1:14">
      <c r="A11" t="s">
        <v>6</v>
      </c>
      <c r="B11">
        <v>2035</v>
      </c>
      <c r="C11" t="s">
        <v>22</v>
      </c>
      <c r="D11" s="3">
        <v>6.3966195333333298</v>
      </c>
      <c r="E11" s="3">
        <v>8.06076223333333</v>
      </c>
      <c r="F11" s="3">
        <v>7.4923460333333303</v>
      </c>
      <c r="G11" s="3">
        <v>26.1684194933333</v>
      </c>
      <c r="I11" s="3">
        <f t="shared" si="0"/>
        <v>1.6641427000000002</v>
      </c>
      <c r="J11" s="3">
        <f t="shared" si="1"/>
        <v>1.0957265000000005</v>
      </c>
      <c r="K11" s="3">
        <f t="shared" si="1"/>
        <v>19.771799959999971</v>
      </c>
      <c r="L11" s="2">
        <f>I11/SUM(I10:I13)</f>
        <v>0.11191498190648941</v>
      </c>
      <c r="M11" s="2">
        <f>J11/SUM(J10:J13)</f>
        <v>0.10916633396027549</v>
      </c>
      <c r="N11" s="2">
        <f>K11/SUM(K10:K13)</f>
        <v>0.12536433012784678</v>
      </c>
    </row>
    <row r="12" spans="1:14">
      <c r="A12" t="s">
        <v>6</v>
      </c>
      <c r="B12">
        <v>2035</v>
      </c>
      <c r="C12" t="s">
        <v>23</v>
      </c>
      <c r="D12" s="3">
        <v>8.9131753333333297</v>
      </c>
      <c r="E12" s="3">
        <v>11.88907687</v>
      </c>
      <c r="F12" s="3">
        <v>11.058108819999999</v>
      </c>
      <c r="G12" s="3">
        <v>38.070494366666601</v>
      </c>
      <c r="I12" s="3">
        <f t="shared" si="0"/>
        <v>2.9759015366666706</v>
      </c>
      <c r="J12" s="3">
        <f t="shared" si="1"/>
        <v>2.1449334866666696</v>
      </c>
      <c r="K12" s="3">
        <f t="shared" si="1"/>
        <v>29.157319033333273</v>
      </c>
      <c r="L12" s="2">
        <f>I12/SUM(I10:I13)</f>
        <v>0.20013185565849878</v>
      </c>
      <c r="M12" s="2">
        <f>J12/SUM(J10:J13)</f>
        <v>0.21369796689961559</v>
      </c>
      <c r="N12" s="2">
        <f>K12/SUM(K10:K13)</f>
        <v>0.1848737988616464</v>
      </c>
    </row>
    <row r="13" spans="1:14">
      <c r="A13" t="s">
        <v>6</v>
      </c>
      <c r="B13">
        <v>2035</v>
      </c>
      <c r="C13" t="s">
        <v>24</v>
      </c>
      <c r="D13" s="3">
        <v>8.8559258333333304</v>
      </c>
      <c r="E13" s="3">
        <v>11.481298839999999</v>
      </c>
      <c r="F13" s="3">
        <v>10.683070016666599</v>
      </c>
      <c r="G13" s="3">
        <v>35.862267099999997</v>
      </c>
      <c r="I13" s="3">
        <f t="shared" si="0"/>
        <v>2.6253730066666687</v>
      </c>
      <c r="J13" s="3">
        <f t="shared" si="1"/>
        <v>1.8271441833332691</v>
      </c>
      <c r="K13" s="3">
        <f t="shared" si="1"/>
        <v>27.006341266666666</v>
      </c>
      <c r="L13" s="2">
        <f>I13/SUM(I10:I13)</f>
        <v>0.17655852021517499</v>
      </c>
      <c r="M13" s="2">
        <f>J13/SUM(J10:J13)</f>
        <v>0.18203687883001313</v>
      </c>
      <c r="N13" s="2">
        <f>K13/SUM(K10:K13)</f>
        <v>0.17123539025021053</v>
      </c>
    </row>
    <row r="14" spans="1:14">
      <c r="A14" t="s">
        <v>6</v>
      </c>
      <c r="B14">
        <v>2040</v>
      </c>
      <c r="C14" t="s">
        <v>21</v>
      </c>
      <c r="D14" s="3">
        <v>59.1438998333333</v>
      </c>
      <c r="E14" s="3">
        <v>56.976563966666603</v>
      </c>
      <c r="F14" s="3">
        <v>56.951071833333302</v>
      </c>
      <c r="G14" s="3">
        <v>154.085919166666</v>
      </c>
      <c r="I14" s="3"/>
      <c r="J14" s="3"/>
      <c r="K14" s="3">
        <f t="shared" si="1"/>
        <v>94.942019333332695</v>
      </c>
      <c r="L14" s="2"/>
      <c r="M14" s="2"/>
      <c r="N14" s="2">
        <f>K14/SUM(K14:K17)</f>
        <v>0.39032213669832749</v>
      </c>
    </row>
    <row r="15" spans="1:14">
      <c r="A15" t="s">
        <v>6</v>
      </c>
      <c r="B15">
        <v>2040</v>
      </c>
      <c r="C15" t="s">
        <v>22</v>
      </c>
      <c r="D15" s="3">
        <v>11.3755561333333</v>
      </c>
      <c r="E15" s="3">
        <v>11.1483247333333</v>
      </c>
      <c r="F15" s="3">
        <v>11.153745166666599</v>
      </c>
      <c r="G15" s="3">
        <v>39.758809566666599</v>
      </c>
      <c r="I15" s="3"/>
      <c r="J15" s="3"/>
      <c r="K15" s="3">
        <f t="shared" si="1"/>
        <v>28.383253433333302</v>
      </c>
      <c r="L15" s="2"/>
      <c r="M15" s="2"/>
      <c r="N15" s="2">
        <f>K15/SUM(K14:K17)</f>
        <v>0.1166881872151129</v>
      </c>
    </row>
    <row r="16" spans="1:14">
      <c r="A16" t="s">
        <v>6</v>
      </c>
      <c r="B16">
        <v>2040</v>
      </c>
      <c r="C16" t="s">
        <v>23</v>
      </c>
      <c r="D16" s="3">
        <v>19.689983866666601</v>
      </c>
      <c r="E16" s="3">
        <v>21.142851033333301</v>
      </c>
      <c r="F16" s="3">
        <v>21.151816766666599</v>
      </c>
      <c r="G16" s="3">
        <v>74.714340066666594</v>
      </c>
      <c r="I16" s="3"/>
      <c r="J16" s="3"/>
      <c r="K16" s="3">
        <f t="shared" si="1"/>
        <v>55.024356199999993</v>
      </c>
      <c r="L16" s="2"/>
      <c r="M16" s="2"/>
      <c r="N16" s="2">
        <f>K16/SUM(K14:K17)</f>
        <v>0.22621410870806635</v>
      </c>
    </row>
    <row r="17" spans="1:14">
      <c r="A17" t="s">
        <v>6</v>
      </c>
      <c r="B17">
        <v>2040</v>
      </c>
      <c r="C17" t="s">
        <v>24</v>
      </c>
      <c r="D17" s="3">
        <v>27.481140133333302</v>
      </c>
      <c r="E17" s="3">
        <v>28.4615771</v>
      </c>
      <c r="F17" s="3">
        <v>28.472625499999999</v>
      </c>
      <c r="G17" s="3">
        <v>92.371672066666605</v>
      </c>
      <c r="I17" s="3"/>
      <c r="J17" s="3"/>
      <c r="K17" s="3">
        <f t="shared" si="1"/>
        <v>64.890531933333307</v>
      </c>
      <c r="L17" s="2"/>
      <c r="M17" s="2"/>
      <c r="N17" s="2">
        <f>K17/SUM(K14:K17)</f>
        <v>0.26677556737849328</v>
      </c>
    </row>
    <row r="18" spans="1:14">
      <c r="A18" t="s">
        <v>6</v>
      </c>
      <c r="B18">
        <v>2045</v>
      </c>
      <c r="C18" t="s">
        <v>21</v>
      </c>
      <c r="D18" s="3">
        <v>110.52516749999999</v>
      </c>
      <c r="E18" s="3">
        <v>105.954286533333</v>
      </c>
      <c r="F18" s="3">
        <v>105.939343766666</v>
      </c>
      <c r="G18" s="3">
        <v>242.41138166666599</v>
      </c>
      <c r="I18" s="3"/>
      <c r="J18" s="3"/>
      <c r="K18" s="3">
        <f t="shared" ref="K18:K25" si="2">G18-$D18</f>
        <v>131.88621416666598</v>
      </c>
      <c r="L18" s="2"/>
      <c r="M18" s="2"/>
      <c r="N18" s="2">
        <f>K18/SUM(K18:K21)</f>
        <v>0.34646965147739606</v>
      </c>
    </row>
    <row r="19" spans="1:14">
      <c r="A19" t="s">
        <v>6</v>
      </c>
      <c r="B19">
        <v>2045</v>
      </c>
      <c r="C19" t="s">
        <v>22</v>
      </c>
      <c r="D19" s="3">
        <v>22.4968641333333</v>
      </c>
      <c r="E19" s="3">
        <v>21.9651751</v>
      </c>
      <c r="F19" s="3">
        <v>21.967353466666601</v>
      </c>
      <c r="G19" s="3">
        <v>63.072072800000001</v>
      </c>
      <c r="I19" s="3"/>
      <c r="J19" s="3"/>
      <c r="K19" s="3">
        <f t="shared" si="2"/>
        <v>40.575208666666697</v>
      </c>
      <c r="L19" s="2"/>
      <c r="M19" s="2"/>
      <c r="N19" s="2">
        <f>K19/SUM(K18:K21)</f>
        <v>0.10659247817665984</v>
      </c>
    </row>
    <row r="20" spans="1:14">
      <c r="A20" t="s">
        <v>6</v>
      </c>
      <c r="B20">
        <v>2045</v>
      </c>
      <c r="C20" t="s">
        <v>23</v>
      </c>
      <c r="D20" s="3">
        <v>33.472099466666599</v>
      </c>
      <c r="E20" s="3">
        <v>35.921076766666602</v>
      </c>
      <c r="F20" s="3">
        <v>35.926912266666598</v>
      </c>
      <c r="G20" s="3">
        <v>111.966809166666</v>
      </c>
      <c r="I20" s="3"/>
      <c r="J20" s="3"/>
      <c r="K20" s="3">
        <f t="shared" si="2"/>
        <v>78.49470969999939</v>
      </c>
      <c r="L20" s="2"/>
      <c r="M20" s="2"/>
      <c r="N20" s="2">
        <f>K20/SUM(K18:K21)</f>
        <v>0.20620832044060539</v>
      </c>
    </row>
    <row r="21" spans="1:14">
      <c r="A21" t="s">
        <v>6</v>
      </c>
      <c r="B21">
        <v>2045</v>
      </c>
      <c r="C21" t="s">
        <v>24</v>
      </c>
      <c r="D21" s="3">
        <v>76.120413600000006</v>
      </c>
      <c r="E21" s="3">
        <v>78.775144066666599</v>
      </c>
      <c r="F21" s="3">
        <v>78.782043999999999</v>
      </c>
      <c r="G21" s="3">
        <v>205.82161600000001</v>
      </c>
      <c r="I21" s="3"/>
      <c r="J21" s="3"/>
      <c r="K21" s="3">
        <f t="shared" si="2"/>
        <v>129.7012024</v>
      </c>
      <c r="L21" s="2"/>
      <c r="M21" s="2"/>
      <c r="N21" s="2">
        <f>K21/SUM(K18:K21)</f>
        <v>0.34072954990533866</v>
      </c>
    </row>
    <row r="22" spans="1:14">
      <c r="A22" t="s">
        <v>6</v>
      </c>
      <c r="B22">
        <v>2050</v>
      </c>
      <c r="C22" t="s">
        <v>21</v>
      </c>
      <c r="D22" s="3">
        <v>206.888348333333</v>
      </c>
      <c r="E22" s="3">
        <v>198.573914</v>
      </c>
      <c r="F22" s="3">
        <v>198.586344</v>
      </c>
      <c r="G22" s="3">
        <v>297.99930599999999</v>
      </c>
      <c r="I22" s="3"/>
      <c r="J22" s="3"/>
      <c r="K22" s="3">
        <f t="shared" si="2"/>
        <v>91.110957666666991</v>
      </c>
      <c r="L22" s="2"/>
      <c r="M22" s="2"/>
      <c r="N22" s="2">
        <f>K22/SUM(K22:K25)</f>
        <v>0.19206759514842348</v>
      </c>
    </row>
    <row r="23" spans="1:14">
      <c r="A23" t="s">
        <v>6</v>
      </c>
      <c r="B23">
        <v>2050</v>
      </c>
      <c r="C23" t="s">
        <v>22</v>
      </c>
      <c r="D23" s="3">
        <v>49.988974566666599</v>
      </c>
      <c r="E23" s="3">
        <v>48.593891499999998</v>
      </c>
      <c r="F23" s="3">
        <v>48.593863266666602</v>
      </c>
      <c r="G23" s="3">
        <v>119.52430123333301</v>
      </c>
      <c r="I23" s="3"/>
      <c r="J23" s="3"/>
      <c r="K23" s="3">
        <f t="shared" si="2"/>
        <v>69.535326666666407</v>
      </c>
      <c r="L23" s="2"/>
      <c r="M23" s="2"/>
      <c r="N23" s="2">
        <f>K23/SUM(K22:K25)</f>
        <v>0.14658481606118351</v>
      </c>
    </row>
    <row r="24" spans="1:14">
      <c r="A24" t="s">
        <v>6</v>
      </c>
      <c r="B24">
        <v>2050</v>
      </c>
      <c r="C24" t="s">
        <v>23</v>
      </c>
      <c r="D24" s="3">
        <v>65.061545266666599</v>
      </c>
      <c r="E24" s="3">
        <v>69.434285799999998</v>
      </c>
      <c r="F24" s="3">
        <v>69.436308333333301</v>
      </c>
      <c r="G24" s="3">
        <v>182.065700666666</v>
      </c>
      <c r="I24" s="3"/>
      <c r="J24" s="3"/>
      <c r="K24" s="3">
        <f t="shared" si="2"/>
        <v>117.00415539999941</v>
      </c>
      <c r="L24" s="2"/>
      <c r="M24" s="2"/>
      <c r="N24" s="2">
        <f>K24/SUM(K22:K25)</f>
        <v>0.2466520748499603</v>
      </c>
    </row>
    <row r="25" spans="1:14">
      <c r="A25" t="s">
        <v>6</v>
      </c>
      <c r="B25">
        <v>2050</v>
      </c>
      <c r="C25" t="s">
        <v>24</v>
      </c>
      <c r="D25" s="3">
        <v>177.878598333333</v>
      </c>
      <c r="E25" s="3">
        <v>183.20800850000001</v>
      </c>
      <c r="F25" s="3">
        <v>183.19356916666601</v>
      </c>
      <c r="G25" s="3">
        <v>374.59739093333297</v>
      </c>
      <c r="I25" s="3"/>
      <c r="J25" s="3"/>
      <c r="K25" s="3">
        <f t="shared" si="2"/>
        <v>196.71879259999997</v>
      </c>
      <c r="L25" s="2"/>
      <c r="M25" s="2"/>
      <c r="N25" s="2">
        <f>K25/SUM(K22:K25)</f>
        <v>0.41469551394043275</v>
      </c>
    </row>
    <row r="26" spans="1:14">
      <c r="A26" t="s">
        <v>9</v>
      </c>
      <c r="B26">
        <v>2025</v>
      </c>
      <c r="C26" t="s">
        <v>21</v>
      </c>
      <c r="I26" s="3">
        <f>E26-$D26</f>
        <v>0</v>
      </c>
      <c r="J26" s="3"/>
      <c r="K26" s="3"/>
      <c r="L26" s="2">
        <f>I26/SUM(I26:I29)</f>
        <v>0</v>
      </c>
      <c r="M26" s="2"/>
      <c r="N26" s="2"/>
    </row>
    <row r="27" spans="1:14">
      <c r="A27" t="s">
        <v>9</v>
      </c>
      <c r="B27">
        <v>2025</v>
      </c>
      <c r="C27" t="s">
        <v>22</v>
      </c>
      <c r="D27">
        <v>12.3018890866666</v>
      </c>
      <c r="E27">
        <v>20.753885093333299</v>
      </c>
      <c r="F27" s="3"/>
      <c r="G27" s="3"/>
      <c r="I27" s="3">
        <f t="shared" ref="I27:I37" si="3">E27-$D27</f>
        <v>8.4519960066666986</v>
      </c>
      <c r="J27" s="3"/>
      <c r="K27" s="3"/>
      <c r="L27" s="2">
        <f>I27/SUM(I26:I29)</f>
        <v>0.91523639156372061</v>
      </c>
      <c r="M27" s="2"/>
      <c r="N27" s="2"/>
    </row>
    <row r="28" spans="1:14">
      <c r="A28" t="s">
        <v>9</v>
      </c>
      <c r="B28">
        <v>2025</v>
      </c>
      <c r="C28" t="s">
        <v>23</v>
      </c>
      <c r="D28">
        <v>0.76009263000000005</v>
      </c>
      <c r="E28">
        <v>1.2608490400000001</v>
      </c>
      <c r="F28" s="3"/>
      <c r="G28" s="3"/>
      <c r="I28" s="3">
        <f t="shared" si="3"/>
        <v>0.50075641000000004</v>
      </c>
      <c r="J28" s="3"/>
      <c r="K28" s="3"/>
      <c r="L28" s="2">
        <f>I28/SUM(I26:I29)</f>
        <v>5.4225119058184668E-2</v>
      </c>
      <c r="M28" s="2"/>
      <c r="N28" s="2"/>
    </row>
    <row r="29" spans="1:14">
      <c r="A29" t="s">
        <v>9</v>
      </c>
      <c r="B29">
        <v>2025</v>
      </c>
      <c r="C29" t="s">
        <v>24</v>
      </c>
      <c r="D29">
        <v>0.17853032999999999</v>
      </c>
      <c r="E29">
        <v>0.46054620333333302</v>
      </c>
      <c r="F29" s="3"/>
      <c r="G29" s="3"/>
      <c r="I29" s="3">
        <f t="shared" si="3"/>
        <v>0.282015873333333</v>
      </c>
      <c r="J29" s="3"/>
      <c r="K29" s="3"/>
      <c r="L29" s="2">
        <f>I29/SUM(I26:I29)</f>
        <v>3.0538489378094842E-2</v>
      </c>
      <c r="M29" s="2"/>
      <c r="N29" s="2"/>
    </row>
    <row r="30" spans="1:14">
      <c r="A30" t="s">
        <v>9</v>
      </c>
      <c r="B30">
        <v>2030</v>
      </c>
      <c r="C30" t="s">
        <v>21</v>
      </c>
      <c r="D30">
        <v>10.8468415733333</v>
      </c>
      <c r="E30" s="3"/>
      <c r="F30">
        <v>12.15459806</v>
      </c>
      <c r="G30">
        <v>30.969142233333301</v>
      </c>
      <c r="I30" s="3"/>
      <c r="J30" s="3">
        <f t="shared" ref="J30:J37" si="4">F30-$D30</f>
        <v>1.3077564866666993</v>
      </c>
      <c r="K30" s="3">
        <f t="shared" ref="K30:K49" si="5">G30-$D30</f>
        <v>20.122300660000001</v>
      </c>
      <c r="L30" s="2"/>
      <c r="M30" s="2">
        <f>J30/SUM(J30:J33)</f>
        <v>0.25618436552952295</v>
      </c>
      <c r="N30" s="2">
        <f>K30/SUM(K30:K33)</f>
        <v>0.29717517114896358</v>
      </c>
    </row>
    <row r="31" spans="1:14">
      <c r="A31" t="s">
        <v>9</v>
      </c>
      <c r="B31">
        <v>2030</v>
      </c>
      <c r="C31" t="s">
        <v>22</v>
      </c>
      <c r="D31">
        <v>19.872583573333301</v>
      </c>
      <c r="E31" s="3"/>
      <c r="F31">
        <v>22.984575606666599</v>
      </c>
      <c r="G31">
        <v>59.723357540000002</v>
      </c>
      <c r="I31" s="3"/>
      <c r="J31" s="3">
        <f t="shared" si="4"/>
        <v>3.1119920333332978</v>
      </c>
      <c r="K31" s="3">
        <f t="shared" si="5"/>
        <v>39.850773966666701</v>
      </c>
      <c r="L31" s="2"/>
      <c r="M31" s="2">
        <f>J31/SUM(J30:J33)</f>
        <v>0.6096270312713119</v>
      </c>
      <c r="N31" s="2">
        <f>K31/SUM(K30:K33)</f>
        <v>0.5885341231136757</v>
      </c>
    </row>
    <row r="32" spans="1:14">
      <c r="A32" t="s">
        <v>9</v>
      </c>
      <c r="B32">
        <v>2030</v>
      </c>
      <c r="C32" t="s">
        <v>23</v>
      </c>
      <c r="D32">
        <v>2.2453959733333302</v>
      </c>
      <c r="E32" s="3"/>
      <c r="F32">
        <v>2.6211905500000001</v>
      </c>
      <c r="G32">
        <v>6.8402470766666603</v>
      </c>
      <c r="I32" s="3"/>
      <c r="J32" s="3">
        <f t="shared" si="4"/>
        <v>0.37579457666666993</v>
      </c>
      <c r="K32" s="3">
        <f t="shared" si="5"/>
        <v>4.5948511033333297</v>
      </c>
      <c r="L32" s="2"/>
      <c r="M32" s="2">
        <f>J32/SUM(J30:J33)</f>
        <v>7.3616683361420784E-2</v>
      </c>
      <c r="N32" s="2">
        <f>K32/SUM(K30:K33)</f>
        <v>6.7858824202514739E-2</v>
      </c>
    </row>
    <row r="33" spans="1:14">
      <c r="A33" t="s">
        <v>9</v>
      </c>
      <c r="B33">
        <v>2030</v>
      </c>
      <c r="C33" t="s">
        <v>24</v>
      </c>
      <c r="D33">
        <v>1.25755285333333</v>
      </c>
      <c r="E33" s="3"/>
      <c r="F33">
        <v>1.56675720666666</v>
      </c>
      <c r="G33">
        <v>4.4015445833333304</v>
      </c>
      <c r="I33" s="3"/>
      <c r="J33" s="3">
        <f t="shared" si="4"/>
        <v>0.30920435333332996</v>
      </c>
      <c r="K33" s="3">
        <f t="shared" si="5"/>
        <v>3.1439917300000007</v>
      </c>
      <c r="L33" s="2"/>
      <c r="M33" s="2">
        <f>J33/SUM(J30:J33)</f>
        <v>6.0571919837744403E-2</v>
      </c>
      <c r="N33" s="2">
        <f>K33/SUM(K30:K33)</f>
        <v>4.6431881534846134E-2</v>
      </c>
    </row>
    <row r="34" spans="1:14">
      <c r="A34" t="s">
        <v>9</v>
      </c>
      <c r="B34">
        <v>2035</v>
      </c>
      <c r="C34" t="s">
        <v>21</v>
      </c>
      <c r="D34">
        <v>50.522071966666601</v>
      </c>
      <c r="E34">
        <v>57.598385899999997</v>
      </c>
      <c r="F34">
        <v>54.909849133333303</v>
      </c>
      <c r="G34">
        <v>128.53779913333301</v>
      </c>
      <c r="I34" s="3">
        <f t="shared" si="3"/>
        <v>7.0763139333333953</v>
      </c>
      <c r="J34" s="3">
        <f t="shared" si="4"/>
        <v>4.3877771666667016</v>
      </c>
      <c r="K34" s="3">
        <f t="shared" si="5"/>
        <v>78.015727166666409</v>
      </c>
      <c r="L34" s="2">
        <f>I34/SUM(I34:I37)</f>
        <v>0.47639036558750303</v>
      </c>
      <c r="M34" s="2">
        <f>J34/SUM(J34:J37)</f>
        <v>0.4382677662628251</v>
      </c>
      <c r="N34" s="2">
        <f>K34/SUM(K34:K37)</f>
        <v>0.49492086132824242</v>
      </c>
    </row>
    <row r="35" spans="1:14">
      <c r="A35" t="s">
        <v>9</v>
      </c>
      <c r="B35">
        <v>2035</v>
      </c>
      <c r="C35" t="s">
        <v>22</v>
      </c>
      <c r="D35">
        <v>10.102477916666601</v>
      </c>
      <c r="E35">
        <v>11.817029399999999</v>
      </c>
      <c r="F35">
        <v>11.2481988666666</v>
      </c>
      <c r="G35">
        <v>30.917709349999999</v>
      </c>
      <c r="I35" s="3">
        <f t="shared" si="3"/>
        <v>1.7145514833333984</v>
      </c>
      <c r="J35" s="3">
        <f t="shared" si="4"/>
        <v>1.1457209499999994</v>
      </c>
      <c r="K35" s="3">
        <f t="shared" si="5"/>
        <v>20.815231433333398</v>
      </c>
      <c r="L35" s="2">
        <f>I35/SUM(I34:I37)</f>
        <v>0.11542673426573519</v>
      </c>
      <c r="M35" s="2">
        <f>J35/SUM(J34:J37)</f>
        <v>0.11443893854310765</v>
      </c>
      <c r="N35" s="2">
        <f>K35/SUM(K34:K37)</f>
        <v>0.13204891685139269</v>
      </c>
    </row>
    <row r="36" spans="1:14">
      <c r="A36" t="s">
        <v>9</v>
      </c>
      <c r="B36">
        <v>2035</v>
      </c>
      <c r="C36" t="s">
        <v>23</v>
      </c>
      <c r="D36">
        <v>14.10962531</v>
      </c>
      <c r="E36">
        <v>17.396169633333301</v>
      </c>
      <c r="F36">
        <v>16.589683036666599</v>
      </c>
      <c r="G36">
        <v>44.909156233333299</v>
      </c>
      <c r="I36" s="3">
        <f t="shared" si="3"/>
        <v>3.2865443233333007</v>
      </c>
      <c r="J36" s="3">
        <f t="shared" si="4"/>
        <v>2.4800577266665993</v>
      </c>
      <c r="K36" s="3">
        <f t="shared" si="5"/>
        <v>30.7995309233333</v>
      </c>
      <c r="L36" s="2">
        <f>I36/SUM(I34:I37)</f>
        <v>0.22125616054667455</v>
      </c>
      <c r="M36" s="2">
        <f>J36/SUM(J34:J37)</f>
        <v>0.24771753869505342</v>
      </c>
      <c r="N36" s="2">
        <f>K36/SUM(K34:K37)</f>
        <v>0.19538791634303879</v>
      </c>
    </row>
    <row r="37" spans="1:14">
      <c r="A37" t="s">
        <v>9</v>
      </c>
      <c r="B37">
        <v>2035</v>
      </c>
      <c r="C37" t="s">
        <v>24</v>
      </c>
      <c r="D37">
        <v>13.9483635866666</v>
      </c>
      <c r="E37">
        <v>16.724977866666599</v>
      </c>
      <c r="F37">
        <v>15.946443333333301</v>
      </c>
      <c r="G37">
        <v>41.950605400000001</v>
      </c>
      <c r="I37" s="3">
        <f t="shared" si="3"/>
        <v>2.7766142799999987</v>
      </c>
      <c r="J37" s="3">
        <f t="shared" si="4"/>
        <v>1.9980797466667006</v>
      </c>
      <c r="K37" s="3">
        <f t="shared" si="5"/>
        <v>28.002241813333399</v>
      </c>
      <c r="L37" s="2">
        <f>I37/SUM(I34:I37)</f>
        <v>0.18692673960008727</v>
      </c>
      <c r="M37" s="2">
        <f>J37/SUM(J34:J37)</f>
        <v>0.1995757564990138</v>
      </c>
      <c r="N37" s="2">
        <f>K37/SUM(K34:K37)</f>
        <v>0.17764230547732618</v>
      </c>
    </row>
    <row r="38" spans="1:14">
      <c r="A38" t="s">
        <v>9</v>
      </c>
      <c r="B38">
        <v>2040</v>
      </c>
      <c r="C38" t="s">
        <v>21</v>
      </c>
      <c r="D38">
        <v>111.1385561</v>
      </c>
      <c r="E38" s="3"/>
      <c r="F38" s="3"/>
      <c r="G38">
        <v>174.47395166666601</v>
      </c>
      <c r="I38" s="3"/>
      <c r="J38" s="3"/>
      <c r="K38" s="3">
        <f t="shared" si="5"/>
        <v>63.335395566666008</v>
      </c>
      <c r="L38" s="2"/>
      <c r="M38" s="2"/>
      <c r="N38" s="2">
        <f>K38/SUM(K38:K41)</f>
        <v>0.26041637593067141</v>
      </c>
    </row>
    <row r="39" spans="1:14">
      <c r="A39" t="s">
        <v>9</v>
      </c>
      <c r="B39">
        <v>2040</v>
      </c>
      <c r="C39" t="s">
        <v>22</v>
      </c>
      <c r="D39">
        <v>23.141853900000001</v>
      </c>
      <c r="E39" s="3"/>
      <c r="F39" s="3"/>
      <c r="G39">
        <v>57.606192233333303</v>
      </c>
      <c r="I39" s="3"/>
      <c r="J39" s="3"/>
      <c r="K39" s="3">
        <f t="shared" si="5"/>
        <v>34.464338333333302</v>
      </c>
      <c r="L39" s="2"/>
      <c r="M39" s="2"/>
      <c r="N39" s="2">
        <f>K39/SUM(K38:K41)</f>
        <v>0.14170714506974419</v>
      </c>
    </row>
    <row r="40" spans="1:14">
      <c r="A40" t="s">
        <v>9</v>
      </c>
      <c r="B40">
        <v>2040</v>
      </c>
      <c r="C40" t="s">
        <v>23</v>
      </c>
      <c r="D40">
        <v>39.859757299999998</v>
      </c>
      <c r="E40" s="3"/>
      <c r="F40" s="3"/>
      <c r="G40">
        <v>110.0637945</v>
      </c>
      <c r="I40" s="3"/>
      <c r="J40" s="3"/>
      <c r="K40" s="3">
        <f t="shared" si="5"/>
        <v>70.204037200000002</v>
      </c>
      <c r="L40" s="2"/>
      <c r="M40" s="2"/>
      <c r="N40" s="2">
        <f>K40/SUM(K38:K41)</f>
        <v>0.28865819467539838</v>
      </c>
    </row>
    <row r="41" spans="1:14">
      <c r="A41" t="s">
        <v>9</v>
      </c>
      <c r="B41">
        <v>2040</v>
      </c>
      <c r="C41" t="s">
        <v>24</v>
      </c>
      <c r="D41">
        <v>53.642280266666603</v>
      </c>
      <c r="E41" s="3"/>
      <c r="F41" s="3"/>
      <c r="G41">
        <v>128.84669966666601</v>
      </c>
      <c r="I41" s="3"/>
      <c r="J41" s="3"/>
      <c r="K41" s="3">
        <f t="shared" si="5"/>
        <v>75.204419399999409</v>
      </c>
      <c r="L41" s="2"/>
      <c r="M41" s="2"/>
      <c r="N41" s="2">
        <f>K41/SUM(K38:K41)</f>
        <v>0.30921828432418608</v>
      </c>
    </row>
    <row r="42" spans="1:14">
      <c r="A42" t="s">
        <v>9</v>
      </c>
      <c r="B42">
        <v>2045</v>
      </c>
      <c r="C42" t="s">
        <v>21</v>
      </c>
      <c r="D42">
        <v>238.62236933333301</v>
      </c>
      <c r="E42" s="3"/>
      <c r="F42" s="3"/>
      <c r="G42">
        <v>296.78645699999998</v>
      </c>
      <c r="I42" s="3"/>
      <c r="J42" s="3"/>
      <c r="K42" s="3">
        <f t="shared" si="5"/>
        <v>58.164087666666973</v>
      </c>
      <c r="L42" s="2"/>
      <c r="M42" s="2"/>
      <c r="N42" s="2">
        <f>K42/SUM(K42:K45)</f>
        <v>0.15285316937789162</v>
      </c>
    </row>
    <row r="43" spans="1:14">
      <c r="A43" t="s">
        <v>9</v>
      </c>
      <c r="B43">
        <v>2045</v>
      </c>
      <c r="C43" t="s">
        <v>22</v>
      </c>
      <c r="D43">
        <v>60.299173000000003</v>
      </c>
      <c r="E43" s="3"/>
      <c r="F43" s="3"/>
      <c r="G43">
        <v>116.07340139999999</v>
      </c>
      <c r="I43" s="3"/>
      <c r="J43" s="3"/>
      <c r="K43" s="3">
        <f t="shared" si="5"/>
        <v>55.774228399999991</v>
      </c>
      <c r="L43" s="2"/>
      <c r="M43" s="2"/>
      <c r="N43" s="2">
        <f>K43/SUM(K42:K45)</f>
        <v>0.14657270357963723</v>
      </c>
    </row>
    <row r="44" spans="1:14">
      <c r="A44" t="s">
        <v>9</v>
      </c>
      <c r="B44">
        <v>2045</v>
      </c>
      <c r="C44" t="s">
        <v>23</v>
      </c>
      <c r="D44">
        <v>97.315895233333293</v>
      </c>
      <c r="E44" s="3"/>
      <c r="F44" s="3"/>
      <c r="G44">
        <v>214.53541633333299</v>
      </c>
      <c r="I44" s="3"/>
      <c r="J44" s="3"/>
      <c r="K44" s="3">
        <f t="shared" si="5"/>
        <v>117.2195210999997</v>
      </c>
      <c r="L44" s="2"/>
      <c r="M44" s="2"/>
      <c r="N44" s="2">
        <f>K44/SUM(K42:K45)</f>
        <v>0.30804876396886721</v>
      </c>
    </row>
    <row r="45" spans="1:14">
      <c r="A45" t="s">
        <v>9</v>
      </c>
      <c r="B45">
        <v>2045</v>
      </c>
      <c r="C45" t="s">
        <v>24</v>
      </c>
      <c r="D45">
        <v>188.42416009999999</v>
      </c>
      <c r="E45" s="3"/>
      <c r="F45" s="3"/>
      <c r="G45">
        <v>337.78893756666599</v>
      </c>
      <c r="I45" s="3"/>
      <c r="J45" s="3"/>
      <c r="K45" s="3">
        <f t="shared" si="5"/>
        <v>149.364777466666</v>
      </c>
      <c r="L45" s="2"/>
      <c r="M45" s="2"/>
      <c r="N45" s="2">
        <f>K45/SUM(K42:K45)</f>
        <v>0.39252536307360403</v>
      </c>
    </row>
    <row r="46" spans="1:14">
      <c r="A46" t="s">
        <v>9</v>
      </c>
      <c r="B46">
        <v>2050</v>
      </c>
      <c r="C46" t="s">
        <v>21</v>
      </c>
      <c r="D46">
        <v>348.79311866666598</v>
      </c>
      <c r="E46" s="3"/>
      <c r="F46" s="3"/>
      <c r="G46">
        <v>386.37448666666597</v>
      </c>
      <c r="I46" s="3"/>
      <c r="J46" s="3"/>
      <c r="K46" s="3">
        <f t="shared" si="5"/>
        <v>37.581367999999998</v>
      </c>
      <c r="L46" s="2"/>
      <c r="M46" s="2"/>
      <c r="N46" s="2">
        <f>K46/SUM(K46:K49)</f>
        <v>7.9254516693036001E-2</v>
      </c>
    </row>
    <row r="47" spans="1:14">
      <c r="A47" t="s">
        <v>9</v>
      </c>
      <c r="B47">
        <v>2050</v>
      </c>
      <c r="C47" t="s">
        <v>22</v>
      </c>
      <c r="D47">
        <v>229.705339966666</v>
      </c>
      <c r="E47" s="3"/>
      <c r="F47" s="3"/>
      <c r="G47">
        <v>321.027063133333</v>
      </c>
      <c r="I47" s="3"/>
      <c r="J47" s="3"/>
      <c r="K47" s="3">
        <f t="shared" si="5"/>
        <v>91.321723166666999</v>
      </c>
      <c r="L47" s="2"/>
      <c r="M47" s="2"/>
      <c r="N47" s="2">
        <f>K47/SUM(K46:K49)</f>
        <v>0.19258636442264218</v>
      </c>
    </row>
    <row r="48" spans="1:14">
      <c r="A48" t="s">
        <v>9</v>
      </c>
      <c r="B48">
        <v>2050</v>
      </c>
      <c r="C48" t="s">
        <v>23</v>
      </c>
      <c r="D48">
        <v>345.10346199999998</v>
      </c>
      <c r="E48" s="3"/>
      <c r="F48" s="3"/>
      <c r="G48">
        <v>518.30884966666599</v>
      </c>
      <c r="I48" s="3"/>
      <c r="J48" s="3"/>
      <c r="K48" s="3">
        <f t="shared" si="5"/>
        <v>173.20538766666601</v>
      </c>
      <c r="L48" s="2"/>
      <c r="M48" s="2"/>
      <c r="N48" s="2">
        <f>K48/SUM(K46:K49)</f>
        <v>0.36526901543742513</v>
      </c>
    </row>
    <row r="49" spans="1:14">
      <c r="A49" t="s">
        <v>9</v>
      </c>
      <c r="B49">
        <v>2050</v>
      </c>
      <c r="C49" t="s">
        <v>24</v>
      </c>
      <c r="D49">
        <v>576.39836760000003</v>
      </c>
      <c r="E49" s="3"/>
      <c r="F49" s="3"/>
      <c r="G49">
        <v>748.47570893333295</v>
      </c>
      <c r="I49" s="3"/>
      <c r="J49" s="3"/>
      <c r="K49" s="3">
        <f t="shared" si="5"/>
        <v>172.07734133333292</v>
      </c>
      <c r="L49" s="2"/>
      <c r="M49" s="2"/>
      <c r="N49" s="2">
        <f>K49/SUM(K46:K49)</f>
        <v>0.36289010344689659</v>
      </c>
    </row>
    <row r="50" spans="1:14">
      <c r="A50" t="s">
        <v>11</v>
      </c>
      <c r="B50">
        <v>2025</v>
      </c>
      <c r="C50" t="s">
        <v>21</v>
      </c>
      <c r="I50" s="3">
        <f>E50-$D50</f>
        <v>0</v>
      </c>
      <c r="J50" s="3"/>
      <c r="K50" s="3"/>
      <c r="L50" s="2">
        <f>I50/SUM(I50:I53)</f>
        <v>0</v>
      </c>
      <c r="M50" s="2"/>
      <c r="N50" s="2"/>
    </row>
    <row r="51" spans="1:14">
      <c r="A51" t="s">
        <v>11</v>
      </c>
      <c r="B51">
        <v>2025</v>
      </c>
      <c r="C51" t="s">
        <v>22</v>
      </c>
      <c r="D51">
        <v>2317.5052434614499</v>
      </c>
      <c r="E51">
        <v>3876.1365728695901</v>
      </c>
      <c r="F51">
        <v>2312.5730481885798</v>
      </c>
      <c r="G51" s="3"/>
      <c r="I51" s="3">
        <f t="shared" ref="I51:I61" si="6">E51-$D51</f>
        <v>1558.6313294081401</v>
      </c>
      <c r="J51" s="3"/>
      <c r="K51" s="3"/>
      <c r="L51" s="2">
        <f>I51/SUM(I50:I53)</f>
        <v>0.87570969030373169</v>
      </c>
      <c r="M51" s="2"/>
      <c r="N51" s="2"/>
    </row>
    <row r="52" spans="1:14">
      <c r="A52" t="s">
        <v>11</v>
      </c>
      <c r="B52">
        <v>2025</v>
      </c>
      <c r="C52" t="s">
        <v>23</v>
      </c>
      <c r="D52">
        <v>182.09515124594799</v>
      </c>
      <c r="E52">
        <v>302.35086775823299</v>
      </c>
      <c r="F52">
        <v>178.51766454123899</v>
      </c>
      <c r="G52" s="3"/>
      <c r="I52" s="3">
        <f t="shared" si="6"/>
        <v>120.25571651228501</v>
      </c>
      <c r="J52" s="3"/>
      <c r="K52" s="3"/>
      <c r="L52" s="2">
        <f>I52/SUM(I50:I53)</f>
        <v>6.756510938620458E-2</v>
      </c>
      <c r="M52" s="2"/>
      <c r="N52" s="2"/>
    </row>
    <row r="53" spans="1:14">
      <c r="A53" t="s">
        <v>11</v>
      </c>
      <c r="B53">
        <v>2025</v>
      </c>
      <c r="C53" t="s">
        <v>24</v>
      </c>
      <c r="D53">
        <v>63.301190669687998</v>
      </c>
      <c r="E53">
        <v>164.26350198035999</v>
      </c>
      <c r="F53">
        <v>61.891833647102899</v>
      </c>
      <c r="G53" s="3"/>
      <c r="I53" s="3">
        <f t="shared" si="6"/>
        <v>100.96231131067199</v>
      </c>
      <c r="J53" s="3"/>
      <c r="K53" s="3"/>
      <c r="L53" s="2">
        <f>I53/SUM(I50:I53)</f>
        <v>5.6725200310063631E-2</v>
      </c>
      <c r="M53" s="2"/>
      <c r="N53" s="2"/>
    </row>
    <row r="54" spans="1:14">
      <c r="A54" t="s">
        <v>11</v>
      </c>
      <c r="B54">
        <v>2030</v>
      </c>
      <c r="C54" t="s">
        <v>21</v>
      </c>
      <c r="I54" s="3">
        <f t="shared" si="6"/>
        <v>0</v>
      </c>
      <c r="J54" s="3">
        <f t="shared" ref="J54:J65" si="7">F54-$D54</f>
        <v>0</v>
      </c>
      <c r="K54" s="3">
        <f t="shared" ref="K54:K73" si="8">G54-$D54</f>
        <v>0</v>
      </c>
      <c r="L54" s="2">
        <f>I54/SUM(I54:I57)</f>
        <v>0</v>
      </c>
      <c r="M54" s="2">
        <f>J54/SUM(J54:J57)</f>
        <v>0</v>
      </c>
      <c r="N54" s="2">
        <f>K54/SUM(K54:K57)</f>
        <v>0</v>
      </c>
    </row>
    <row r="55" spans="1:14">
      <c r="A55" t="s">
        <v>11</v>
      </c>
      <c r="B55">
        <v>2030</v>
      </c>
      <c r="C55" t="s">
        <v>22</v>
      </c>
      <c r="D55">
        <v>2665.29975566542</v>
      </c>
      <c r="E55">
        <v>3980.8085502945</v>
      </c>
      <c r="F55">
        <v>3292.4960847453999</v>
      </c>
      <c r="G55">
        <v>10820.8510192745</v>
      </c>
      <c r="I55" s="3">
        <f t="shared" si="6"/>
        <v>1315.5087946290801</v>
      </c>
      <c r="J55" s="3">
        <f t="shared" si="7"/>
        <v>627.19632907997993</v>
      </c>
      <c r="K55" s="3">
        <f t="shared" si="8"/>
        <v>8155.5512636090798</v>
      </c>
      <c r="L55" s="2">
        <f>I55/SUM(I54:I57)</f>
        <v>0.79757159724043636</v>
      </c>
      <c r="M55" s="2">
        <f>J55/SUM(J54:J57)</f>
        <v>0.79070944014070843</v>
      </c>
      <c r="N55" s="2">
        <f>K55/SUM(K54:K57)</f>
        <v>0.80976703700442687</v>
      </c>
    </row>
    <row r="56" spans="1:14">
      <c r="A56" t="s">
        <v>11</v>
      </c>
      <c r="B56">
        <v>2030</v>
      </c>
      <c r="C56" t="s">
        <v>23</v>
      </c>
      <c r="D56">
        <v>299.55375641568997</v>
      </c>
      <c r="E56">
        <v>452.51300344348903</v>
      </c>
      <c r="F56">
        <v>369.57232275599</v>
      </c>
      <c r="G56">
        <v>1248.1796254824601</v>
      </c>
      <c r="I56" s="3">
        <f t="shared" si="6"/>
        <v>152.95924702779905</v>
      </c>
      <c r="J56" s="3">
        <f t="shared" si="7"/>
        <v>70.018566340300026</v>
      </c>
      <c r="K56" s="3">
        <f t="shared" si="8"/>
        <v>948.62586906677006</v>
      </c>
      <c r="L56" s="2">
        <f>I56/SUM(I54:I57)</f>
        <v>9.273670496368977E-2</v>
      </c>
      <c r="M56" s="2">
        <f>J56/SUM(J54:J57)</f>
        <v>8.8272744631025482E-2</v>
      </c>
      <c r="N56" s="2">
        <f>K56/SUM(K54:K57)</f>
        <v>9.4189336120978656E-2</v>
      </c>
    </row>
    <row r="57" spans="1:14">
      <c r="A57" t="s">
        <v>11</v>
      </c>
      <c r="B57">
        <v>2030</v>
      </c>
      <c r="C57" t="s">
        <v>24</v>
      </c>
      <c r="D57">
        <v>183.72461757723599</v>
      </c>
      <c r="E57">
        <v>364.64930652997799</v>
      </c>
      <c r="F57">
        <v>279.71680587201701</v>
      </c>
      <c r="G57">
        <v>1151.0259360111399</v>
      </c>
      <c r="I57" s="3">
        <f t="shared" si="6"/>
        <v>180.924688952742</v>
      </c>
      <c r="J57" s="3">
        <f t="shared" si="7"/>
        <v>95.992188294781016</v>
      </c>
      <c r="K57" s="3">
        <f t="shared" si="8"/>
        <v>967.30131843390393</v>
      </c>
      <c r="L57" s="2">
        <f>I57/SUM(I54:I57)</f>
        <v>0.10969169779587402</v>
      </c>
      <c r="M57" s="2">
        <f>J57/SUM(J54:J57)</f>
        <v>0.12101781522826606</v>
      </c>
      <c r="N57" s="2">
        <f>K57/SUM(K54:K57)</f>
        <v>9.6043626874594487E-2</v>
      </c>
    </row>
    <row r="58" spans="1:14">
      <c r="A58" t="s">
        <v>11</v>
      </c>
      <c r="B58">
        <v>2035</v>
      </c>
      <c r="C58" t="s">
        <v>21</v>
      </c>
      <c r="D58">
        <v>1437.1253260359499</v>
      </c>
      <c r="I58" s="3">
        <f t="shared" si="6"/>
        <v>-1437.1253260359499</v>
      </c>
      <c r="J58" s="3">
        <f t="shared" si="7"/>
        <v>-1437.1253260359499</v>
      </c>
      <c r="K58" s="3">
        <f t="shared" si="8"/>
        <v>-1437.1253260359499</v>
      </c>
      <c r="L58" s="2">
        <f>I58/SUM(I58:I61)</f>
        <v>-0.37123459004366133</v>
      </c>
      <c r="M58" s="2">
        <f>J58/SUM(J58:J61)</f>
        <v>-0.50762194036031305</v>
      </c>
      <c r="N58" s="2">
        <f>K58/SUM(K58:K61)</f>
        <v>-3.8085919845583543E-2</v>
      </c>
    </row>
    <row r="59" spans="1:14">
      <c r="A59" t="s">
        <v>11</v>
      </c>
      <c r="B59">
        <v>2035</v>
      </c>
      <c r="C59" t="s">
        <v>22</v>
      </c>
      <c r="D59">
        <v>1912.0163274440899</v>
      </c>
      <c r="E59">
        <v>3878.1324619694901</v>
      </c>
      <c r="F59">
        <v>3509.1641614923301</v>
      </c>
      <c r="G59">
        <v>16338.8315783952</v>
      </c>
      <c r="I59" s="3">
        <f t="shared" si="6"/>
        <v>1966.1161345254002</v>
      </c>
      <c r="J59" s="3">
        <f t="shared" si="7"/>
        <v>1597.1478340482402</v>
      </c>
      <c r="K59" s="3">
        <f t="shared" si="8"/>
        <v>14426.815250951111</v>
      </c>
      <c r="L59" s="2">
        <f>I59/SUM(I58:I61)</f>
        <v>0.50788216167064248</v>
      </c>
      <c r="M59" s="2">
        <f>J59/SUM(J58:J61)</f>
        <v>0.564145149955807</v>
      </c>
      <c r="N59" s="2">
        <f>K59/SUM(K58:K61)</f>
        <v>0.38233167234645299</v>
      </c>
    </row>
    <row r="60" spans="1:14">
      <c r="A60" t="s">
        <v>11</v>
      </c>
      <c r="B60">
        <v>2035</v>
      </c>
      <c r="C60" t="s">
        <v>23</v>
      </c>
      <c r="D60">
        <v>1733.8995602553</v>
      </c>
      <c r="E60">
        <v>3175.83921502673</v>
      </c>
      <c r="F60">
        <v>2856.5052134766802</v>
      </c>
      <c r="G60">
        <v>13219.904450419201</v>
      </c>
      <c r="I60" s="3">
        <f t="shared" si="6"/>
        <v>1441.93965477143</v>
      </c>
      <c r="J60" s="3">
        <f t="shared" si="7"/>
        <v>1122.6056532213802</v>
      </c>
      <c r="K60" s="3">
        <f t="shared" si="8"/>
        <v>11486.0048901639</v>
      </c>
      <c r="L60" s="2">
        <f>I60/SUM(I58:I61)</f>
        <v>0.3724782153017181</v>
      </c>
      <c r="M60" s="2">
        <f>J60/SUM(J58:J61)</f>
        <v>0.396527184946039</v>
      </c>
      <c r="N60" s="2">
        <f>K60/SUM(K58:K61)</f>
        <v>0.30439590317387527</v>
      </c>
    </row>
    <row r="61" spans="1:14">
      <c r="A61" t="s">
        <v>11</v>
      </c>
      <c r="B61">
        <v>2035</v>
      </c>
      <c r="C61" t="s">
        <v>24</v>
      </c>
      <c r="D61">
        <v>1850.7656633716099</v>
      </c>
      <c r="E61">
        <v>3751.0405365178999</v>
      </c>
      <c r="F61">
        <v>3399.2312980756601</v>
      </c>
      <c r="G61">
        <v>15108.8404897418</v>
      </c>
      <c r="I61" s="3">
        <f t="shared" si="6"/>
        <v>1900.27487314629</v>
      </c>
      <c r="J61" s="3">
        <f t="shared" si="7"/>
        <v>1548.4656347040502</v>
      </c>
      <c r="K61" s="3">
        <f t="shared" si="8"/>
        <v>13258.07482637019</v>
      </c>
      <c r="L61" s="2">
        <f>I61/SUM(I58:I61)</f>
        <v>0.4908742130713008</v>
      </c>
      <c r="M61" s="2">
        <f>J61/SUM(J58:J61)</f>
        <v>0.54694960545846705</v>
      </c>
      <c r="N61" s="2">
        <f>K61/SUM(K58:K61)</f>
        <v>0.35135834432525526</v>
      </c>
    </row>
    <row r="62" spans="1:14">
      <c r="A62" t="s">
        <v>11</v>
      </c>
      <c r="B62">
        <v>2040</v>
      </c>
      <c r="C62" t="s">
        <v>21</v>
      </c>
      <c r="E62" s="3"/>
      <c r="F62" s="3"/>
      <c r="I62" s="3"/>
      <c r="J62" s="3"/>
      <c r="K62" s="3">
        <f t="shared" si="8"/>
        <v>0</v>
      </c>
      <c r="L62" s="2"/>
      <c r="M62" s="2"/>
      <c r="N62" s="2">
        <f>K62/SUM(K62:K65)</f>
        <v>0</v>
      </c>
    </row>
    <row r="63" spans="1:14">
      <c r="A63" t="s">
        <v>11</v>
      </c>
      <c r="B63">
        <v>2040</v>
      </c>
      <c r="C63" t="s">
        <v>22</v>
      </c>
      <c r="D63">
        <v>2776.2315145113698</v>
      </c>
      <c r="E63" s="3"/>
      <c r="F63" s="3"/>
      <c r="G63">
        <v>17390.673329173602</v>
      </c>
      <c r="I63" s="3"/>
      <c r="J63" s="3"/>
      <c r="K63" s="3">
        <f t="shared" si="8"/>
        <v>14614.441814662232</v>
      </c>
      <c r="L63" s="2"/>
      <c r="M63" s="2"/>
      <c r="N63" s="2">
        <f>K63/SUM(K62:K65)</f>
        <v>0.29039686020406907</v>
      </c>
    </row>
    <row r="64" spans="1:14">
      <c r="A64" t="s">
        <v>11</v>
      </c>
      <c r="B64">
        <v>2040</v>
      </c>
      <c r="C64" t="s">
        <v>23</v>
      </c>
      <c r="D64">
        <v>2648.0605451709598</v>
      </c>
      <c r="E64" s="3"/>
      <c r="F64" s="3"/>
      <c r="G64">
        <v>17478.450226044901</v>
      </c>
      <c r="I64" s="3"/>
      <c r="J64" s="3"/>
      <c r="K64" s="3">
        <f t="shared" si="8"/>
        <v>14830.389680873941</v>
      </c>
      <c r="L64" s="2"/>
      <c r="M64" s="2"/>
      <c r="N64" s="2">
        <f>K64/SUM(K62:K65)</f>
        <v>0.29468786105863015</v>
      </c>
    </row>
    <row r="65" spans="1:14">
      <c r="A65" t="s">
        <v>11</v>
      </c>
      <c r="B65">
        <v>2040</v>
      </c>
      <c r="C65" t="s">
        <v>24</v>
      </c>
      <c r="D65">
        <v>4265.3844533396496</v>
      </c>
      <c r="E65" s="3"/>
      <c r="F65" s="3"/>
      <c r="G65">
        <v>25146.309938758099</v>
      </c>
      <c r="I65" s="3"/>
      <c r="J65" s="3"/>
      <c r="K65" s="3">
        <f t="shared" si="8"/>
        <v>20880.925485418447</v>
      </c>
      <c r="L65" s="2"/>
      <c r="M65" s="2"/>
      <c r="N65" s="2">
        <f>K65/SUM(K62:K65)</f>
        <v>0.41491527873730083</v>
      </c>
    </row>
    <row r="66" spans="1:14">
      <c r="A66" t="s">
        <v>11</v>
      </c>
      <c r="B66">
        <v>2045</v>
      </c>
      <c r="C66" t="s">
        <v>21</v>
      </c>
      <c r="E66" s="3"/>
      <c r="F66" s="3"/>
      <c r="I66" s="3"/>
      <c r="J66" s="3"/>
      <c r="K66" s="3">
        <f t="shared" si="8"/>
        <v>0</v>
      </c>
      <c r="L66" s="2"/>
      <c r="M66" s="2"/>
      <c r="N66" s="2">
        <f>K66/SUM(K66:K69)</f>
        <v>0</v>
      </c>
    </row>
    <row r="67" spans="1:14">
      <c r="A67" t="s">
        <v>11</v>
      </c>
      <c r="B67">
        <v>2045</v>
      </c>
      <c r="C67" t="s">
        <v>22</v>
      </c>
      <c r="D67">
        <v>3046.8072291071499</v>
      </c>
      <c r="E67" s="3"/>
      <c r="F67" s="3"/>
      <c r="G67">
        <v>23143.659958120901</v>
      </c>
      <c r="I67" s="3"/>
      <c r="J67" s="3"/>
      <c r="K67" s="3">
        <f t="shared" si="8"/>
        <v>20096.85272901375</v>
      </c>
      <c r="L67" s="2"/>
      <c r="M67" s="2"/>
      <c r="N67" s="2">
        <f>K67/SUM(K66:K69)</f>
        <v>0.25503271729606303</v>
      </c>
    </row>
    <row r="68" spans="1:14">
      <c r="A68" t="s">
        <v>11</v>
      </c>
      <c r="B68">
        <v>2045</v>
      </c>
      <c r="C68" t="s">
        <v>23</v>
      </c>
      <c r="D68">
        <v>2795.2284845232698</v>
      </c>
      <c r="E68" s="3"/>
      <c r="F68" s="3"/>
      <c r="G68">
        <v>22816.995727606401</v>
      </c>
      <c r="I68" s="3"/>
      <c r="J68" s="3"/>
      <c r="K68" s="3">
        <f t="shared" si="8"/>
        <v>20021.76724308313</v>
      </c>
      <c r="L68" s="2"/>
      <c r="M68" s="2"/>
      <c r="N68" s="2">
        <f>K68/SUM(K66:K69)</f>
        <v>0.2540798688195085</v>
      </c>
    </row>
    <row r="69" spans="1:14">
      <c r="A69" t="s">
        <v>11</v>
      </c>
      <c r="B69">
        <v>2045</v>
      </c>
      <c r="C69" t="s">
        <v>24</v>
      </c>
      <c r="D69">
        <v>6849.0991037536196</v>
      </c>
      <c r="E69" s="3"/>
      <c r="F69" s="3"/>
      <c r="G69">
        <v>45531.555880110398</v>
      </c>
      <c r="I69" s="3"/>
      <c r="J69" s="3"/>
      <c r="K69" s="3">
        <f t="shared" si="8"/>
        <v>38682.456776356776</v>
      </c>
      <c r="L69" s="2"/>
      <c r="M69" s="2"/>
      <c r="N69" s="2">
        <f>K69/SUM(K66:K69)</f>
        <v>0.49088741388442836</v>
      </c>
    </row>
    <row r="70" spans="1:14">
      <c r="A70" t="s">
        <v>11</v>
      </c>
      <c r="B70">
        <v>2050</v>
      </c>
      <c r="C70" t="s">
        <v>21</v>
      </c>
      <c r="E70" s="3"/>
      <c r="F70" s="3"/>
      <c r="I70" s="3"/>
      <c r="J70" s="3"/>
      <c r="K70" s="3">
        <f t="shared" si="8"/>
        <v>0</v>
      </c>
      <c r="L70" s="2"/>
      <c r="M70" s="2"/>
      <c r="N70" s="2">
        <f>K70/SUM(K70:K73)</f>
        <v>0</v>
      </c>
    </row>
    <row r="71" spans="1:14">
      <c r="A71" t="s">
        <v>11</v>
      </c>
      <c r="B71">
        <v>2050</v>
      </c>
      <c r="C71" t="s">
        <v>22</v>
      </c>
      <c r="D71">
        <v>3836.8911031993998</v>
      </c>
      <c r="E71" s="3"/>
      <c r="F71" s="3"/>
      <c r="G71">
        <v>31464.8265330295</v>
      </c>
      <c r="I71" s="3"/>
      <c r="J71" s="3"/>
      <c r="K71" s="3">
        <f t="shared" si="8"/>
        <v>27627.9354298301</v>
      </c>
      <c r="L71" s="2"/>
      <c r="M71" s="2"/>
      <c r="N71" s="2">
        <f>K71/SUM(K70:K73)</f>
        <v>0.24989232054808441</v>
      </c>
    </row>
    <row r="72" spans="1:14">
      <c r="A72" t="s">
        <v>11</v>
      </c>
      <c r="B72">
        <v>2050</v>
      </c>
      <c r="C72" t="s">
        <v>23</v>
      </c>
      <c r="D72">
        <v>3300.0470468808699</v>
      </c>
      <c r="E72" s="3"/>
      <c r="F72" s="3"/>
      <c r="G72">
        <v>30242.557832135099</v>
      </c>
      <c r="I72" s="3"/>
      <c r="J72" s="3"/>
      <c r="K72" s="3">
        <f t="shared" si="8"/>
        <v>26942.510785254228</v>
      </c>
      <c r="L72" s="2"/>
      <c r="M72" s="2"/>
      <c r="N72" s="2">
        <f>K72/SUM(K70:K73)</f>
        <v>0.24369271307365198</v>
      </c>
    </row>
    <row r="73" spans="1:14">
      <c r="A73" t="s">
        <v>11</v>
      </c>
      <c r="B73">
        <v>2050</v>
      </c>
      <c r="C73" t="s">
        <v>24</v>
      </c>
      <c r="D73">
        <v>9711.1204938189003</v>
      </c>
      <c r="E73" s="3"/>
      <c r="F73" s="3"/>
      <c r="G73">
        <v>65700.035883902106</v>
      </c>
      <c r="I73" s="3"/>
      <c r="J73" s="3"/>
      <c r="K73" s="3">
        <f t="shared" si="8"/>
        <v>55988.915390083203</v>
      </c>
      <c r="L73" s="2"/>
      <c r="M73" s="2"/>
      <c r="N73" s="2">
        <f>K73/SUM(K70:K73)</f>
        <v>0.50641496637826355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Scaling</vt:lpstr>
      <vt:lpstr>45Q</vt:lpstr>
      <vt:lpstr>Marginal 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2025-11-05T13:43:42Z</dcterms:modified>
</cp:coreProperties>
</file>