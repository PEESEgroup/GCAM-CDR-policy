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ha\PycharmProjects\GCAM-CDR-policy\data\data_analysis\"/>
    </mc:Choice>
  </mc:AlternateContent>
  <xr:revisionPtr revIDLastSave="0" documentId="13_ncr:1_{A8C8A5C7-21C9-4D25-87B8-D230D85F779B}" xr6:coauthVersionLast="47" xr6:coauthVersionMax="47" xr10:uidLastSave="{00000000-0000-0000-0000-000000000000}"/>
  <bookViews>
    <workbookView xWindow="-120" yWindow="-120" windowWidth="29040" windowHeight="17520" activeTab="2" xr2:uid="{4A617452-901D-46F6-B294-E017C63BDF58}"/>
  </bookViews>
  <sheets>
    <sheet name="Scaling" sheetId="1" r:id="rId1"/>
    <sheet name="45Q" sheetId="2" r:id="rId2"/>
    <sheet name="Marginal Supply" sheetId="3" r:id="rId3"/>
  </sheets>
  <definedNames>
    <definedName name="_xlchart.v1.0" hidden="1">'45Q'!$D$2:$D$13</definedName>
    <definedName name="_xlchart.v1.1" hidden="1">'45Q'!$G$1</definedName>
    <definedName name="_xlchart.v1.2" hidden="1">'45Q'!$G$2:$G$13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3" i="3" l="1"/>
  <c r="L32" i="3"/>
  <c r="L31" i="3"/>
  <c r="L30" i="3"/>
  <c r="X15" i="3"/>
  <c r="W15" i="3"/>
  <c r="V15" i="3"/>
  <c r="U15" i="3"/>
  <c r="S15" i="3"/>
  <c r="T8" i="3"/>
  <c r="U8" i="3"/>
  <c r="V8" i="3"/>
  <c r="W8" i="3"/>
  <c r="X8" i="3"/>
  <c r="S8" i="3"/>
  <c r="S12" i="3"/>
  <c r="U12" i="3"/>
  <c r="V12" i="3"/>
  <c r="W12" i="3"/>
  <c r="X12" i="3"/>
  <c r="S13" i="3"/>
  <c r="U13" i="3"/>
  <c r="V13" i="3"/>
  <c r="W13" i="3"/>
  <c r="X13" i="3"/>
  <c r="S14" i="3"/>
  <c r="U14" i="3"/>
  <c r="V14" i="3"/>
  <c r="W14" i="3"/>
  <c r="X14" i="3"/>
  <c r="X11" i="3"/>
  <c r="W11" i="3"/>
  <c r="V11" i="3"/>
  <c r="U11" i="3"/>
  <c r="S11" i="3"/>
  <c r="T10" i="3"/>
  <c r="U10" i="3"/>
  <c r="V10" i="3"/>
  <c r="W10" i="3"/>
  <c r="X10" i="3"/>
  <c r="S10" i="3"/>
  <c r="R12" i="3"/>
  <c r="R13" i="3"/>
  <c r="R14" i="3"/>
  <c r="R11" i="3"/>
  <c r="T5" i="3"/>
  <c r="U5" i="3"/>
  <c r="V5" i="3"/>
  <c r="W5" i="3"/>
  <c r="X5" i="3"/>
  <c r="T6" i="3"/>
  <c r="U6" i="3"/>
  <c r="V6" i="3"/>
  <c r="W6" i="3"/>
  <c r="X6" i="3"/>
  <c r="T7" i="3"/>
  <c r="U7" i="3"/>
  <c r="V7" i="3"/>
  <c r="W7" i="3"/>
  <c r="X7" i="3"/>
  <c r="X4" i="3"/>
  <c r="W4" i="3"/>
  <c r="V4" i="3"/>
  <c r="U4" i="3"/>
  <c r="T4" i="3"/>
  <c r="S5" i="3"/>
  <c r="S6" i="3"/>
  <c r="S7" i="3"/>
  <c r="S4" i="3"/>
  <c r="R5" i="3"/>
  <c r="R6" i="3"/>
  <c r="R7" i="3"/>
  <c r="R4" i="3"/>
  <c r="O73" i="3"/>
  <c r="O72" i="3"/>
  <c r="O71" i="3"/>
  <c r="O70" i="3"/>
  <c r="O69" i="3"/>
  <c r="O68" i="3"/>
  <c r="O67" i="3"/>
  <c r="O66" i="3"/>
  <c r="O65" i="3"/>
  <c r="O64" i="3"/>
  <c r="O63" i="3"/>
  <c r="O62" i="3"/>
  <c r="O15" i="3"/>
  <c r="O16" i="3"/>
  <c r="O17" i="3"/>
  <c r="O18" i="3"/>
  <c r="O19" i="3"/>
  <c r="O20" i="3"/>
  <c r="O21" i="3"/>
  <c r="O22" i="3"/>
  <c r="O23" i="3"/>
  <c r="O24" i="3"/>
  <c r="O25" i="3"/>
  <c r="O14" i="3"/>
  <c r="J50" i="3"/>
  <c r="J51" i="3"/>
  <c r="J52" i="3"/>
  <c r="J53" i="3"/>
  <c r="M50" i="3"/>
  <c r="M51" i="3"/>
  <c r="M52" i="3"/>
  <c r="M53" i="3"/>
  <c r="O53" i="3" s="1"/>
  <c r="O52" i="3"/>
  <c r="O51" i="3"/>
  <c r="O50" i="3"/>
  <c r="I30" i="3"/>
  <c r="I31" i="3"/>
  <c r="I32" i="3"/>
  <c r="I33" i="3"/>
  <c r="J26" i="3"/>
  <c r="J27" i="3"/>
  <c r="J28" i="3"/>
  <c r="J29" i="3"/>
  <c r="M28" i="3"/>
  <c r="M29" i="3"/>
  <c r="O3" i="3"/>
  <c r="O4" i="3"/>
  <c r="O5" i="3"/>
  <c r="O2" i="3"/>
  <c r="M2" i="3"/>
  <c r="M3" i="3"/>
  <c r="M4" i="3"/>
  <c r="M5" i="3"/>
  <c r="J2" i="3"/>
  <c r="J3" i="3"/>
  <c r="J4" i="3"/>
  <c r="J5" i="3"/>
  <c r="G16" i="1"/>
  <c r="H19" i="1"/>
  <c r="H20" i="1"/>
  <c r="H21" i="1"/>
  <c r="H22" i="1"/>
  <c r="H23" i="1"/>
  <c r="H24" i="1"/>
  <c r="H25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D3" i="1"/>
  <c r="G3" i="1" s="1"/>
  <c r="D4" i="1"/>
  <c r="G4" i="1" s="1"/>
  <c r="D5" i="1"/>
  <c r="G5" i="1" s="1"/>
  <c r="D6" i="1"/>
  <c r="G6" i="1" s="1"/>
  <c r="D7" i="1"/>
  <c r="G7" i="1" s="1"/>
  <c r="D8" i="1"/>
  <c r="G8" i="1" s="1"/>
  <c r="D9" i="1"/>
  <c r="G9" i="1" s="1"/>
  <c r="D10" i="1"/>
  <c r="G10" i="1" s="1"/>
  <c r="D11" i="1"/>
  <c r="G11" i="1" s="1"/>
  <c r="D12" i="1"/>
  <c r="G12" i="1" s="1"/>
  <c r="D13" i="1"/>
  <c r="G13" i="1" s="1"/>
  <c r="D14" i="1"/>
  <c r="G14" i="1" s="1"/>
  <c r="D15" i="1"/>
  <c r="G15" i="1" s="1"/>
  <c r="D16" i="1"/>
  <c r="D17" i="1"/>
  <c r="G17" i="1" s="1"/>
  <c r="D18" i="1"/>
  <c r="G18" i="1" s="1"/>
  <c r="D19" i="1"/>
  <c r="G19" i="1" s="1"/>
  <c r="D20" i="1"/>
  <c r="G20" i="1" s="1"/>
  <c r="D21" i="1"/>
  <c r="G21" i="1" s="1"/>
  <c r="D22" i="1"/>
  <c r="G22" i="1" s="1"/>
  <c r="D23" i="1"/>
  <c r="G23" i="1" s="1"/>
  <c r="D24" i="1"/>
  <c r="G24" i="1" s="1"/>
  <c r="D25" i="1"/>
  <c r="G25" i="1" s="1"/>
  <c r="D2" i="1"/>
  <c r="E5" i="2"/>
  <c r="E4" i="2"/>
  <c r="E3" i="2"/>
  <c r="E2" i="2"/>
  <c r="K73" i="3"/>
  <c r="K72" i="3"/>
  <c r="K71" i="3"/>
  <c r="K70" i="3"/>
  <c r="N70" i="3" s="1"/>
  <c r="K69" i="3"/>
  <c r="K68" i="3"/>
  <c r="K67" i="3"/>
  <c r="K66" i="3"/>
  <c r="N66" i="3" s="1"/>
  <c r="K65" i="3"/>
  <c r="K64" i="3"/>
  <c r="K63" i="3"/>
  <c r="K62" i="3"/>
  <c r="K61" i="3"/>
  <c r="J61" i="3"/>
  <c r="I61" i="3"/>
  <c r="K60" i="3"/>
  <c r="J60" i="3"/>
  <c r="I60" i="3"/>
  <c r="K59" i="3"/>
  <c r="J59" i="3"/>
  <c r="I59" i="3"/>
  <c r="K58" i="3"/>
  <c r="J58" i="3"/>
  <c r="I58" i="3"/>
  <c r="K57" i="3"/>
  <c r="J57" i="3"/>
  <c r="I57" i="3"/>
  <c r="K56" i="3"/>
  <c r="J56" i="3"/>
  <c r="I56" i="3"/>
  <c r="K55" i="3"/>
  <c r="J55" i="3"/>
  <c r="I55" i="3"/>
  <c r="K54" i="3"/>
  <c r="J54" i="3"/>
  <c r="I54" i="3"/>
  <c r="I53" i="3"/>
  <c r="I52" i="3"/>
  <c r="I51" i="3"/>
  <c r="I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J37" i="3"/>
  <c r="I37" i="3"/>
  <c r="K36" i="3"/>
  <c r="J36" i="3"/>
  <c r="I36" i="3"/>
  <c r="K35" i="3"/>
  <c r="J35" i="3"/>
  <c r="I35" i="3"/>
  <c r="K34" i="3"/>
  <c r="J34" i="3"/>
  <c r="I34" i="3"/>
  <c r="K33" i="3"/>
  <c r="J33" i="3"/>
  <c r="K32" i="3"/>
  <c r="J32" i="3"/>
  <c r="K31" i="3"/>
  <c r="J31" i="3"/>
  <c r="K30" i="3"/>
  <c r="J30" i="3"/>
  <c r="I29" i="3"/>
  <c r="I28" i="3"/>
  <c r="I27" i="3"/>
  <c r="I26" i="3"/>
  <c r="M13" i="3"/>
  <c r="M12" i="3"/>
  <c r="M11" i="3"/>
  <c r="J6" i="3"/>
  <c r="K6" i="3"/>
  <c r="J7" i="3"/>
  <c r="K7" i="3"/>
  <c r="J8" i="3"/>
  <c r="K8" i="3"/>
  <c r="J9" i="3"/>
  <c r="M9" i="3" s="1"/>
  <c r="K9" i="3"/>
  <c r="J10" i="3"/>
  <c r="M10" i="3" s="1"/>
  <c r="K10" i="3"/>
  <c r="J11" i="3"/>
  <c r="K11" i="3"/>
  <c r="J12" i="3"/>
  <c r="K12" i="3"/>
  <c r="J13" i="3"/>
  <c r="K13" i="3"/>
  <c r="K14" i="3"/>
  <c r="K15" i="3"/>
  <c r="K16" i="3"/>
  <c r="K17" i="3"/>
  <c r="K18" i="3"/>
  <c r="K19" i="3"/>
  <c r="K20" i="3"/>
  <c r="K21" i="3"/>
  <c r="N21" i="3" s="1"/>
  <c r="K22" i="3"/>
  <c r="K23" i="3"/>
  <c r="K24" i="3"/>
  <c r="K25" i="3"/>
  <c r="N25" i="3" s="1"/>
  <c r="I3" i="3"/>
  <c r="I4" i="3"/>
  <c r="I5" i="3"/>
  <c r="I6" i="3"/>
  <c r="I7" i="3"/>
  <c r="I8" i="3"/>
  <c r="I9" i="3"/>
  <c r="I10" i="3"/>
  <c r="I11" i="3"/>
  <c r="I12" i="3"/>
  <c r="I13" i="3"/>
  <c r="I2" i="3"/>
  <c r="G2" i="2"/>
  <c r="E6" i="2"/>
  <c r="E7" i="2"/>
  <c r="E8" i="2"/>
  <c r="E9" i="2"/>
  <c r="E10" i="2"/>
  <c r="E12" i="2"/>
  <c r="E13" i="2"/>
  <c r="M27" i="3" l="1"/>
  <c r="M26" i="3"/>
  <c r="O27" i="3"/>
  <c r="O26" i="3"/>
  <c r="L9" i="3"/>
  <c r="N63" i="3"/>
  <c r="L59" i="3"/>
  <c r="L60" i="3"/>
  <c r="M60" i="3"/>
  <c r="L54" i="3"/>
  <c r="L53" i="3"/>
  <c r="N24" i="3"/>
  <c r="N23" i="3"/>
  <c r="N19" i="3"/>
  <c r="N15" i="3"/>
  <c r="N13" i="3"/>
  <c r="L12" i="3"/>
  <c r="L7" i="3"/>
  <c r="L6" i="3"/>
  <c r="L3" i="3"/>
  <c r="N64" i="3"/>
  <c r="N65" i="3"/>
  <c r="N68" i="3"/>
  <c r="M55" i="3"/>
  <c r="N55" i="3"/>
  <c r="N62" i="3"/>
  <c r="N67" i="3"/>
  <c r="N69" i="3"/>
  <c r="L51" i="3"/>
  <c r="N30" i="3"/>
  <c r="N14" i="3"/>
  <c r="N12" i="3"/>
  <c r="M8" i="3"/>
  <c r="L11" i="3"/>
  <c r="L10" i="3"/>
  <c r="L8" i="3"/>
  <c r="N22" i="3"/>
  <c r="N20" i="3"/>
  <c r="M7" i="3"/>
  <c r="N7" i="3"/>
  <c r="N18" i="3"/>
  <c r="M6" i="3"/>
  <c r="N17" i="3"/>
  <c r="L13" i="3"/>
  <c r="O13" i="3" s="1"/>
  <c r="N16" i="3"/>
  <c r="L58" i="3"/>
  <c r="N60" i="3"/>
  <c r="M58" i="3"/>
  <c r="N61" i="3"/>
  <c r="M59" i="3"/>
  <c r="L56" i="3"/>
  <c r="L55" i="3"/>
  <c r="M56" i="3"/>
  <c r="N56" i="3"/>
  <c r="L57" i="3"/>
  <c r="N57" i="3"/>
  <c r="M57" i="3"/>
  <c r="L52" i="3"/>
  <c r="L50" i="3"/>
  <c r="N71" i="3"/>
  <c r="N72" i="3"/>
  <c r="N73" i="3"/>
  <c r="N58" i="3"/>
  <c r="N59" i="3"/>
  <c r="M54" i="3"/>
  <c r="N54" i="3"/>
  <c r="M61" i="3"/>
  <c r="L61" i="3"/>
  <c r="N9" i="3"/>
  <c r="L2" i="3"/>
  <c r="L4" i="3"/>
  <c r="N10" i="3"/>
  <c r="N35" i="3"/>
  <c r="M36" i="3"/>
  <c r="N6" i="3"/>
  <c r="N8" i="3"/>
  <c r="N11" i="3"/>
  <c r="L5" i="3"/>
  <c r="N47" i="3"/>
  <c r="O47" i="3" s="1"/>
  <c r="N42" i="3"/>
  <c r="O42" i="3" s="1"/>
  <c r="N38" i="3"/>
  <c r="O38" i="3" s="1"/>
  <c r="N41" i="3"/>
  <c r="O41" i="3" s="1"/>
  <c r="N36" i="3"/>
  <c r="M30" i="3"/>
  <c r="L28" i="3"/>
  <c r="O28" i="3" s="1"/>
  <c r="L36" i="3"/>
  <c r="N32" i="3"/>
  <c r="M32" i="3"/>
  <c r="O32" i="3" s="1"/>
  <c r="T13" i="3" s="1"/>
  <c r="N31" i="3"/>
  <c r="N39" i="3"/>
  <c r="O39" i="3" s="1"/>
  <c r="N40" i="3"/>
  <c r="O40" i="3" s="1"/>
  <c r="M33" i="3"/>
  <c r="N33" i="3"/>
  <c r="N43" i="3"/>
  <c r="O43" i="3" s="1"/>
  <c r="L34" i="3"/>
  <c r="N44" i="3"/>
  <c r="O44" i="3" s="1"/>
  <c r="L27" i="3"/>
  <c r="M34" i="3"/>
  <c r="N45" i="3"/>
  <c r="O45" i="3" s="1"/>
  <c r="N34" i="3"/>
  <c r="N46" i="3"/>
  <c r="O46" i="3" s="1"/>
  <c r="M31" i="3"/>
  <c r="L37" i="3"/>
  <c r="M37" i="3"/>
  <c r="N37" i="3"/>
  <c r="L29" i="3"/>
  <c r="O29" i="3" s="1"/>
  <c r="N48" i="3"/>
  <c r="O48" i="3" s="1"/>
  <c r="N49" i="3"/>
  <c r="O49" i="3" s="1"/>
  <c r="L26" i="3"/>
  <c r="L35" i="3"/>
  <c r="M35" i="3"/>
  <c r="G2" i="1"/>
  <c r="G12" i="2"/>
  <c r="G10" i="2"/>
  <c r="G8" i="2"/>
  <c r="G6" i="2"/>
  <c r="G3" i="2"/>
  <c r="G13" i="2"/>
  <c r="G9" i="2"/>
  <c r="G7" i="2"/>
  <c r="G5" i="2"/>
  <c r="G4" i="2"/>
  <c r="O36" i="3" l="1"/>
  <c r="O11" i="3"/>
  <c r="O8" i="3"/>
  <c r="O9" i="3"/>
  <c r="O61" i="3"/>
  <c r="O60" i="3"/>
  <c r="O58" i="3"/>
  <c r="O59" i="3"/>
  <c r="O57" i="3"/>
  <c r="O55" i="3"/>
  <c r="O56" i="3"/>
  <c r="O54" i="3"/>
  <c r="O37" i="3"/>
  <c r="O34" i="3"/>
  <c r="O35" i="3"/>
  <c r="O30" i="3"/>
  <c r="T11" i="3" s="1"/>
  <c r="O31" i="3"/>
  <c r="T12" i="3" s="1"/>
  <c r="O33" i="3"/>
  <c r="T14" i="3" s="1"/>
  <c r="O10" i="3"/>
  <c r="O12" i="3"/>
  <c r="O6" i="3"/>
  <c r="O7" i="3"/>
  <c r="T15" i="3" l="1"/>
</calcChain>
</file>

<file path=xl/sharedStrings.xml><?xml version="1.0" encoding="utf-8"?>
<sst xmlns="http://schemas.openxmlformats.org/spreadsheetml/2006/main" count="252" uniqueCount="40">
  <si>
    <t>Scenario</t>
  </si>
  <si>
    <t>Year</t>
  </si>
  <si>
    <t>Baseline</t>
  </si>
  <si>
    <t>Procurement Error</t>
  </si>
  <si>
    <t>Govt Percentage of CDR Market</t>
  </si>
  <si>
    <t>Total Size of CDR market</t>
  </si>
  <si>
    <t>Low</t>
  </si>
  <si>
    <t>EFI $3.3B</t>
  </si>
  <si>
    <t>Rhodium $100B</t>
  </si>
  <si>
    <t>High</t>
  </si>
  <si>
    <t>Original Size</t>
  </si>
  <si>
    <t>Nothing</t>
  </si>
  <si>
    <t>Rhodium $ 100B</t>
  </si>
  <si>
    <t>Scaling</t>
  </si>
  <si>
    <t>Subsidy Procurement</t>
  </si>
  <si>
    <t>No Subsidy Procurement</t>
  </si>
  <si>
    <t>Procurement Budget (Million USD/yr)</t>
  </si>
  <si>
    <t>Additional 45Q (Million USD)</t>
  </si>
  <si>
    <t>Procurement (Mt)</t>
  </si>
  <si>
    <t>Percent of Procurement Budget Spent on 45Q</t>
  </si>
  <si>
    <t>Tech</t>
  </si>
  <si>
    <t>BECCS</t>
  </si>
  <si>
    <t>DAC</t>
  </si>
  <si>
    <t>OEW</t>
  </si>
  <si>
    <t>TEW</t>
  </si>
  <si>
    <t>Baseline Scenario</t>
  </si>
  <si>
    <t>EFI $3B</t>
  </si>
  <si>
    <t>Difference - EFI</t>
  </si>
  <si>
    <t>Difference - Scaling</t>
  </si>
  <si>
    <t>Difference - Rhodium</t>
  </si>
  <si>
    <t>% - EFI</t>
  </si>
  <si>
    <t>% - Scaling</t>
  </si>
  <si>
    <t>% - Rhodium</t>
  </si>
  <si>
    <t>Procurement Amount</t>
  </si>
  <si>
    <t>Procurement Budget</t>
  </si>
  <si>
    <t>Actual Budget</t>
  </si>
  <si>
    <t>Average Mix</t>
  </si>
  <si>
    <t>Low Baseline</t>
  </si>
  <si>
    <t>High Baseline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</si>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</sst>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.8000000000000007"/>
      <color rgb="FFA9B7C6"/>
      <name val="JetBrains Mono"/>
      <family val="3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9" fontId="0" fillId="0" borderId="0" xfId="1" applyFont="1"/>
    <xf numFmtId="2" fontId="0" fillId="0" borderId="0" xfId="0" applyNumberFormat="1"/>
    <xf numFmtId="0" fontId="0" fillId="2" borderId="0" xfId="0" applyFill="1"/>
    <xf numFmtId="10" fontId="0" fillId="0" borderId="0" xfId="0" applyNumberFormat="1"/>
    <xf numFmtId="0" fontId="2" fillId="2" borderId="0" xfId="0" applyFont="1" applyFill="1" applyAlignment="1">
      <alignment vertical="center"/>
    </xf>
    <xf numFmtId="9" fontId="0" fillId="0" borderId="0" xfId="0" applyNumberFormat="1"/>
    <xf numFmtId="0" fontId="3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Scaling!$H$1</c:f>
              <c:strCache>
                <c:ptCount val="1"/>
                <c:pt idx="0">
                  <c:v>Procurement Error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Scaling!$D$2:$D$25</c:f>
              <c:numCache>
                <c:formatCode>General</c:formatCode>
                <c:ptCount val="24"/>
                <c:pt idx="0">
                  <c:v>22.65</c:v>
                </c:pt>
                <c:pt idx="1">
                  <c:v>38.921038279999998</c:v>
                </c:pt>
                <c:pt idx="2">
                  <c:v>72.201683639999999</c:v>
                </c:pt>
                <c:pt idx="3">
                  <c:v>95.181038279999996</c:v>
                </c:pt>
                <c:pt idx="4">
                  <c:v>215.76168364</c:v>
                </c:pt>
                <c:pt idx="5">
                  <c:v>364.81046279999998</c:v>
                </c:pt>
                <c:pt idx="6">
                  <c:v>648.96668739999996</c:v>
                </c:pt>
                <c:pt idx="7">
                  <c:v>1078.26</c:v>
                </c:pt>
                <c:pt idx="8">
                  <c:v>22.65</c:v>
                </c:pt>
                <c:pt idx="9">
                  <c:v>45.752613529999998</c:v>
                </c:pt>
                <c:pt idx="10">
                  <c:v>103.69577185999999</c:v>
                </c:pt>
                <c:pt idx="11">
                  <c:v>102.04261353</c:v>
                </c:pt>
                <c:pt idx="12">
                  <c:v>246.34577186000001</c:v>
                </c:pt>
                <c:pt idx="13">
                  <c:v>470.9930579</c:v>
                </c:pt>
                <c:pt idx="14">
                  <c:v>965.18897609999999</c:v>
                </c:pt>
                <c:pt idx="15">
                  <c:v>1974.19</c:v>
                </c:pt>
                <c:pt idx="16">
                  <c:v>22.65</c:v>
                </c:pt>
                <c:pt idx="17">
                  <c:v>30.40962717</c:v>
                </c:pt>
                <c:pt idx="18">
                  <c:v>44.244627790000003</c:v>
                </c:pt>
                <c:pt idx="19">
                  <c:v>82.319627170000004</c:v>
                </c:pt>
                <c:pt idx="20">
                  <c:v>180.40462779000001</c:v>
                </c:pt>
                <c:pt idx="21">
                  <c:v>275.22833609000003</c:v>
                </c:pt>
                <c:pt idx="22">
                  <c:v>461.17875827</c:v>
                </c:pt>
                <c:pt idx="23">
                  <c:v>691.29</c:v>
                </c:pt>
              </c:numCache>
            </c:numRef>
          </c:xVal>
          <c:yVal>
            <c:numRef>
              <c:f>Scaling!$H$2:$H$25</c:f>
              <c:numCache>
                <c:formatCode>0.00%</c:formatCode>
                <c:ptCount val="24"/>
                <c:pt idx="0">
                  <c:v>6.0606060606060606E-4</c:v>
                </c:pt>
                <c:pt idx="1">
                  <c:v>9.0909090909090905E-3</c:v>
                </c:pt>
                <c:pt idx="2">
                  <c:v>-2.2121212121212121E-2</c:v>
                </c:pt>
                <c:pt idx="3">
                  <c:v>7.7499999999999999E-3</c:v>
                </c:pt>
                <c:pt idx="4">
                  <c:v>2.7371428571428571E-2</c:v>
                </c:pt>
                <c:pt idx="5">
                  <c:v>4.1939999999999998E-2</c:v>
                </c:pt>
                <c:pt idx="6">
                  <c:v>2.4799999999999999E-2</c:v>
                </c:pt>
                <c:pt idx="7">
                  <c:v>-2.3140000000000001E-2</c:v>
                </c:pt>
                <c:pt idx="8">
                  <c:v>6.0606060606060606E-4</c:v>
                </c:pt>
                <c:pt idx="9">
                  <c:v>1.090909090909091E-2</c:v>
                </c:pt>
                <c:pt idx="10">
                  <c:v>-2.0909090909090908E-2</c:v>
                </c:pt>
                <c:pt idx="11">
                  <c:v>8.3499999999999998E-3</c:v>
                </c:pt>
                <c:pt idx="12">
                  <c:v>4.3771428571428572E-2</c:v>
                </c:pt>
                <c:pt idx="13">
                  <c:v>0.11934</c:v>
                </c:pt>
                <c:pt idx="14">
                  <c:v>0.16401333333333334</c:v>
                </c:pt>
                <c:pt idx="15">
                  <c:v>0.10825</c:v>
                </c:pt>
                <c:pt idx="16">
                  <c:v>-3.0303030303030303E-4</c:v>
                </c:pt>
                <c:pt idx="17">
                  <c:v>-7.575757575757576E-3</c:v>
                </c:pt>
                <c:pt idx="18">
                  <c:v>0.17303030303030303</c:v>
                </c:pt>
                <c:pt idx="19">
                  <c:v>-2.15E-3</c:v>
                </c:pt>
                <c:pt idx="20">
                  <c:v>7.8085714285714286E-2</c:v>
                </c:pt>
                <c:pt idx="21">
                  <c:v>6.4999999999999997E-3</c:v>
                </c:pt>
                <c:pt idx="22">
                  <c:v>5.0680000000000003E-2</c:v>
                </c:pt>
                <c:pt idx="23">
                  <c:v>0.10559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F1-45E8-BE09-8DA55D2C1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5939536"/>
        <c:axId val="1135940016"/>
      </c:scatterChart>
      <c:valAx>
        <c:axId val="1135939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Size of the CDR Market (including procurement)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940016"/>
        <c:crosses val="autoZero"/>
        <c:crossBetween val="midCat"/>
      </c:valAx>
      <c:valAx>
        <c:axId val="113594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Error in Price of Procurement</a:t>
                </a:r>
                <a:r>
                  <a:rPr lang="en-US" baseline="0"/>
                  <a:t>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939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Scaling!$H$1</c:f>
              <c:strCache>
                <c:ptCount val="1"/>
                <c:pt idx="0">
                  <c:v>Procurement Error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Scaling!$E$2:$E$25</c:f>
              <c:numCache>
                <c:formatCode>General</c:formatCode>
                <c:ptCount val="24"/>
                <c:pt idx="0">
                  <c:v>13.5</c:v>
                </c:pt>
                <c:pt idx="1">
                  <c:v>27.80103828</c:v>
                </c:pt>
                <c:pt idx="2">
                  <c:v>57.251683640000003</c:v>
                </c:pt>
                <c:pt idx="3">
                  <c:v>27.80103828</c:v>
                </c:pt>
                <c:pt idx="4">
                  <c:v>57.251683640000003</c:v>
                </c:pt>
                <c:pt idx="5">
                  <c:v>117.9004628</c:v>
                </c:pt>
                <c:pt idx="6">
                  <c:v>242.7966874</c:v>
                </c:pt>
                <c:pt idx="7">
                  <c:v>500</c:v>
                </c:pt>
                <c:pt idx="8">
                  <c:v>13.5</c:v>
                </c:pt>
                <c:pt idx="9">
                  <c:v>34.63261353</c:v>
                </c:pt>
                <c:pt idx="10">
                  <c:v>88.845771859999999</c:v>
                </c:pt>
                <c:pt idx="11">
                  <c:v>34.63261353</c:v>
                </c:pt>
                <c:pt idx="12">
                  <c:v>88.845771859999999</c:v>
                </c:pt>
                <c:pt idx="13">
                  <c:v>227.9230579</c:v>
                </c:pt>
                <c:pt idx="14">
                  <c:v>584.70897609999997</c:v>
                </c:pt>
                <c:pt idx="15">
                  <c:v>1500</c:v>
                </c:pt>
                <c:pt idx="16">
                  <c:v>13.5</c:v>
                </c:pt>
                <c:pt idx="17">
                  <c:v>20.149627169999999</c:v>
                </c:pt>
                <c:pt idx="18">
                  <c:v>30.074627790000001</c:v>
                </c:pt>
                <c:pt idx="19">
                  <c:v>20.149627169999999</c:v>
                </c:pt>
                <c:pt idx="20">
                  <c:v>30.074627790000001</c:v>
                </c:pt>
                <c:pt idx="21">
                  <c:v>44.888336090000003</c:v>
                </c:pt>
                <c:pt idx="22">
                  <c:v>66.998758269999996</c:v>
                </c:pt>
                <c:pt idx="23">
                  <c:v>100</c:v>
                </c:pt>
              </c:numCache>
            </c:numRef>
          </c:xVal>
          <c:yVal>
            <c:numRef>
              <c:f>Scaling!$H$2:$H$25</c:f>
              <c:numCache>
                <c:formatCode>0.00%</c:formatCode>
                <c:ptCount val="24"/>
                <c:pt idx="0">
                  <c:v>6.0606060606060606E-4</c:v>
                </c:pt>
                <c:pt idx="1">
                  <c:v>9.0909090909090905E-3</c:v>
                </c:pt>
                <c:pt idx="2">
                  <c:v>-2.2121212121212121E-2</c:v>
                </c:pt>
                <c:pt idx="3">
                  <c:v>7.7499999999999999E-3</c:v>
                </c:pt>
                <c:pt idx="4">
                  <c:v>2.7371428571428571E-2</c:v>
                </c:pt>
                <c:pt idx="5">
                  <c:v>4.1939999999999998E-2</c:v>
                </c:pt>
                <c:pt idx="6">
                  <c:v>2.4799999999999999E-2</c:v>
                </c:pt>
                <c:pt idx="7">
                  <c:v>-2.3140000000000001E-2</c:v>
                </c:pt>
                <c:pt idx="8">
                  <c:v>6.0606060606060606E-4</c:v>
                </c:pt>
                <c:pt idx="9">
                  <c:v>1.090909090909091E-2</c:v>
                </c:pt>
                <c:pt idx="10">
                  <c:v>-2.0909090909090908E-2</c:v>
                </c:pt>
                <c:pt idx="11">
                  <c:v>8.3499999999999998E-3</c:v>
                </c:pt>
                <c:pt idx="12">
                  <c:v>4.3771428571428572E-2</c:v>
                </c:pt>
                <c:pt idx="13">
                  <c:v>0.11934</c:v>
                </c:pt>
                <c:pt idx="14">
                  <c:v>0.16401333333333334</c:v>
                </c:pt>
                <c:pt idx="15">
                  <c:v>0.10825</c:v>
                </c:pt>
                <c:pt idx="16">
                  <c:v>-3.0303030303030303E-4</c:v>
                </c:pt>
                <c:pt idx="17">
                  <c:v>-7.575757575757576E-3</c:v>
                </c:pt>
                <c:pt idx="18">
                  <c:v>0.17303030303030303</c:v>
                </c:pt>
                <c:pt idx="19">
                  <c:v>-2.15E-3</c:v>
                </c:pt>
                <c:pt idx="20">
                  <c:v>7.8085714285714286E-2</c:v>
                </c:pt>
                <c:pt idx="21">
                  <c:v>6.4999999999999997E-3</c:v>
                </c:pt>
                <c:pt idx="22">
                  <c:v>5.0680000000000003E-2</c:v>
                </c:pt>
                <c:pt idx="23">
                  <c:v>0.10559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81-40F9-AC51-A489DFC6E3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5961136"/>
        <c:axId val="1135944816"/>
      </c:scatterChart>
      <c:valAx>
        <c:axId val="1135961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Size of the Voluntary</a:t>
                </a:r>
                <a:r>
                  <a:rPr lang="en-US" baseline="0"/>
                  <a:t> CDR market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944816"/>
        <c:crosses val="autoZero"/>
        <c:crossBetween val="midCat"/>
      </c:valAx>
      <c:valAx>
        <c:axId val="1135944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Error in  Price</a:t>
                </a:r>
                <a:r>
                  <a:rPr lang="en-US" baseline="0"/>
                  <a:t> of Procurement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961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Scaling!$H$1</c:f>
              <c:strCache>
                <c:ptCount val="1"/>
                <c:pt idx="0">
                  <c:v>Procurement Error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Scaling!$G$2:$G$25</c:f>
              <c:numCache>
                <c:formatCode>0%</c:formatCode>
                <c:ptCount val="24"/>
                <c:pt idx="0">
                  <c:v>0.40397350993377479</c:v>
                </c:pt>
                <c:pt idx="1">
                  <c:v>0.28570666383569043</c:v>
                </c:pt>
                <c:pt idx="2">
                  <c:v>0.20705888348173698</c:v>
                </c:pt>
                <c:pt idx="3">
                  <c:v>0.70791410996992965</c:v>
                </c:pt>
                <c:pt idx="4">
                  <c:v>0.73465314751842192</c:v>
                </c:pt>
                <c:pt idx="5">
                  <c:v>0.67681721106601989</c:v>
                </c:pt>
                <c:pt idx="6">
                  <c:v>0.62587187892072993</c:v>
                </c:pt>
                <c:pt idx="7">
                  <c:v>0.53628994862092627</c:v>
                </c:pt>
                <c:pt idx="8">
                  <c:v>0.40397350993377479</c:v>
                </c:pt>
                <c:pt idx="9">
                  <c:v>0.24304622494862749</c:v>
                </c:pt>
                <c:pt idx="10">
                  <c:v>0.14320738187907053</c:v>
                </c:pt>
                <c:pt idx="11">
                  <c:v>0.66060636500829928</c:v>
                </c:pt>
                <c:pt idx="12">
                  <c:v>0.63934525366852379</c:v>
                </c:pt>
                <c:pt idx="13">
                  <c:v>0.51607979337055954</c:v>
                </c:pt>
                <c:pt idx="14">
                  <c:v>0.3942025959904662</c:v>
                </c:pt>
                <c:pt idx="15">
                  <c:v>0.24019471276827462</c:v>
                </c:pt>
                <c:pt idx="16">
                  <c:v>0.40397350993377479</c:v>
                </c:pt>
                <c:pt idx="17">
                  <c:v>0.33739315324858032</c:v>
                </c:pt>
                <c:pt idx="18">
                  <c:v>0.32026487073765486</c:v>
                </c:pt>
                <c:pt idx="19">
                  <c:v>0.75522693842637822</c:v>
                </c:pt>
                <c:pt idx="20">
                  <c:v>0.83329347944993759</c:v>
                </c:pt>
                <c:pt idx="21">
                  <c:v>0.83690510676443775</c:v>
                </c:pt>
                <c:pt idx="22">
                  <c:v>0.85472280093443687</c:v>
                </c:pt>
                <c:pt idx="23">
                  <c:v>0.85534290963271564</c:v>
                </c:pt>
              </c:numCache>
            </c:numRef>
          </c:xVal>
          <c:yVal>
            <c:numRef>
              <c:f>Scaling!$H$2:$H$25</c:f>
              <c:numCache>
                <c:formatCode>0.00%</c:formatCode>
                <c:ptCount val="24"/>
                <c:pt idx="0">
                  <c:v>6.0606060606060606E-4</c:v>
                </c:pt>
                <c:pt idx="1">
                  <c:v>9.0909090909090905E-3</c:v>
                </c:pt>
                <c:pt idx="2">
                  <c:v>-2.2121212121212121E-2</c:v>
                </c:pt>
                <c:pt idx="3">
                  <c:v>7.7499999999999999E-3</c:v>
                </c:pt>
                <c:pt idx="4">
                  <c:v>2.7371428571428571E-2</c:v>
                </c:pt>
                <c:pt idx="5">
                  <c:v>4.1939999999999998E-2</c:v>
                </c:pt>
                <c:pt idx="6">
                  <c:v>2.4799999999999999E-2</c:v>
                </c:pt>
                <c:pt idx="7">
                  <c:v>-2.3140000000000001E-2</c:v>
                </c:pt>
                <c:pt idx="8">
                  <c:v>6.0606060606060606E-4</c:v>
                </c:pt>
                <c:pt idx="9">
                  <c:v>1.090909090909091E-2</c:v>
                </c:pt>
                <c:pt idx="10">
                  <c:v>-2.0909090909090908E-2</c:v>
                </c:pt>
                <c:pt idx="11">
                  <c:v>8.3499999999999998E-3</c:v>
                </c:pt>
                <c:pt idx="12">
                  <c:v>4.3771428571428572E-2</c:v>
                </c:pt>
                <c:pt idx="13">
                  <c:v>0.11934</c:v>
                </c:pt>
                <c:pt idx="14">
                  <c:v>0.16401333333333334</c:v>
                </c:pt>
                <c:pt idx="15">
                  <c:v>0.10825</c:v>
                </c:pt>
                <c:pt idx="16">
                  <c:v>-3.0303030303030303E-4</c:v>
                </c:pt>
                <c:pt idx="17">
                  <c:v>-7.575757575757576E-3</c:v>
                </c:pt>
                <c:pt idx="18">
                  <c:v>0.17303030303030303</c:v>
                </c:pt>
                <c:pt idx="19">
                  <c:v>-2.15E-3</c:v>
                </c:pt>
                <c:pt idx="20">
                  <c:v>7.8085714285714286E-2</c:v>
                </c:pt>
                <c:pt idx="21">
                  <c:v>6.4999999999999997E-3</c:v>
                </c:pt>
                <c:pt idx="22">
                  <c:v>5.0680000000000003E-2</c:v>
                </c:pt>
                <c:pt idx="23">
                  <c:v>0.10559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826-4C4B-9A48-52F977E43A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5961136"/>
        <c:axId val="1135944816"/>
      </c:scatterChart>
      <c:valAx>
        <c:axId val="1135961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Govt Procurement as Percentage of Total</a:t>
                </a:r>
                <a:r>
                  <a:rPr lang="en-US" baseline="0"/>
                  <a:t> CDR Market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944816"/>
        <c:crosses val="autoZero"/>
        <c:crossBetween val="midCat"/>
      </c:valAx>
      <c:valAx>
        <c:axId val="1135944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Error in  Price</a:t>
                </a:r>
                <a:r>
                  <a:rPr lang="en-US" baseline="0"/>
                  <a:t> of Procurement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961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Percentage of Procurement Budget Spent on 45Q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Percentage of Procurement Budget Spent on 45Q</a:t>
          </a:r>
        </a:p>
      </cx:txPr>
    </cx:title>
    <cx:plotArea>
      <cx:plotAreaRegion>
        <cx:series layoutId="boxWhisker" uniqueId="{5F8C8374-44F7-452F-BFFD-4FAF44BD728B}" formatIdx="3">
          <cx:tx>
            <cx:txData>
              <cx:f>_xlchart.v1.1</cx:f>
              <cx:v>Percent of Procurement Budget Spent on 45Q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25</xdr:row>
      <xdr:rowOff>33337</xdr:rowOff>
    </xdr:from>
    <xdr:to>
      <xdr:col>5</xdr:col>
      <xdr:colOff>323850</xdr:colOff>
      <xdr:row>39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4667FD-EA57-6D7F-89EF-EB72C3158B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323850</xdr:colOff>
      <xdr:row>25</xdr:row>
      <xdr:rowOff>33337</xdr:rowOff>
    </xdr:from>
    <xdr:to>
      <xdr:col>13</xdr:col>
      <xdr:colOff>19050</xdr:colOff>
      <xdr:row>39</xdr:row>
      <xdr:rowOff>109537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2666747-893C-8DED-79A2-778C000AB6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19050</xdr:colOff>
      <xdr:row>25</xdr:row>
      <xdr:rowOff>28575</xdr:rowOff>
    </xdr:from>
    <xdr:to>
      <xdr:col>20</xdr:col>
      <xdr:colOff>323850</xdr:colOff>
      <xdr:row>39</xdr:row>
      <xdr:rowOff>104775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0E0FD68-43CA-4CB2-A0F8-CB9CD47E1B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1847850</xdr:colOff>
      <xdr:row>13</xdr:row>
      <xdr:rowOff>147637</xdr:rowOff>
    </xdr:from>
    <xdr:to>
      <xdr:col>7</xdr:col>
      <xdr:colOff>1447800</xdr:colOff>
      <xdr:row>28</xdr:row>
      <xdr:rowOff>33337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21BA8017-080A-86DA-77CA-497F39B7F6D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29400" y="262413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7AA0D-F5C4-4357-8465-DF25FED59988}">
  <dimension ref="A1:J25"/>
  <sheetViews>
    <sheetView workbookViewId="0">
      <selection activeCell="M21" sqref="M21"/>
    </sheetView>
  </sheetViews>
  <sheetFormatPr defaultRowHeight="15"/>
  <cols>
    <col min="1" max="1" width="14.7109375" bestFit="1" customWidth="1"/>
    <col min="2" max="2" width="8.5703125" bestFit="1" customWidth="1"/>
    <col min="3" max="3" width="5" bestFit="1" customWidth="1"/>
    <col min="4" max="4" width="17.28515625" bestFit="1" customWidth="1"/>
    <col min="5" max="5" width="28.140625" bestFit="1" customWidth="1"/>
  </cols>
  <sheetData>
    <row r="1" spans="1:10">
      <c r="A1" t="s">
        <v>0</v>
      </c>
      <c r="B1" t="s">
        <v>2</v>
      </c>
      <c r="C1" t="s">
        <v>1</v>
      </c>
      <c r="D1" t="s">
        <v>5</v>
      </c>
      <c r="E1" t="s">
        <v>10</v>
      </c>
      <c r="F1" t="s">
        <v>33</v>
      </c>
      <c r="G1" t="s">
        <v>4</v>
      </c>
      <c r="H1" t="s">
        <v>3</v>
      </c>
      <c r="I1" t="s">
        <v>34</v>
      </c>
      <c r="J1" t="s">
        <v>35</v>
      </c>
    </row>
    <row r="2" spans="1:10">
      <c r="A2" t="s">
        <v>7</v>
      </c>
      <c r="B2" t="s">
        <v>6</v>
      </c>
      <c r="C2">
        <v>2025</v>
      </c>
      <c r="D2">
        <f t="shared" ref="D2:D25" si="0">E2+F2</f>
        <v>22.65</v>
      </c>
      <c r="E2">
        <v>13.5</v>
      </c>
      <c r="F2">
        <v>9.15</v>
      </c>
      <c r="G2" s="1">
        <f t="shared" ref="G2:G25" si="1">(D2-E2)/D2</f>
        <v>0.40397350993377479</v>
      </c>
      <c r="H2" s="4">
        <f t="shared" ref="H2:H25" si="2">(J2-I2)/I2</f>
        <v>6.0606060606060606E-4</v>
      </c>
      <c r="I2">
        <v>3300</v>
      </c>
      <c r="J2">
        <v>3302</v>
      </c>
    </row>
    <row r="3" spans="1:10">
      <c r="A3" t="s">
        <v>7</v>
      </c>
      <c r="B3" t="s">
        <v>6</v>
      </c>
      <c r="C3">
        <v>2030</v>
      </c>
      <c r="D3">
        <f t="shared" si="0"/>
        <v>38.921038279999998</v>
      </c>
      <c r="E3">
        <v>27.80103828</v>
      </c>
      <c r="F3">
        <v>11.12</v>
      </c>
      <c r="G3" s="1">
        <f t="shared" si="1"/>
        <v>0.28570666383569043</v>
      </c>
      <c r="H3" s="4">
        <f t="shared" si="2"/>
        <v>9.0909090909090905E-3</v>
      </c>
      <c r="I3">
        <v>3300</v>
      </c>
      <c r="J3">
        <v>3330</v>
      </c>
    </row>
    <row r="4" spans="1:10">
      <c r="A4" t="s">
        <v>7</v>
      </c>
      <c r="B4" t="s">
        <v>6</v>
      </c>
      <c r="C4">
        <v>2035</v>
      </c>
      <c r="D4">
        <f t="shared" si="0"/>
        <v>72.201683639999999</v>
      </c>
      <c r="E4">
        <v>57.251683640000003</v>
      </c>
      <c r="F4">
        <v>14.95</v>
      </c>
      <c r="G4" s="1">
        <f t="shared" si="1"/>
        <v>0.20705888348173698</v>
      </c>
      <c r="H4" s="4">
        <f t="shared" si="2"/>
        <v>-2.2121212121212121E-2</v>
      </c>
      <c r="I4">
        <v>3300</v>
      </c>
      <c r="J4">
        <v>3227</v>
      </c>
    </row>
    <row r="5" spans="1:10">
      <c r="A5" t="s">
        <v>8</v>
      </c>
      <c r="B5" t="s">
        <v>6</v>
      </c>
      <c r="C5">
        <v>2030</v>
      </c>
      <c r="D5">
        <f t="shared" si="0"/>
        <v>95.181038279999996</v>
      </c>
      <c r="E5">
        <v>27.80103828</v>
      </c>
      <c r="F5">
        <v>67.38</v>
      </c>
      <c r="G5" s="1">
        <f t="shared" si="1"/>
        <v>0.70791410996992965</v>
      </c>
      <c r="H5" s="4">
        <f t="shared" si="2"/>
        <v>7.7499999999999999E-3</v>
      </c>
      <c r="I5">
        <v>20000</v>
      </c>
      <c r="J5">
        <v>20155</v>
      </c>
    </row>
    <row r="6" spans="1:10">
      <c r="A6" t="s">
        <v>8</v>
      </c>
      <c r="B6" t="s">
        <v>6</v>
      </c>
      <c r="C6">
        <v>2035</v>
      </c>
      <c r="D6">
        <f t="shared" si="0"/>
        <v>215.76168364</v>
      </c>
      <c r="E6">
        <v>57.251683640000003</v>
      </c>
      <c r="F6">
        <v>158.51</v>
      </c>
      <c r="G6" s="1">
        <f t="shared" si="1"/>
        <v>0.73465314751842192</v>
      </c>
      <c r="H6" s="4">
        <f t="shared" si="2"/>
        <v>2.7371428571428571E-2</v>
      </c>
      <c r="I6">
        <v>35000</v>
      </c>
      <c r="J6">
        <v>35958</v>
      </c>
    </row>
    <row r="7" spans="1:10">
      <c r="A7" t="s">
        <v>8</v>
      </c>
      <c r="B7" t="s">
        <v>6</v>
      </c>
      <c r="C7">
        <v>2040</v>
      </c>
      <c r="D7">
        <f t="shared" si="0"/>
        <v>364.81046279999998</v>
      </c>
      <c r="E7">
        <v>117.9004628</v>
      </c>
      <c r="F7">
        <v>246.91</v>
      </c>
      <c r="G7" s="1">
        <f t="shared" si="1"/>
        <v>0.67681721106601989</v>
      </c>
      <c r="H7" s="4">
        <f t="shared" si="2"/>
        <v>4.1939999999999998E-2</v>
      </c>
      <c r="I7">
        <v>50000</v>
      </c>
      <c r="J7">
        <v>52097</v>
      </c>
    </row>
    <row r="8" spans="1:10">
      <c r="A8" t="s">
        <v>8</v>
      </c>
      <c r="B8" t="s">
        <v>6</v>
      </c>
      <c r="C8">
        <v>2045</v>
      </c>
      <c r="D8">
        <f t="shared" si="0"/>
        <v>648.96668739999996</v>
      </c>
      <c r="E8">
        <v>242.7966874</v>
      </c>
      <c r="F8">
        <v>406.17</v>
      </c>
      <c r="G8" s="1">
        <f t="shared" si="1"/>
        <v>0.62587187892072993</v>
      </c>
      <c r="H8" s="4">
        <f t="shared" si="2"/>
        <v>2.4799999999999999E-2</v>
      </c>
      <c r="I8">
        <v>75000</v>
      </c>
      <c r="J8">
        <v>76860</v>
      </c>
    </row>
    <row r="9" spans="1:10">
      <c r="A9" t="s">
        <v>8</v>
      </c>
      <c r="B9" t="s">
        <v>6</v>
      </c>
      <c r="C9">
        <v>2050</v>
      </c>
      <c r="D9">
        <f t="shared" si="0"/>
        <v>1078.26</v>
      </c>
      <c r="E9">
        <v>500</v>
      </c>
      <c r="F9">
        <v>578.26</v>
      </c>
      <c r="G9" s="1">
        <f t="shared" si="1"/>
        <v>0.53628994862092627</v>
      </c>
      <c r="H9" s="4">
        <f t="shared" si="2"/>
        <v>-2.3140000000000001E-2</v>
      </c>
      <c r="I9">
        <v>100000</v>
      </c>
      <c r="J9">
        <v>97686</v>
      </c>
    </row>
    <row r="10" spans="1:10">
      <c r="A10" t="s">
        <v>7</v>
      </c>
      <c r="B10" t="s">
        <v>9</v>
      </c>
      <c r="C10">
        <v>2025</v>
      </c>
      <c r="D10">
        <f t="shared" si="0"/>
        <v>22.65</v>
      </c>
      <c r="E10">
        <v>13.5</v>
      </c>
      <c r="F10">
        <v>9.15</v>
      </c>
      <c r="G10" s="1">
        <f t="shared" si="1"/>
        <v>0.40397350993377479</v>
      </c>
      <c r="H10" s="4">
        <f t="shared" si="2"/>
        <v>6.0606060606060606E-4</v>
      </c>
      <c r="I10">
        <v>3300</v>
      </c>
      <c r="J10">
        <v>3302</v>
      </c>
    </row>
    <row r="11" spans="1:10">
      <c r="A11" t="s">
        <v>7</v>
      </c>
      <c r="B11" t="s">
        <v>9</v>
      </c>
      <c r="C11">
        <v>2030</v>
      </c>
      <c r="D11">
        <f t="shared" si="0"/>
        <v>45.752613529999998</v>
      </c>
      <c r="E11">
        <v>34.63261353</v>
      </c>
      <c r="F11">
        <v>11.12</v>
      </c>
      <c r="G11" s="1">
        <f t="shared" si="1"/>
        <v>0.24304622494862749</v>
      </c>
      <c r="H11" s="4">
        <f t="shared" si="2"/>
        <v>1.090909090909091E-2</v>
      </c>
      <c r="I11">
        <v>3300</v>
      </c>
      <c r="J11">
        <v>3336</v>
      </c>
    </row>
    <row r="12" spans="1:10">
      <c r="A12" t="s">
        <v>7</v>
      </c>
      <c r="B12" t="s">
        <v>9</v>
      </c>
      <c r="C12">
        <v>2035</v>
      </c>
      <c r="D12">
        <f t="shared" si="0"/>
        <v>103.69577185999999</v>
      </c>
      <c r="E12">
        <v>88.845771859999999</v>
      </c>
      <c r="F12">
        <v>14.85</v>
      </c>
      <c r="G12" s="1">
        <f t="shared" si="1"/>
        <v>0.14320738187907053</v>
      </c>
      <c r="H12" s="4">
        <f t="shared" si="2"/>
        <v>-2.0909090909090908E-2</v>
      </c>
      <c r="I12">
        <v>3300</v>
      </c>
      <c r="J12">
        <v>3231</v>
      </c>
    </row>
    <row r="13" spans="1:10">
      <c r="A13" t="s">
        <v>8</v>
      </c>
      <c r="B13" t="s">
        <v>9</v>
      </c>
      <c r="C13">
        <v>2030</v>
      </c>
      <c r="D13">
        <f t="shared" si="0"/>
        <v>102.04261353</v>
      </c>
      <c r="E13">
        <v>34.63261353</v>
      </c>
      <c r="F13">
        <v>67.41</v>
      </c>
      <c r="G13" s="1">
        <f t="shared" si="1"/>
        <v>0.66060636500829928</v>
      </c>
      <c r="H13" s="4">
        <f t="shared" si="2"/>
        <v>8.3499999999999998E-3</v>
      </c>
      <c r="I13">
        <v>20000</v>
      </c>
      <c r="J13">
        <v>20167</v>
      </c>
    </row>
    <row r="14" spans="1:10">
      <c r="A14" t="s">
        <v>8</v>
      </c>
      <c r="B14" t="s">
        <v>9</v>
      </c>
      <c r="C14">
        <v>2035</v>
      </c>
      <c r="D14">
        <f t="shared" si="0"/>
        <v>246.34577186000001</v>
      </c>
      <c r="E14">
        <v>88.845771859999999</v>
      </c>
      <c r="F14">
        <v>157.5</v>
      </c>
      <c r="G14" s="1">
        <f t="shared" si="1"/>
        <v>0.63934525366852379</v>
      </c>
      <c r="H14" s="4">
        <f t="shared" si="2"/>
        <v>4.3771428571428572E-2</v>
      </c>
      <c r="I14">
        <v>35000</v>
      </c>
      <c r="J14">
        <v>36532</v>
      </c>
    </row>
    <row r="15" spans="1:10">
      <c r="A15" t="s">
        <v>8</v>
      </c>
      <c r="B15" t="s">
        <v>9</v>
      </c>
      <c r="C15">
        <v>2040</v>
      </c>
      <c r="D15">
        <f t="shared" si="0"/>
        <v>470.9930579</v>
      </c>
      <c r="E15">
        <v>227.9230579</v>
      </c>
      <c r="F15">
        <v>243.07</v>
      </c>
      <c r="G15" s="1">
        <f t="shared" si="1"/>
        <v>0.51607979337055954</v>
      </c>
      <c r="H15" s="4">
        <f t="shared" si="2"/>
        <v>0.11934</v>
      </c>
      <c r="I15">
        <v>50000</v>
      </c>
      <c r="J15">
        <v>55967</v>
      </c>
    </row>
    <row r="16" spans="1:10">
      <c r="A16" t="s">
        <v>8</v>
      </c>
      <c r="B16" t="s">
        <v>9</v>
      </c>
      <c r="C16">
        <v>2045</v>
      </c>
      <c r="D16">
        <f t="shared" si="0"/>
        <v>965.18897609999999</v>
      </c>
      <c r="E16">
        <v>584.70897609999997</v>
      </c>
      <c r="F16">
        <v>380.48</v>
      </c>
      <c r="G16" s="1">
        <f t="shared" si="1"/>
        <v>0.3942025959904662</v>
      </c>
      <c r="H16" s="4">
        <f t="shared" si="2"/>
        <v>0.16401333333333334</v>
      </c>
      <c r="I16">
        <v>75000</v>
      </c>
      <c r="J16">
        <v>87301</v>
      </c>
    </row>
    <row r="17" spans="1:10">
      <c r="A17" t="s">
        <v>8</v>
      </c>
      <c r="B17" t="s">
        <v>9</v>
      </c>
      <c r="C17">
        <v>2050</v>
      </c>
      <c r="D17">
        <f t="shared" si="0"/>
        <v>1974.19</v>
      </c>
      <c r="E17">
        <v>1500</v>
      </c>
      <c r="F17">
        <v>474.19</v>
      </c>
      <c r="G17" s="1">
        <f t="shared" si="1"/>
        <v>0.24019471276827462</v>
      </c>
      <c r="H17" s="4">
        <f t="shared" si="2"/>
        <v>0.10825</v>
      </c>
      <c r="I17">
        <v>100000</v>
      </c>
      <c r="J17">
        <v>110825</v>
      </c>
    </row>
    <row r="18" spans="1:10">
      <c r="A18" t="s">
        <v>7</v>
      </c>
      <c r="B18" t="s">
        <v>11</v>
      </c>
      <c r="C18">
        <v>2025</v>
      </c>
      <c r="D18">
        <f t="shared" si="0"/>
        <v>22.65</v>
      </c>
      <c r="E18">
        <v>13.5</v>
      </c>
      <c r="F18">
        <v>9.15</v>
      </c>
      <c r="G18" s="1">
        <f t="shared" si="1"/>
        <v>0.40397350993377479</v>
      </c>
      <c r="H18" s="4">
        <f t="shared" si="2"/>
        <v>-3.0303030303030303E-4</v>
      </c>
      <c r="I18">
        <v>3300</v>
      </c>
      <c r="J18">
        <v>3299</v>
      </c>
    </row>
    <row r="19" spans="1:10">
      <c r="A19" t="s">
        <v>7</v>
      </c>
      <c r="B19" t="s">
        <v>11</v>
      </c>
      <c r="C19">
        <v>2030</v>
      </c>
      <c r="D19">
        <f t="shared" si="0"/>
        <v>30.40962717</v>
      </c>
      <c r="E19">
        <v>20.149627169999999</v>
      </c>
      <c r="F19">
        <v>10.26</v>
      </c>
      <c r="G19" s="1">
        <f t="shared" si="1"/>
        <v>0.33739315324858032</v>
      </c>
      <c r="H19" s="4">
        <f t="shared" si="2"/>
        <v>-7.575757575757576E-3</v>
      </c>
      <c r="I19">
        <v>3300</v>
      </c>
      <c r="J19">
        <v>3275</v>
      </c>
    </row>
    <row r="20" spans="1:10">
      <c r="A20" t="s">
        <v>7</v>
      </c>
      <c r="B20" t="s">
        <v>11</v>
      </c>
      <c r="C20">
        <v>2035</v>
      </c>
      <c r="D20">
        <f t="shared" si="0"/>
        <v>44.244627790000003</v>
      </c>
      <c r="E20">
        <v>30.074627790000001</v>
      </c>
      <c r="F20">
        <v>14.17</v>
      </c>
      <c r="G20" s="1">
        <f t="shared" si="1"/>
        <v>0.32026487073765486</v>
      </c>
      <c r="H20" s="4">
        <f t="shared" si="2"/>
        <v>0.17303030303030303</v>
      </c>
      <c r="I20">
        <v>3300</v>
      </c>
      <c r="J20">
        <v>3871</v>
      </c>
    </row>
    <row r="21" spans="1:10">
      <c r="A21" t="s">
        <v>8</v>
      </c>
      <c r="B21" t="s">
        <v>11</v>
      </c>
      <c r="C21">
        <v>2030</v>
      </c>
      <c r="D21">
        <f t="shared" si="0"/>
        <v>82.319627170000004</v>
      </c>
      <c r="E21">
        <v>20.149627169999999</v>
      </c>
      <c r="F21">
        <v>62.17</v>
      </c>
      <c r="G21" s="1">
        <f t="shared" si="1"/>
        <v>0.75522693842637822</v>
      </c>
      <c r="H21" s="4">
        <f t="shared" si="2"/>
        <v>-2.15E-3</v>
      </c>
      <c r="I21">
        <v>20000</v>
      </c>
      <c r="J21">
        <v>19957</v>
      </c>
    </row>
    <row r="22" spans="1:10">
      <c r="A22" t="s">
        <v>8</v>
      </c>
      <c r="B22" t="s">
        <v>11</v>
      </c>
      <c r="C22">
        <v>2035</v>
      </c>
      <c r="D22">
        <f t="shared" si="0"/>
        <v>180.40462779000001</v>
      </c>
      <c r="E22">
        <v>30.074627790000001</v>
      </c>
      <c r="F22">
        <v>150.33000000000001</v>
      </c>
      <c r="G22" s="1">
        <f t="shared" si="1"/>
        <v>0.83329347944993759</v>
      </c>
      <c r="H22" s="4">
        <f t="shared" si="2"/>
        <v>7.8085714285714286E-2</v>
      </c>
      <c r="I22">
        <v>35000</v>
      </c>
      <c r="J22">
        <v>37733</v>
      </c>
    </row>
    <row r="23" spans="1:10">
      <c r="A23" t="s">
        <v>8</v>
      </c>
      <c r="B23" t="s">
        <v>11</v>
      </c>
      <c r="C23">
        <v>2040</v>
      </c>
      <c r="D23">
        <f t="shared" si="0"/>
        <v>275.22833609000003</v>
      </c>
      <c r="E23">
        <v>44.888336090000003</v>
      </c>
      <c r="F23">
        <v>230.34</v>
      </c>
      <c r="G23" s="1">
        <f t="shared" si="1"/>
        <v>0.83690510676443775</v>
      </c>
      <c r="H23" s="4">
        <f t="shared" si="2"/>
        <v>6.4999999999999997E-3</v>
      </c>
      <c r="I23">
        <v>50000</v>
      </c>
      <c r="J23">
        <v>50325</v>
      </c>
    </row>
    <row r="24" spans="1:10">
      <c r="A24" t="s">
        <v>8</v>
      </c>
      <c r="B24" t="s">
        <v>11</v>
      </c>
      <c r="C24">
        <v>2045</v>
      </c>
      <c r="D24">
        <f t="shared" si="0"/>
        <v>461.17875827</v>
      </c>
      <c r="E24">
        <v>66.998758269999996</v>
      </c>
      <c r="F24">
        <v>394.18</v>
      </c>
      <c r="G24" s="1">
        <f t="shared" si="1"/>
        <v>0.85472280093443687</v>
      </c>
      <c r="H24" s="4">
        <f t="shared" si="2"/>
        <v>5.0680000000000003E-2</v>
      </c>
      <c r="I24">
        <v>75000</v>
      </c>
      <c r="J24">
        <v>78801</v>
      </c>
    </row>
    <row r="25" spans="1:10">
      <c r="A25" t="s">
        <v>8</v>
      </c>
      <c r="B25" t="s">
        <v>11</v>
      </c>
      <c r="C25">
        <v>2050</v>
      </c>
      <c r="D25">
        <f t="shared" si="0"/>
        <v>691.29</v>
      </c>
      <c r="E25">
        <v>100</v>
      </c>
      <c r="F25">
        <v>591.29</v>
      </c>
      <c r="G25" s="1">
        <f t="shared" si="1"/>
        <v>0.85534290963271564</v>
      </c>
      <c r="H25" s="4">
        <f t="shared" si="2"/>
        <v>0.10559</v>
      </c>
      <c r="I25">
        <v>100000</v>
      </c>
      <c r="J25">
        <v>110559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5A500-B443-4A7A-9013-C11AEE955A78}">
  <dimension ref="A1:I13"/>
  <sheetViews>
    <sheetView workbookViewId="0">
      <selection activeCell="E24" sqref="E24"/>
    </sheetView>
  </sheetViews>
  <sheetFormatPr defaultRowHeight="15"/>
  <cols>
    <col min="1" max="1" width="8.5703125" bestFit="1" customWidth="1"/>
    <col min="2" max="2" width="15.140625" bestFit="1" customWidth="1"/>
    <col min="3" max="3" width="16.42578125" bestFit="1" customWidth="1"/>
    <col min="4" max="4" width="5" bestFit="1" customWidth="1"/>
    <col min="5" max="5" width="26.5703125" bestFit="1" customWidth="1"/>
    <col min="6" max="6" width="33.85546875" bestFit="1" customWidth="1"/>
    <col min="7" max="7" width="40.7109375" bestFit="1" customWidth="1"/>
    <col min="8" max="8" width="23" bestFit="1" customWidth="1"/>
  </cols>
  <sheetData>
    <row r="1" spans="1:9">
      <c r="A1" t="s">
        <v>2</v>
      </c>
      <c r="B1" t="s">
        <v>0</v>
      </c>
      <c r="C1" t="s">
        <v>18</v>
      </c>
      <c r="D1" t="s">
        <v>1</v>
      </c>
      <c r="E1" t="s">
        <v>17</v>
      </c>
      <c r="F1" t="s">
        <v>16</v>
      </c>
      <c r="G1" t="s">
        <v>19</v>
      </c>
      <c r="H1" t="s">
        <v>14</v>
      </c>
      <c r="I1" t="s">
        <v>15</v>
      </c>
    </row>
    <row r="2" spans="1:9">
      <c r="A2" t="s">
        <v>11</v>
      </c>
      <c r="B2" t="s">
        <v>7</v>
      </c>
      <c r="C2" s="2">
        <v>9.1497691446116427</v>
      </c>
      <c r="D2">
        <v>2025</v>
      </c>
      <c r="E2">
        <f t="shared" ref="E2:E13" si="0">H2-I2</f>
        <v>1519.92382194522</v>
      </c>
      <c r="F2">
        <v>3300</v>
      </c>
      <c r="G2" s="1">
        <f>E2/F2</f>
        <v>0.46058297634703638</v>
      </c>
      <c r="H2" s="3">
        <v>3736.5136659285899</v>
      </c>
      <c r="I2" s="3">
        <v>2216.58984398337</v>
      </c>
    </row>
    <row r="3" spans="1:9">
      <c r="A3" t="s">
        <v>11</v>
      </c>
      <c r="B3" t="s">
        <v>7</v>
      </c>
      <c r="C3" s="2">
        <v>10.257766689126317</v>
      </c>
      <c r="D3">
        <v>2030</v>
      </c>
      <c r="E3">
        <f t="shared" si="0"/>
        <v>1626.1149472671095</v>
      </c>
      <c r="F3">
        <v>3300</v>
      </c>
      <c r="G3" s="1">
        <f t="shared" ref="G3:G13" si="1">E3/F3</f>
        <v>0.49276210523245745</v>
      </c>
      <c r="H3" s="3">
        <v>4814.1169809663397</v>
      </c>
      <c r="I3" s="3">
        <v>3188.0020336992302</v>
      </c>
    </row>
    <row r="4" spans="1:9">
      <c r="A4" t="s">
        <v>11</v>
      </c>
      <c r="B4" t="s">
        <v>12</v>
      </c>
      <c r="C4" s="2">
        <v>67.381687905293646</v>
      </c>
      <c r="D4">
        <v>2030</v>
      </c>
      <c r="E4">
        <f t="shared" si="0"/>
        <v>9886.2493241159682</v>
      </c>
      <c r="F4">
        <v>20000</v>
      </c>
      <c r="G4" s="1">
        <f t="shared" si="1"/>
        <v>0.49431246620579838</v>
      </c>
      <c r="H4" s="3">
        <v>13074.251357815199</v>
      </c>
      <c r="I4" s="3">
        <v>3188.0020336992302</v>
      </c>
    </row>
    <row r="5" spans="1:9">
      <c r="A5" t="s">
        <v>11</v>
      </c>
      <c r="B5" t="s">
        <v>13</v>
      </c>
      <c r="C5" s="2">
        <v>5</v>
      </c>
      <c r="D5">
        <v>2030</v>
      </c>
      <c r="E5">
        <f t="shared" si="0"/>
        <v>793.51772730403991</v>
      </c>
      <c r="F5">
        <v>1608</v>
      </c>
      <c r="G5" s="1">
        <f t="shared" si="1"/>
        <v>0.49348117369654221</v>
      </c>
      <c r="H5" s="3">
        <v>3981.5197610032701</v>
      </c>
      <c r="I5" s="3">
        <v>3188.0020336992302</v>
      </c>
    </row>
    <row r="6" spans="1:9">
      <c r="A6" t="s">
        <v>6</v>
      </c>
      <c r="B6" t="s">
        <v>7</v>
      </c>
      <c r="C6" s="2">
        <v>9.1527704871198079</v>
      </c>
      <c r="D6">
        <v>2025</v>
      </c>
      <c r="E6">
        <f t="shared" si="0"/>
        <v>1521.9699999999998</v>
      </c>
      <c r="F6">
        <v>3300</v>
      </c>
      <c r="G6" s="1">
        <f t="shared" si="1"/>
        <v>0.46120303030303023</v>
      </c>
      <c r="H6" s="5">
        <v>3302.97</v>
      </c>
      <c r="I6" s="5">
        <v>1781</v>
      </c>
    </row>
    <row r="7" spans="1:9">
      <c r="A7" t="s">
        <v>6</v>
      </c>
      <c r="B7" t="s">
        <v>7</v>
      </c>
      <c r="C7" s="2">
        <v>11.123317675046577</v>
      </c>
      <c r="D7">
        <v>2030</v>
      </c>
      <c r="E7">
        <f t="shared" si="0"/>
        <v>1195</v>
      </c>
      <c r="F7">
        <v>3300</v>
      </c>
      <c r="G7" s="1">
        <f t="shared" si="1"/>
        <v>0.36212121212121212</v>
      </c>
      <c r="H7" s="5">
        <v>3330</v>
      </c>
      <c r="I7" s="5">
        <v>2135</v>
      </c>
    </row>
    <row r="8" spans="1:9">
      <c r="A8" t="s">
        <v>6</v>
      </c>
      <c r="B8" t="s">
        <v>12</v>
      </c>
      <c r="C8" s="2">
        <v>67.381687905293646</v>
      </c>
      <c r="D8">
        <v>2030</v>
      </c>
      <c r="E8">
        <f t="shared" si="0"/>
        <v>7135</v>
      </c>
      <c r="F8">
        <v>20000</v>
      </c>
      <c r="G8" s="1">
        <f t="shared" si="1"/>
        <v>0.35675000000000001</v>
      </c>
      <c r="H8" s="5">
        <v>20155</v>
      </c>
      <c r="I8" s="5">
        <v>13020</v>
      </c>
    </row>
    <row r="9" spans="1:9">
      <c r="A9" t="s">
        <v>6</v>
      </c>
      <c r="B9" t="s">
        <v>13</v>
      </c>
      <c r="C9" s="2">
        <v>5</v>
      </c>
      <c r="D9">
        <v>2030</v>
      </c>
      <c r="E9">
        <f t="shared" si="0"/>
        <v>549.20000000000005</v>
      </c>
      <c r="F9">
        <v>1484</v>
      </c>
      <c r="G9" s="1">
        <f t="shared" si="1"/>
        <v>0.37008086253369277</v>
      </c>
      <c r="H9" s="5">
        <v>1480</v>
      </c>
      <c r="I9" s="5">
        <v>930.8</v>
      </c>
    </row>
    <row r="10" spans="1:9">
      <c r="A10" t="s">
        <v>9</v>
      </c>
      <c r="B10" t="s">
        <v>7</v>
      </c>
      <c r="C10" s="2">
        <v>11.123317675046577</v>
      </c>
      <c r="D10">
        <v>2025</v>
      </c>
      <c r="E10">
        <f t="shared" si="0"/>
        <v>1521.3599999999997</v>
      </c>
      <c r="F10">
        <v>3300</v>
      </c>
      <c r="G10" s="1">
        <f t="shared" si="1"/>
        <v>0.46101818181818172</v>
      </c>
      <c r="H10" s="5">
        <v>3302.74</v>
      </c>
      <c r="I10" s="5">
        <v>1781.38</v>
      </c>
    </row>
    <row r="11" spans="1:9">
      <c r="A11" t="s">
        <v>9</v>
      </c>
      <c r="B11" t="s">
        <v>7</v>
      </c>
      <c r="C11" s="2">
        <v>14.849857137390348</v>
      </c>
      <c r="D11">
        <v>2030</v>
      </c>
      <c r="G11" s="1"/>
      <c r="H11" s="5"/>
      <c r="I11" s="5"/>
    </row>
    <row r="12" spans="1:9">
      <c r="A12" t="s">
        <v>9</v>
      </c>
      <c r="B12" t="s">
        <v>12</v>
      </c>
      <c r="C12" s="2">
        <v>67.41404651543381</v>
      </c>
      <c r="D12">
        <v>2030</v>
      </c>
      <c r="E12">
        <f t="shared" si="0"/>
        <v>7172.6200000000008</v>
      </c>
      <c r="F12">
        <v>20000</v>
      </c>
      <c r="G12" s="1">
        <f t="shared" si="1"/>
        <v>0.35863100000000003</v>
      </c>
      <c r="H12" s="5">
        <v>20167</v>
      </c>
      <c r="I12" s="5">
        <v>12994.38</v>
      </c>
    </row>
    <row r="13" spans="1:9">
      <c r="A13" t="s">
        <v>9</v>
      </c>
      <c r="B13" t="s">
        <v>13</v>
      </c>
      <c r="C13" s="2">
        <v>5</v>
      </c>
      <c r="D13">
        <v>2030</v>
      </c>
      <c r="E13">
        <f t="shared" si="0"/>
        <v>560.15999999999985</v>
      </c>
      <c r="F13">
        <v>1483</v>
      </c>
      <c r="G13" s="1">
        <f t="shared" si="1"/>
        <v>0.37772083614295338</v>
      </c>
      <c r="H13" s="5">
        <v>1502.36</v>
      </c>
      <c r="I13" s="5">
        <v>942.2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7F9D7-BF24-4FBB-A24F-14025D988DE1}">
  <dimension ref="A1:X73"/>
  <sheetViews>
    <sheetView tabSelected="1" workbookViewId="0">
      <pane ySplit="1" topLeftCell="A21" activePane="bottomLeft" state="frozen"/>
      <selection pane="bottomLeft" activeCell="T11" sqref="T11:T14"/>
    </sheetView>
  </sheetViews>
  <sheetFormatPr defaultRowHeight="15"/>
  <cols>
    <col min="1" max="1" width="8.5703125" bestFit="1" customWidth="1"/>
    <col min="2" max="2" width="5" bestFit="1" customWidth="1"/>
    <col min="3" max="3" width="6.42578125" bestFit="1" customWidth="1"/>
    <col min="4" max="4" width="16.85546875" bestFit="1" customWidth="1"/>
    <col min="5" max="5" width="7.140625" bestFit="1" customWidth="1"/>
    <col min="6" max="6" width="7.42578125" bestFit="1" customWidth="1"/>
    <col min="7" max="7" width="14.7109375" bestFit="1" customWidth="1"/>
    <col min="9" max="9" width="14.140625" bestFit="1" customWidth="1"/>
    <col min="10" max="10" width="18.140625" bestFit="1" customWidth="1"/>
    <col min="11" max="11" width="19.7109375" bestFit="1" customWidth="1"/>
    <col min="13" max="13" width="10.5703125" bestFit="1" customWidth="1"/>
    <col min="14" max="14" width="12.140625" bestFit="1" customWidth="1"/>
  </cols>
  <sheetData>
    <row r="1" spans="1:24">
      <c r="A1" t="s">
        <v>2</v>
      </c>
      <c r="B1" t="s">
        <v>1</v>
      </c>
      <c r="C1" t="s">
        <v>20</v>
      </c>
      <c r="D1" t="s">
        <v>25</v>
      </c>
      <c r="E1" t="s">
        <v>26</v>
      </c>
      <c r="F1" t="s">
        <v>13</v>
      </c>
      <c r="G1" t="s">
        <v>8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36</v>
      </c>
    </row>
    <row r="2" spans="1:24">
      <c r="A2" s="3" t="s">
        <v>6</v>
      </c>
      <c r="B2" s="3">
        <v>2025</v>
      </c>
      <c r="C2" t="s">
        <v>21</v>
      </c>
      <c r="I2" s="2">
        <f>E2-$D2</f>
        <v>0</v>
      </c>
      <c r="J2" s="2">
        <f>F2-$D2</f>
        <v>0</v>
      </c>
      <c r="K2" s="2"/>
      <c r="L2" s="1">
        <f>I2/SUM(I2:I5)</f>
        <v>0</v>
      </c>
      <c r="M2" s="1">
        <f>J2/SUM(J2:J5)</f>
        <v>0</v>
      </c>
      <c r="N2" s="1"/>
      <c r="O2" s="1">
        <f>SUM(L2:N2)/2</f>
        <v>0</v>
      </c>
    </row>
    <row r="3" spans="1:24">
      <c r="A3" s="3" t="s">
        <v>6</v>
      </c>
      <c r="B3" s="3">
        <v>2025</v>
      </c>
      <c r="C3" t="s">
        <v>22</v>
      </c>
      <c r="D3">
        <v>12.302540506666601</v>
      </c>
      <c r="E3">
        <v>20.75363917</v>
      </c>
      <c r="F3">
        <v>12.38344833</v>
      </c>
      <c r="G3" s="2"/>
      <c r="I3" s="2">
        <f t="shared" ref="I3:J13" si="0">E3-$D3</f>
        <v>8.4510986633333989</v>
      </c>
      <c r="J3" s="2">
        <f t="shared" si="0"/>
        <v>8.090782333339952E-2</v>
      </c>
      <c r="K3" s="2"/>
      <c r="L3" s="1">
        <f>I3/SUM(I2:I5)</f>
        <v>0.91515732423128149</v>
      </c>
      <c r="M3" s="1">
        <f>J3/SUM(J2:J5)</f>
        <v>1.2977666136557442</v>
      </c>
      <c r="N3" s="1"/>
      <c r="O3" s="1">
        <f t="shared" ref="O3:O5" si="1">SUM(L3:N3)/2</f>
        <v>1.1064619689435129</v>
      </c>
      <c r="R3" s="7" t="s">
        <v>37</v>
      </c>
      <c r="S3">
        <v>2025</v>
      </c>
      <c r="T3">
        <v>2030</v>
      </c>
      <c r="U3">
        <v>2035</v>
      </c>
      <c r="V3">
        <v>2040</v>
      </c>
      <c r="W3">
        <v>2045</v>
      </c>
      <c r="X3">
        <v>2050</v>
      </c>
    </row>
    <row r="4" spans="1:24">
      <c r="A4" s="3" t="s">
        <v>6</v>
      </c>
      <c r="B4" s="3">
        <v>2025</v>
      </c>
      <c r="C4" t="s">
        <v>23</v>
      </c>
      <c r="D4">
        <v>0.75969476000000002</v>
      </c>
      <c r="E4">
        <v>1.26107314666666</v>
      </c>
      <c r="F4">
        <v>0.74495450333333302</v>
      </c>
      <c r="G4" s="2"/>
      <c r="I4" s="2">
        <f t="shared" si="0"/>
        <v>0.50137838666666001</v>
      </c>
      <c r="J4" s="2">
        <f t="shared" si="0"/>
        <v>-1.4740256666667007E-2</v>
      </c>
      <c r="K4" s="2"/>
      <c r="L4" s="1">
        <f>I4/SUM(I2:I5)</f>
        <v>5.4293544667750375E-2</v>
      </c>
      <c r="M4" s="1">
        <f>J4/SUM(J2:J5)</f>
        <v>-0.23643465107063566</v>
      </c>
      <c r="N4" s="1"/>
      <c r="O4" s="1">
        <f t="shared" si="1"/>
        <v>-9.1070553201442639E-2</v>
      </c>
      <c r="R4" t="str">
        <f>C2</f>
        <v>BECCS</v>
      </c>
      <c r="S4" s="6">
        <f>O2</f>
        <v>0</v>
      </c>
      <c r="T4" s="6">
        <f>O6</f>
        <v>0.28862302163232018</v>
      </c>
      <c r="U4" s="6">
        <f>O10</f>
        <v>0.50833998109674294</v>
      </c>
      <c r="V4" s="6">
        <f>O14</f>
        <v>0.39032213669832749</v>
      </c>
      <c r="W4" s="6">
        <f>O18</f>
        <v>0.34646965147739606</v>
      </c>
      <c r="X4" s="6">
        <f>O22</f>
        <v>0.19206759514842348</v>
      </c>
    </row>
    <row r="5" spans="1:24">
      <c r="A5" s="3" t="s">
        <v>6</v>
      </c>
      <c r="B5" s="3">
        <v>2025</v>
      </c>
      <c r="C5" t="s">
        <v>24</v>
      </c>
      <c r="D5">
        <v>0.17843507</v>
      </c>
      <c r="E5">
        <v>0.46054363666666598</v>
      </c>
      <c r="F5">
        <v>0.174611396666666</v>
      </c>
      <c r="G5" s="2"/>
      <c r="I5" s="2">
        <f t="shared" si="0"/>
        <v>0.28210856666666595</v>
      </c>
      <c r="J5" s="2">
        <f t="shared" si="0"/>
        <v>-3.8236733333339989E-3</v>
      </c>
      <c r="K5" s="2"/>
      <c r="L5" s="1">
        <f>I5/SUM(I2:I5)</f>
        <v>3.0549131100968078E-2</v>
      </c>
      <c r="M5" s="1">
        <f>J5/SUM(J2:J5)</f>
        <v>-6.1331962585108597E-2</v>
      </c>
      <c r="N5" s="1"/>
      <c r="O5" s="1">
        <f t="shared" si="1"/>
        <v>-1.539141574207026E-2</v>
      </c>
      <c r="R5" t="str">
        <f t="shared" ref="R5:R7" si="2">C3</f>
        <v>DAC</v>
      </c>
      <c r="S5" s="6">
        <f t="shared" ref="S5:S7" si="3">O3</f>
        <v>1.1064619689435129</v>
      </c>
      <c r="T5" s="6">
        <f t="shared" ref="T5:T7" si="4">O7</f>
        <v>0.5929693421530019</v>
      </c>
      <c r="U5" s="6">
        <f t="shared" ref="U5:U7" si="5">O11</f>
        <v>0.1154818819982039</v>
      </c>
      <c r="V5" s="6">
        <f t="shared" ref="V5:V7" si="6">O15</f>
        <v>0.1166881872151129</v>
      </c>
      <c r="W5" s="6">
        <f t="shared" ref="W5:W7" si="7">O19</f>
        <v>0.10659247817665984</v>
      </c>
      <c r="X5" s="6">
        <f t="shared" ref="X5:X7" si="8">O23</f>
        <v>0.14658481606118351</v>
      </c>
    </row>
    <row r="6" spans="1:24">
      <c r="A6" s="3" t="s">
        <v>6</v>
      </c>
      <c r="B6" s="3">
        <v>2030</v>
      </c>
      <c r="C6" t="s">
        <v>21</v>
      </c>
      <c r="D6">
        <v>8.65097456666666</v>
      </c>
      <c r="E6">
        <v>11.925114263333301</v>
      </c>
      <c r="F6">
        <v>10.037346550000001</v>
      </c>
      <c r="G6">
        <v>29.0249384333333</v>
      </c>
      <c r="I6" s="2">
        <f t="shared" si="0"/>
        <v>3.2741396966666407</v>
      </c>
      <c r="J6" s="2">
        <f t="shared" ref="J6:K17" si="9">F6-$D6</f>
        <v>1.3863719833333406</v>
      </c>
      <c r="K6" s="2">
        <f t="shared" si="9"/>
        <v>20.373963866666642</v>
      </c>
      <c r="L6" s="1">
        <f>I6/SUM(I6:I9)</f>
        <v>0.29026154892397193</v>
      </c>
      <c r="M6" s="1">
        <f>J6/SUM(J6:J9)</f>
        <v>0.27495341571805787</v>
      </c>
      <c r="N6" s="1">
        <f>K6/SUM(K6:K9)</f>
        <v>0.30065410025493072</v>
      </c>
      <c r="O6" s="1">
        <f>SUM(L6:N6)/3</f>
        <v>0.28862302163232018</v>
      </c>
      <c r="R6" t="str">
        <f t="shared" si="2"/>
        <v>OEW</v>
      </c>
      <c r="S6" s="6">
        <f t="shared" si="3"/>
        <v>-9.1070553201442639E-2</v>
      </c>
      <c r="T6" s="6">
        <f t="shared" si="4"/>
        <v>6.8438242336358521E-2</v>
      </c>
      <c r="U6" s="6">
        <f t="shared" si="5"/>
        <v>0.19956787380658692</v>
      </c>
      <c r="V6" s="6">
        <f t="shared" si="6"/>
        <v>0.22621410870806635</v>
      </c>
      <c r="W6" s="6">
        <f t="shared" si="7"/>
        <v>0.20620832044060539</v>
      </c>
      <c r="X6" s="6">
        <f t="shared" si="8"/>
        <v>0.2466520748499603</v>
      </c>
    </row>
    <row r="7" spans="1:24">
      <c r="A7" s="3" t="s">
        <v>6</v>
      </c>
      <c r="B7" s="3">
        <v>2030</v>
      </c>
      <c r="C7" t="s">
        <v>22</v>
      </c>
      <c r="D7">
        <v>15.9532513066666</v>
      </c>
      <c r="E7">
        <v>22.5884521133333</v>
      </c>
      <c r="F7">
        <v>19.007243493333299</v>
      </c>
      <c r="G7">
        <v>55.595604350000002</v>
      </c>
      <c r="I7" s="2">
        <f t="shared" si="0"/>
        <v>6.6352008066667008</v>
      </c>
      <c r="J7" s="2">
        <f t="shared" si="9"/>
        <v>3.053992186666699</v>
      </c>
      <c r="K7" s="2">
        <f t="shared" si="9"/>
        <v>39.642353043333401</v>
      </c>
      <c r="L7" s="1">
        <f>I7/SUM(I6:I9)</f>
        <v>0.58822892179140773</v>
      </c>
      <c r="M7" s="1">
        <f>J7/SUM(J6:J9)</f>
        <v>0.60568562650935354</v>
      </c>
      <c r="N7" s="1">
        <f>K7/SUM(K6:K9)</f>
        <v>0.58499347815824465</v>
      </c>
      <c r="O7" s="1">
        <f t="shared" ref="O7:O13" si="10">SUM(L7:N7)/3</f>
        <v>0.5929693421530019</v>
      </c>
      <c r="R7" t="str">
        <f t="shared" si="2"/>
        <v>TEW</v>
      </c>
      <c r="S7" s="6">
        <f t="shared" si="3"/>
        <v>-1.539141574207026E-2</v>
      </c>
      <c r="T7" s="6">
        <f t="shared" si="4"/>
        <v>4.9969393878319342E-2</v>
      </c>
      <c r="U7" s="6">
        <f t="shared" si="5"/>
        <v>0.1766102630984662</v>
      </c>
      <c r="V7" s="6">
        <f t="shared" si="6"/>
        <v>0.26677556737849328</v>
      </c>
      <c r="W7" s="6">
        <f t="shared" si="7"/>
        <v>0.34072954990533866</v>
      </c>
      <c r="X7" s="6">
        <f t="shared" si="8"/>
        <v>0.41469551394043275</v>
      </c>
    </row>
    <row r="8" spans="1:24">
      <c r="A8" s="3" t="s">
        <v>6</v>
      </c>
      <c r="B8" s="3">
        <v>2030</v>
      </c>
      <c r="C8" t="s">
        <v>23</v>
      </c>
      <c r="D8">
        <v>1.8031504333333299</v>
      </c>
      <c r="E8">
        <v>2.57378616</v>
      </c>
      <c r="F8">
        <v>2.1532217299999998</v>
      </c>
      <c r="G8">
        <v>6.3818963266666602</v>
      </c>
      <c r="I8" s="2">
        <f t="shared" si="0"/>
        <v>0.77063572666667013</v>
      </c>
      <c r="J8" s="2">
        <f t="shared" si="9"/>
        <v>0.35007129666666992</v>
      </c>
      <c r="K8" s="2">
        <f t="shared" si="9"/>
        <v>4.5787458933333305</v>
      </c>
      <c r="L8" s="1">
        <f>I8/SUM(I6:I9)</f>
        <v>6.8318990758442624E-2</v>
      </c>
      <c r="M8" s="1">
        <f>J8/SUM(J6:J9)</f>
        <v>6.9428190933231826E-2</v>
      </c>
      <c r="N8" s="1">
        <f>K8/SUM(K6:K9)</f>
        <v>6.7567545317401126E-2</v>
      </c>
      <c r="O8" s="1">
        <f t="shared" si="10"/>
        <v>6.8438242336358521E-2</v>
      </c>
      <c r="R8" t="s">
        <v>39</v>
      </c>
      <c r="S8" s="6">
        <f>SUM(S4:S7)</f>
        <v>1</v>
      </c>
      <c r="T8" s="6">
        <f t="shared" ref="T8:X8" si="11">SUM(T4:T7)</f>
        <v>0.99999999999999989</v>
      </c>
      <c r="U8" s="6">
        <f t="shared" si="11"/>
        <v>0.99999999999999989</v>
      </c>
      <c r="V8" s="6">
        <f t="shared" si="11"/>
        <v>1</v>
      </c>
      <c r="W8" s="6">
        <f t="shared" si="11"/>
        <v>1</v>
      </c>
      <c r="X8" s="6">
        <f t="shared" si="11"/>
        <v>1</v>
      </c>
    </row>
    <row r="9" spans="1:24">
      <c r="A9" s="3" t="s">
        <v>6</v>
      </c>
      <c r="B9" s="3">
        <v>2030</v>
      </c>
      <c r="C9" t="s">
        <v>24</v>
      </c>
      <c r="D9">
        <v>0.93724469666666599</v>
      </c>
      <c r="E9">
        <v>1.53723203333333</v>
      </c>
      <c r="F9">
        <v>1.1890160333333299</v>
      </c>
      <c r="G9">
        <v>4.1076434300000004</v>
      </c>
      <c r="I9" s="2">
        <f t="shared" si="0"/>
        <v>0.59998733666666404</v>
      </c>
      <c r="J9" s="2">
        <f t="shared" si="9"/>
        <v>0.25177133666666396</v>
      </c>
      <c r="K9" s="2">
        <f t="shared" si="9"/>
        <v>3.1703987333333346</v>
      </c>
      <c r="L9" s="1">
        <f>I9/SUM(I6:I9)</f>
        <v>5.3190538526177646E-2</v>
      </c>
      <c r="M9" s="1">
        <f>J9/SUM(J6:J9)</f>
        <v>4.993276683935681E-2</v>
      </c>
      <c r="N9" s="1">
        <f>K9/SUM(K6:K9)</f>
        <v>4.6784876269423577E-2</v>
      </c>
      <c r="O9" s="1">
        <f t="shared" si="10"/>
        <v>4.9969393878319342E-2</v>
      </c>
    </row>
    <row r="10" spans="1:24">
      <c r="A10" s="3" t="s">
        <v>6</v>
      </c>
      <c r="B10" s="3">
        <v>2035</v>
      </c>
      <c r="C10" t="s">
        <v>21</v>
      </c>
      <c r="D10">
        <v>32.8174128333333</v>
      </c>
      <c r="E10">
        <v>40.421700000000001</v>
      </c>
      <c r="F10">
        <v>37.7868285666666</v>
      </c>
      <c r="G10">
        <v>114.596670466666</v>
      </c>
      <c r="I10" s="2">
        <f t="shared" si="0"/>
        <v>7.6042871666667011</v>
      </c>
      <c r="J10" s="2">
        <f t="shared" si="9"/>
        <v>4.9694157333332996</v>
      </c>
      <c r="K10" s="2">
        <f t="shared" si="9"/>
        <v>81.779257633332691</v>
      </c>
      <c r="L10" s="1">
        <f>I10/SUM(I10:I13)</f>
        <v>0.51139464221983688</v>
      </c>
      <c r="M10" s="1">
        <f>J10/SUM(J10:J13)</f>
        <v>0.49509882031009567</v>
      </c>
      <c r="N10" s="1">
        <f>K10/SUM(K10:K13)</f>
        <v>0.51852648076029639</v>
      </c>
      <c r="O10" s="1">
        <f t="shared" si="10"/>
        <v>0.50833998109674294</v>
      </c>
      <c r="R10" s="7" t="s">
        <v>38</v>
      </c>
      <c r="S10">
        <f>S3</f>
        <v>2025</v>
      </c>
      <c r="T10">
        <f>T3</f>
        <v>2030</v>
      </c>
      <c r="U10">
        <f>U3</f>
        <v>2035</v>
      </c>
      <c r="V10">
        <f>V3</f>
        <v>2040</v>
      </c>
      <c r="W10">
        <f>W3</f>
        <v>2045</v>
      </c>
      <c r="X10">
        <f>X3</f>
        <v>2050</v>
      </c>
    </row>
    <row r="11" spans="1:24">
      <c r="A11" s="3" t="s">
        <v>6</v>
      </c>
      <c r="B11" s="3">
        <v>2035</v>
      </c>
      <c r="C11" t="s">
        <v>22</v>
      </c>
      <c r="D11">
        <v>6.3966195333333298</v>
      </c>
      <c r="E11">
        <v>8.06076223333333</v>
      </c>
      <c r="F11">
        <v>7.4923460333333303</v>
      </c>
      <c r="G11">
        <v>26.1684194933333</v>
      </c>
      <c r="I11" s="2">
        <f t="shared" si="0"/>
        <v>1.6641427000000002</v>
      </c>
      <c r="J11" s="2">
        <f t="shared" si="9"/>
        <v>1.0957265000000005</v>
      </c>
      <c r="K11" s="2">
        <f t="shared" si="9"/>
        <v>19.771799959999971</v>
      </c>
      <c r="L11" s="1">
        <f>I11/SUM(I10:I13)</f>
        <v>0.11191498190648941</v>
      </c>
      <c r="M11" s="1">
        <f>J11/SUM(J10:J13)</f>
        <v>0.10916633396027549</v>
      </c>
      <c r="N11" s="1">
        <f>K11/SUM(K10:K13)</f>
        <v>0.12536433012784678</v>
      </c>
      <c r="O11" s="1">
        <f t="shared" si="10"/>
        <v>0.1154818819982039</v>
      </c>
      <c r="R11" t="str">
        <f>R4</f>
        <v>BECCS</v>
      </c>
      <c r="S11" s="6">
        <f>O26</f>
        <v>0</v>
      </c>
      <c r="T11" s="6">
        <f>O30</f>
        <v>0.2788249200253905</v>
      </c>
      <c r="U11" s="6">
        <f>O34</f>
        <v>0.46823589811557143</v>
      </c>
      <c r="V11" s="6">
        <f>O38</f>
        <v>0.26041637593067141</v>
      </c>
      <c r="W11" s="6">
        <f>O42</f>
        <v>0.15285316937789162</v>
      </c>
      <c r="X11" s="6">
        <f>O46</f>
        <v>7.9254516693036001E-2</v>
      </c>
    </row>
    <row r="12" spans="1:24">
      <c r="A12" s="3" t="s">
        <v>6</v>
      </c>
      <c r="B12" s="3">
        <v>2035</v>
      </c>
      <c r="C12" t="s">
        <v>23</v>
      </c>
      <c r="D12">
        <v>8.9131753333333297</v>
      </c>
      <c r="E12">
        <v>11.88907687</v>
      </c>
      <c r="F12">
        <v>11.058108819999999</v>
      </c>
      <c r="G12">
        <v>38.070494366666601</v>
      </c>
      <c r="I12" s="2">
        <f t="shared" si="0"/>
        <v>2.9759015366666706</v>
      </c>
      <c r="J12" s="2">
        <f t="shared" si="9"/>
        <v>2.1449334866666696</v>
      </c>
      <c r="K12" s="2">
        <f t="shared" si="9"/>
        <v>29.157319033333273</v>
      </c>
      <c r="L12" s="1">
        <f>I12/SUM(I10:I13)</f>
        <v>0.20013185565849878</v>
      </c>
      <c r="M12" s="1">
        <f>J12/SUM(J10:J13)</f>
        <v>0.21369796689961559</v>
      </c>
      <c r="N12" s="1">
        <f>K12/SUM(K10:K13)</f>
        <v>0.1848737988616464</v>
      </c>
      <c r="O12" s="1">
        <f t="shared" si="10"/>
        <v>0.19956787380658692</v>
      </c>
      <c r="R12" t="str">
        <f>R5</f>
        <v>DAC</v>
      </c>
      <c r="S12" s="6">
        <f>O27</f>
        <v>1.1046840333110053</v>
      </c>
      <c r="T12" s="6">
        <f>O31</f>
        <v>0.59718983726713759</v>
      </c>
      <c r="U12" s="6">
        <f>O35</f>
        <v>0.12113894109271006</v>
      </c>
      <c r="V12" s="6">
        <f>O39</f>
        <v>0.14170714506974419</v>
      </c>
      <c r="W12" s="6">
        <f>O43</f>
        <v>0.14657270357963723</v>
      </c>
      <c r="X12" s="6">
        <f>O47</f>
        <v>0.19258636442264218</v>
      </c>
    </row>
    <row r="13" spans="1:24">
      <c r="A13" s="3" t="s">
        <v>6</v>
      </c>
      <c r="B13" s="3">
        <v>2035</v>
      </c>
      <c r="C13" t="s">
        <v>24</v>
      </c>
      <c r="D13">
        <v>8.8559258333333304</v>
      </c>
      <c r="E13">
        <v>11.481298839999999</v>
      </c>
      <c r="F13">
        <v>10.683070016666599</v>
      </c>
      <c r="G13">
        <v>35.862267099999997</v>
      </c>
      <c r="I13" s="2">
        <f t="shared" si="0"/>
        <v>2.6253730066666687</v>
      </c>
      <c r="J13" s="2">
        <f t="shared" si="9"/>
        <v>1.8271441833332691</v>
      </c>
      <c r="K13" s="2">
        <f t="shared" si="9"/>
        <v>27.006341266666666</v>
      </c>
      <c r="L13" s="1">
        <f>I13/SUM(I10:I13)</f>
        <v>0.17655852021517499</v>
      </c>
      <c r="M13" s="1">
        <f>J13/SUM(J10:J13)</f>
        <v>0.18203687883001313</v>
      </c>
      <c r="N13" s="1">
        <f>K13/SUM(K10:K13)</f>
        <v>0.17123539025021053</v>
      </c>
      <c r="O13" s="1">
        <f t="shared" si="10"/>
        <v>0.1766102630984662</v>
      </c>
      <c r="R13" t="str">
        <f>R6</f>
        <v>OEW</v>
      </c>
      <c r="S13" s="6">
        <f>O28</f>
        <v>-8.7905321380154999E-2</v>
      </c>
      <c r="T13" s="6">
        <f>O32</f>
        <v>7.0774412070130452E-2</v>
      </c>
      <c r="U13" s="6">
        <f>O36</f>
        <v>0.22200081594740231</v>
      </c>
      <c r="V13" s="6">
        <f>O40</f>
        <v>0.28865819467539838</v>
      </c>
      <c r="W13" s="6">
        <f>O44</f>
        <v>0.30804876396886721</v>
      </c>
      <c r="X13" s="6">
        <f>O48</f>
        <v>0.36526901543742513</v>
      </c>
    </row>
    <row r="14" spans="1:24">
      <c r="A14" s="3" t="s">
        <v>6</v>
      </c>
      <c r="B14" s="3">
        <v>2040</v>
      </c>
      <c r="C14" t="s">
        <v>21</v>
      </c>
      <c r="D14">
        <v>59.1438998333333</v>
      </c>
      <c r="E14" s="2"/>
      <c r="F14" s="2"/>
      <c r="G14">
        <v>154.085919166666</v>
      </c>
      <c r="I14" s="2"/>
      <c r="J14" s="2"/>
      <c r="K14" s="2">
        <f t="shared" si="9"/>
        <v>94.942019333332695</v>
      </c>
      <c r="L14" s="1"/>
      <c r="M14" s="1"/>
      <c r="N14" s="1">
        <f>K14/SUM(K14:K17)</f>
        <v>0.39032213669832749</v>
      </c>
      <c r="O14" s="6">
        <f>N14</f>
        <v>0.39032213669832749</v>
      </c>
      <c r="R14" t="str">
        <f>R7</f>
        <v>TEW</v>
      </c>
      <c r="S14" s="6">
        <f>O29</f>
        <v>-1.6778711930850287E-2</v>
      </c>
      <c r="T14" s="6">
        <f>O33</f>
        <v>5.3210830637341631E-2</v>
      </c>
      <c r="U14" s="6">
        <f>O37</f>
        <v>0.1886243448443162</v>
      </c>
      <c r="V14" s="6">
        <f>O41</f>
        <v>0.30921828432418608</v>
      </c>
      <c r="W14" s="6">
        <f>O45</f>
        <v>0.39252536307360403</v>
      </c>
      <c r="X14" s="6">
        <f>O49</f>
        <v>0.36289010344689659</v>
      </c>
    </row>
    <row r="15" spans="1:24">
      <c r="A15" s="3" t="s">
        <v>6</v>
      </c>
      <c r="B15" s="3">
        <v>2040</v>
      </c>
      <c r="C15" t="s">
        <v>22</v>
      </c>
      <c r="D15">
        <v>11.3755561333333</v>
      </c>
      <c r="E15" s="2"/>
      <c r="F15" s="2"/>
      <c r="G15">
        <v>39.758809566666599</v>
      </c>
      <c r="I15" s="2"/>
      <c r="J15" s="2"/>
      <c r="K15" s="2">
        <f t="shared" si="9"/>
        <v>28.383253433333302</v>
      </c>
      <c r="L15" s="1"/>
      <c r="M15" s="1"/>
      <c r="N15" s="1">
        <f>K15/SUM(K14:K17)</f>
        <v>0.1166881872151129</v>
      </c>
      <c r="O15" s="6">
        <f t="shared" ref="O15:O25" si="12">N15</f>
        <v>0.1166881872151129</v>
      </c>
      <c r="S15" s="6">
        <f>SUM(S11:S14)</f>
        <v>1</v>
      </c>
      <c r="T15" s="6">
        <f t="shared" ref="T15" si="13">SUM(T11:T14)</f>
        <v>1.0000000000000002</v>
      </c>
      <c r="U15" s="6">
        <f t="shared" ref="U15" si="14">SUM(U11:U14)</f>
        <v>1</v>
      </c>
      <c r="V15" s="6">
        <f t="shared" ref="V15" si="15">SUM(V11:V14)</f>
        <v>1</v>
      </c>
      <c r="W15" s="6">
        <f t="shared" ref="W15" si="16">SUM(W11:W14)</f>
        <v>1.0000000000000002</v>
      </c>
      <c r="X15" s="6">
        <f t="shared" ref="X15" si="17">SUM(X11:X14)</f>
        <v>0.99999999999999978</v>
      </c>
    </row>
    <row r="16" spans="1:24">
      <c r="A16" s="3" t="s">
        <v>6</v>
      </c>
      <c r="B16" s="3">
        <v>2040</v>
      </c>
      <c r="C16" t="s">
        <v>23</v>
      </c>
      <c r="D16">
        <v>19.689983866666601</v>
      </c>
      <c r="E16" s="2"/>
      <c r="F16" s="2"/>
      <c r="G16">
        <v>74.714340066666594</v>
      </c>
      <c r="I16" s="2"/>
      <c r="J16" s="2"/>
      <c r="K16" s="2">
        <f t="shared" si="9"/>
        <v>55.024356199999993</v>
      </c>
      <c r="L16" s="1"/>
      <c r="M16" s="1"/>
      <c r="N16" s="1">
        <f>K16/SUM(K14:K17)</f>
        <v>0.22621410870806635</v>
      </c>
      <c r="O16" s="6">
        <f t="shared" si="12"/>
        <v>0.22621410870806635</v>
      </c>
    </row>
    <row r="17" spans="1:15">
      <c r="A17" s="3" t="s">
        <v>6</v>
      </c>
      <c r="B17" s="3">
        <v>2040</v>
      </c>
      <c r="C17" t="s">
        <v>24</v>
      </c>
      <c r="D17">
        <v>27.481140133333302</v>
      </c>
      <c r="E17" s="2"/>
      <c r="F17" s="2"/>
      <c r="G17">
        <v>92.371672066666605</v>
      </c>
      <c r="I17" s="2"/>
      <c r="J17" s="2"/>
      <c r="K17" s="2">
        <f t="shared" si="9"/>
        <v>64.890531933333307</v>
      </c>
      <c r="L17" s="1"/>
      <c r="M17" s="1"/>
      <c r="N17" s="1">
        <f>K17/SUM(K14:K17)</f>
        <v>0.26677556737849328</v>
      </c>
      <c r="O17" s="6">
        <f t="shared" si="12"/>
        <v>0.26677556737849328</v>
      </c>
    </row>
    <row r="18" spans="1:15">
      <c r="A18" s="3" t="s">
        <v>6</v>
      </c>
      <c r="B18" s="3">
        <v>2045</v>
      </c>
      <c r="C18" t="s">
        <v>21</v>
      </c>
      <c r="D18">
        <v>110.52516749999999</v>
      </c>
      <c r="E18" s="2"/>
      <c r="F18" s="2"/>
      <c r="G18">
        <v>242.41138166666599</v>
      </c>
      <c r="I18" s="2"/>
      <c r="J18" s="2"/>
      <c r="K18" s="2">
        <f t="shared" ref="K18:K25" si="18">G18-$D18</f>
        <v>131.88621416666598</v>
      </c>
      <c r="L18" s="1"/>
      <c r="M18" s="1"/>
      <c r="N18" s="1">
        <f>K18/SUM(K18:K21)</f>
        <v>0.34646965147739606</v>
      </c>
      <c r="O18" s="6">
        <f t="shared" si="12"/>
        <v>0.34646965147739606</v>
      </c>
    </row>
    <row r="19" spans="1:15">
      <c r="A19" s="3" t="s">
        <v>6</v>
      </c>
      <c r="B19" s="3">
        <v>2045</v>
      </c>
      <c r="C19" t="s">
        <v>22</v>
      </c>
      <c r="D19">
        <v>22.4968641333333</v>
      </c>
      <c r="E19" s="2"/>
      <c r="F19" s="2"/>
      <c r="G19">
        <v>63.072072800000001</v>
      </c>
      <c r="I19" s="2"/>
      <c r="J19" s="2"/>
      <c r="K19" s="2">
        <f t="shared" si="18"/>
        <v>40.575208666666697</v>
      </c>
      <c r="L19" s="1"/>
      <c r="M19" s="1"/>
      <c r="N19" s="1">
        <f>K19/SUM(K18:K21)</f>
        <v>0.10659247817665984</v>
      </c>
      <c r="O19" s="6">
        <f t="shared" si="12"/>
        <v>0.10659247817665984</v>
      </c>
    </row>
    <row r="20" spans="1:15">
      <c r="A20" s="3" t="s">
        <v>6</v>
      </c>
      <c r="B20" s="3">
        <v>2045</v>
      </c>
      <c r="C20" t="s">
        <v>23</v>
      </c>
      <c r="D20">
        <v>33.472099466666599</v>
      </c>
      <c r="E20" s="2"/>
      <c r="F20" s="2"/>
      <c r="G20">
        <v>111.966809166666</v>
      </c>
      <c r="I20" s="2"/>
      <c r="J20" s="2"/>
      <c r="K20" s="2">
        <f t="shared" si="18"/>
        <v>78.49470969999939</v>
      </c>
      <c r="L20" s="1"/>
      <c r="M20" s="1"/>
      <c r="N20" s="1">
        <f>K20/SUM(K18:K21)</f>
        <v>0.20620832044060539</v>
      </c>
      <c r="O20" s="6">
        <f t="shared" si="12"/>
        <v>0.20620832044060539</v>
      </c>
    </row>
    <row r="21" spans="1:15">
      <c r="A21" s="3" t="s">
        <v>6</v>
      </c>
      <c r="B21" s="3">
        <v>2045</v>
      </c>
      <c r="C21" t="s">
        <v>24</v>
      </c>
      <c r="D21">
        <v>76.120413600000006</v>
      </c>
      <c r="E21" s="2"/>
      <c r="F21" s="2"/>
      <c r="G21">
        <v>205.82161600000001</v>
      </c>
      <c r="I21" s="2"/>
      <c r="J21" s="2"/>
      <c r="K21" s="2">
        <f t="shared" si="18"/>
        <v>129.7012024</v>
      </c>
      <c r="L21" s="1"/>
      <c r="M21" s="1"/>
      <c r="N21" s="1">
        <f>K21/SUM(K18:K21)</f>
        <v>0.34072954990533866</v>
      </c>
      <c r="O21" s="6">
        <f t="shared" si="12"/>
        <v>0.34072954990533866</v>
      </c>
    </row>
    <row r="22" spans="1:15">
      <c r="A22" s="3" t="s">
        <v>6</v>
      </c>
      <c r="B22" s="3">
        <v>2050</v>
      </c>
      <c r="C22" t="s">
        <v>21</v>
      </c>
      <c r="D22">
        <v>206.888348333333</v>
      </c>
      <c r="E22" s="2"/>
      <c r="F22" s="2"/>
      <c r="G22">
        <v>297.99930599999999</v>
      </c>
      <c r="I22" s="2"/>
      <c r="J22" s="2"/>
      <c r="K22" s="2">
        <f t="shared" si="18"/>
        <v>91.110957666666991</v>
      </c>
      <c r="L22" s="1"/>
      <c r="M22" s="1"/>
      <c r="N22" s="1">
        <f>K22/SUM(K22:K25)</f>
        <v>0.19206759514842348</v>
      </c>
      <c r="O22" s="6">
        <f t="shared" si="12"/>
        <v>0.19206759514842348</v>
      </c>
    </row>
    <row r="23" spans="1:15">
      <c r="A23" s="3" t="s">
        <v>6</v>
      </c>
      <c r="B23" s="3">
        <v>2050</v>
      </c>
      <c r="C23" t="s">
        <v>22</v>
      </c>
      <c r="D23">
        <v>49.988974566666599</v>
      </c>
      <c r="E23" s="2"/>
      <c r="F23" s="2"/>
      <c r="G23">
        <v>119.52430123333301</v>
      </c>
      <c r="I23" s="2"/>
      <c r="J23" s="2"/>
      <c r="K23" s="2">
        <f t="shared" si="18"/>
        <v>69.535326666666407</v>
      </c>
      <c r="L23" s="1"/>
      <c r="M23" s="1"/>
      <c r="N23" s="1">
        <f>K23/SUM(K22:K25)</f>
        <v>0.14658481606118351</v>
      </c>
      <c r="O23" s="6">
        <f t="shared" si="12"/>
        <v>0.14658481606118351</v>
      </c>
    </row>
    <row r="24" spans="1:15">
      <c r="A24" s="3" t="s">
        <v>6</v>
      </c>
      <c r="B24" s="3">
        <v>2050</v>
      </c>
      <c r="C24" t="s">
        <v>23</v>
      </c>
      <c r="D24">
        <v>65.061545266666599</v>
      </c>
      <c r="E24" s="2"/>
      <c r="F24" s="2"/>
      <c r="G24">
        <v>182.065700666666</v>
      </c>
      <c r="I24" s="2"/>
      <c r="J24" s="2"/>
      <c r="K24" s="2">
        <f t="shared" si="18"/>
        <v>117.00415539999941</v>
      </c>
      <c r="L24" s="1"/>
      <c r="M24" s="1"/>
      <c r="N24" s="1">
        <f>K24/SUM(K22:K25)</f>
        <v>0.2466520748499603</v>
      </c>
      <c r="O24" s="6">
        <f t="shared" si="12"/>
        <v>0.2466520748499603</v>
      </c>
    </row>
    <row r="25" spans="1:15">
      <c r="A25" s="3" t="s">
        <v>6</v>
      </c>
      <c r="B25" s="3">
        <v>2050</v>
      </c>
      <c r="C25" t="s">
        <v>24</v>
      </c>
      <c r="D25">
        <v>177.878598333333</v>
      </c>
      <c r="E25" s="2"/>
      <c r="F25" s="2"/>
      <c r="G25">
        <v>374.59739093333297</v>
      </c>
      <c r="I25" s="2"/>
      <c r="J25" s="2"/>
      <c r="K25" s="2">
        <f t="shared" si="18"/>
        <v>196.71879259999997</v>
      </c>
      <c r="L25" s="1"/>
      <c r="M25" s="1"/>
      <c r="N25" s="1">
        <f>K25/SUM(K22:K25)</f>
        <v>0.41469551394043275</v>
      </c>
      <c r="O25" s="6">
        <f t="shared" si="12"/>
        <v>0.41469551394043275</v>
      </c>
    </row>
    <row r="26" spans="1:15">
      <c r="A26" s="3" t="s">
        <v>9</v>
      </c>
      <c r="B26" s="3">
        <v>2025</v>
      </c>
      <c r="C26" t="s">
        <v>21</v>
      </c>
      <c r="I26" s="2">
        <f>E26-$D26</f>
        <v>0</v>
      </c>
      <c r="J26" s="2">
        <f>F26-$D26</f>
        <v>0</v>
      </c>
      <c r="K26" s="2"/>
      <c r="L26" s="1">
        <f>I26/SUM(I26:I29)</f>
        <v>0</v>
      </c>
      <c r="M26" s="1">
        <f>J26/SUM(J26:J29)</f>
        <v>0</v>
      </c>
      <c r="N26" s="1"/>
      <c r="O26" s="1">
        <f>SUM(L26:N26)/2</f>
        <v>0</v>
      </c>
    </row>
    <row r="27" spans="1:15">
      <c r="A27" s="3" t="s">
        <v>9</v>
      </c>
      <c r="B27" s="3">
        <v>2025</v>
      </c>
      <c r="C27" t="s">
        <v>22</v>
      </c>
      <c r="D27">
        <v>12.3018890866666</v>
      </c>
      <c r="E27">
        <v>20.753807836666599</v>
      </c>
      <c r="F27">
        <v>12.383095450000001</v>
      </c>
      <c r="G27" s="2"/>
      <c r="I27" s="2">
        <f t="shared" ref="I27:J37" si="19">E27-$D27</f>
        <v>8.451918749999999</v>
      </c>
      <c r="J27" s="2">
        <f t="shared" si="19"/>
        <v>8.1206363333400589E-2</v>
      </c>
      <c r="K27" s="2"/>
      <c r="L27" s="1">
        <f>I27/SUM(I26:I29)</f>
        <v>0.91522866165137384</v>
      </c>
      <c r="M27" s="1">
        <f>J27/SUM(J26:J29)</f>
        <v>1.2941394049706367</v>
      </c>
      <c r="N27" s="1"/>
      <c r="O27" s="1">
        <f t="shared" ref="O27:O29" si="20">SUM(L27:N27)/2</f>
        <v>1.1046840333110053</v>
      </c>
    </row>
    <row r="28" spans="1:15">
      <c r="A28" s="3" t="s">
        <v>9</v>
      </c>
      <c r="B28" s="3">
        <v>2025</v>
      </c>
      <c r="C28" t="s">
        <v>23</v>
      </c>
      <c r="D28">
        <v>0.76009263000000005</v>
      </c>
      <c r="E28">
        <v>1.2609590399999999</v>
      </c>
      <c r="F28">
        <v>0.74565729333333297</v>
      </c>
      <c r="G28" s="2"/>
      <c r="I28" s="2">
        <f t="shared" si="19"/>
        <v>0.50086640999999987</v>
      </c>
      <c r="J28" s="2">
        <f t="shared" si="19"/>
        <v>-1.4435336666667076E-2</v>
      </c>
      <c r="K28" s="2"/>
      <c r="L28" s="1">
        <f>I28/SUM(I26:I29)</f>
        <v>5.4237068250381396E-2</v>
      </c>
      <c r="M28" s="1">
        <f>J28/SUM(J26:J29)</f>
        <v>-0.23004771101069138</v>
      </c>
      <c r="N28" s="1"/>
      <c r="O28" s="1">
        <f t="shared" si="20"/>
        <v>-8.7905321380154999E-2</v>
      </c>
    </row>
    <row r="29" spans="1:15">
      <c r="A29" s="3" t="s">
        <v>9</v>
      </c>
      <c r="B29" s="3">
        <v>2025</v>
      </c>
      <c r="C29" t="s">
        <v>24</v>
      </c>
      <c r="D29">
        <v>0.17853032999999999</v>
      </c>
      <c r="E29">
        <v>0.46050704333333298</v>
      </c>
      <c r="F29">
        <v>0.17450862</v>
      </c>
      <c r="G29" s="2"/>
      <c r="I29" s="2">
        <f t="shared" si="19"/>
        <v>0.28197671333333296</v>
      </c>
      <c r="J29" s="2">
        <f t="shared" si="19"/>
        <v>-4.0217099999999839E-3</v>
      </c>
      <c r="K29" s="2"/>
      <c r="L29" s="1">
        <f>I29/SUM(I26:I29)</f>
        <v>3.0534270098244786E-2</v>
      </c>
      <c r="M29" s="1">
        <f>J29/SUM(J26:J29)</f>
        <v>-6.4091693959945364E-2</v>
      </c>
      <c r="N29" s="1"/>
      <c r="O29" s="1">
        <f t="shared" si="20"/>
        <v>-1.6778711930850287E-2</v>
      </c>
    </row>
    <row r="30" spans="1:15">
      <c r="A30" s="3" t="s">
        <v>9</v>
      </c>
      <c r="B30" s="3">
        <v>2030</v>
      </c>
      <c r="C30" t="s">
        <v>21</v>
      </c>
      <c r="D30">
        <v>10.8468415733333</v>
      </c>
      <c r="E30">
        <v>14.043595646666599</v>
      </c>
      <c r="F30">
        <v>12.15459806</v>
      </c>
      <c r="G30">
        <v>30.969142233333301</v>
      </c>
      <c r="I30" s="2">
        <f t="shared" ref="I30:J37" si="21">E30-$D30</f>
        <v>3.1967540733332989</v>
      </c>
      <c r="J30" s="2">
        <f t="shared" si="21"/>
        <v>1.3077564866666993</v>
      </c>
      <c r="K30" s="2">
        <f t="shared" ref="K30:K49" si="22">G30-$D30</f>
        <v>20.122300660000001</v>
      </c>
      <c r="L30" s="1">
        <f>I30/SUM(I30:I33)</f>
        <v>0.28311522339768491</v>
      </c>
      <c r="M30" s="1">
        <f>J30/SUM(J30:J33)</f>
        <v>0.25618436552952295</v>
      </c>
      <c r="N30" s="1">
        <f>K30/SUM(K30:K33)</f>
        <v>0.29717517114896358</v>
      </c>
      <c r="O30" s="1">
        <f>SUM(L30:N30)/3</f>
        <v>0.2788249200253905</v>
      </c>
    </row>
    <row r="31" spans="1:15">
      <c r="A31" s="3" t="s">
        <v>9</v>
      </c>
      <c r="B31" s="3">
        <v>2030</v>
      </c>
      <c r="C31" t="s">
        <v>22</v>
      </c>
      <c r="D31">
        <v>19.872583573333301</v>
      </c>
      <c r="E31">
        <v>26.5729671166666</v>
      </c>
      <c r="F31">
        <v>22.984575606666599</v>
      </c>
      <c r="G31">
        <v>59.723357540000002</v>
      </c>
      <c r="I31" s="2">
        <f t="shared" si="21"/>
        <v>6.7003835433332988</v>
      </c>
      <c r="J31" s="2">
        <f t="shared" si="21"/>
        <v>3.1119920333332978</v>
      </c>
      <c r="K31" s="2">
        <f t="shared" si="22"/>
        <v>39.850773966666701</v>
      </c>
      <c r="L31" s="1">
        <f>I31/SUM(I30:I33)</f>
        <v>0.59340835741642495</v>
      </c>
      <c r="M31" s="1">
        <f>J31/SUM(J30:J33)</f>
        <v>0.6096270312713119</v>
      </c>
      <c r="N31" s="1">
        <f>K31/SUM(K30:K33)</f>
        <v>0.5885341231136757</v>
      </c>
      <c r="O31" s="1">
        <f t="shared" ref="O31:O37" si="23">SUM(L31:N31)/3</f>
        <v>0.59718983726713759</v>
      </c>
    </row>
    <row r="32" spans="1:15">
      <c r="A32" s="3" t="s">
        <v>9</v>
      </c>
      <c r="B32" s="3">
        <v>2030</v>
      </c>
      <c r="C32" t="s">
        <v>23</v>
      </c>
      <c r="D32">
        <v>2.2453959733333302</v>
      </c>
      <c r="E32">
        <v>3.04536272333333</v>
      </c>
      <c r="F32">
        <v>2.6211905500000001</v>
      </c>
      <c r="G32">
        <v>6.8402470766666603</v>
      </c>
      <c r="I32" s="2">
        <f t="shared" si="21"/>
        <v>0.79996674999999984</v>
      </c>
      <c r="J32" s="2">
        <f t="shared" si="21"/>
        <v>0.37579457666666993</v>
      </c>
      <c r="K32" s="2">
        <f t="shared" si="22"/>
        <v>4.5948511033333297</v>
      </c>
      <c r="L32" s="1">
        <f>I32/SUM(I30:I33)</f>
        <v>7.0847728646455832E-2</v>
      </c>
      <c r="M32" s="1">
        <f>J32/SUM(J30:J33)</f>
        <v>7.3616683361420784E-2</v>
      </c>
      <c r="N32" s="1">
        <f>K32/SUM(K30:K33)</f>
        <v>6.7858824202514739E-2</v>
      </c>
      <c r="O32" s="1">
        <f t="shared" si="23"/>
        <v>7.0774412070130452E-2</v>
      </c>
    </row>
    <row r="33" spans="1:15">
      <c r="A33" s="3" t="s">
        <v>9</v>
      </c>
      <c r="B33" s="3">
        <v>2030</v>
      </c>
      <c r="C33" t="s">
        <v>24</v>
      </c>
      <c r="D33">
        <v>1.25755285333333</v>
      </c>
      <c r="E33">
        <v>1.85180200333333</v>
      </c>
      <c r="F33">
        <v>1.56675720666666</v>
      </c>
      <c r="G33">
        <v>4.4015445833333304</v>
      </c>
      <c r="I33" s="2">
        <f t="shared" si="21"/>
        <v>0.59424915</v>
      </c>
      <c r="J33" s="2">
        <f t="shared" si="21"/>
        <v>0.30920435333332996</v>
      </c>
      <c r="K33" s="2">
        <f t="shared" si="22"/>
        <v>3.1439917300000007</v>
      </c>
      <c r="L33" s="1">
        <f>I33/SUM(I30:I33)</f>
        <v>5.2628690539434343E-2</v>
      </c>
      <c r="M33" s="1">
        <f>J33/SUM(J30:J33)</f>
        <v>6.0571919837744403E-2</v>
      </c>
      <c r="N33" s="1">
        <f>K33/SUM(K30:K33)</f>
        <v>4.6431881534846134E-2</v>
      </c>
      <c r="O33" s="1">
        <f t="shared" si="23"/>
        <v>5.3210830637341631E-2</v>
      </c>
    </row>
    <row r="34" spans="1:15">
      <c r="A34" s="3" t="s">
        <v>9</v>
      </c>
      <c r="B34" s="3">
        <v>2035</v>
      </c>
      <c r="C34" t="s">
        <v>21</v>
      </c>
      <c r="D34">
        <v>50.522071966666601</v>
      </c>
      <c r="E34">
        <v>57.525930000000002</v>
      </c>
      <c r="F34">
        <v>54.909849133333303</v>
      </c>
      <c r="G34">
        <v>128.53779913333301</v>
      </c>
      <c r="I34" s="2">
        <f t="shared" si="19"/>
        <v>7.0038580333334011</v>
      </c>
      <c r="J34" s="2">
        <f t="shared" si="21"/>
        <v>4.3877771666667016</v>
      </c>
      <c r="K34" s="2">
        <f t="shared" si="22"/>
        <v>78.015727166666409</v>
      </c>
      <c r="L34" s="1">
        <f>I34/SUM(I34:I37)</f>
        <v>0.47151906675564675</v>
      </c>
      <c r="M34" s="1">
        <f>J34/SUM(J34:J37)</f>
        <v>0.4382677662628251</v>
      </c>
      <c r="N34" s="1">
        <f>K34/SUM(K34:K37)</f>
        <v>0.49492086132824242</v>
      </c>
      <c r="O34" s="1">
        <f t="shared" si="23"/>
        <v>0.46823589811557143</v>
      </c>
    </row>
    <row r="35" spans="1:15">
      <c r="A35" s="3" t="s">
        <v>9</v>
      </c>
      <c r="B35" s="3">
        <v>2035</v>
      </c>
      <c r="C35" t="s">
        <v>22</v>
      </c>
      <c r="D35">
        <v>10.102477916666601</v>
      </c>
      <c r="E35">
        <v>11.8393194333333</v>
      </c>
      <c r="F35">
        <v>11.2481988666666</v>
      </c>
      <c r="G35">
        <v>30.917709349999999</v>
      </c>
      <c r="I35" s="2">
        <f t="shared" si="19"/>
        <v>1.7368415166666988</v>
      </c>
      <c r="J35" s="2">
        <f t="shared" si="21"/>
        <v>1.1457209499999994</v>
      </c>
      <c r="K35" s="2">
        <f t="shared" si="22"/>
        <v>20.815231433333398</v>
      </c>
      <c r="L35" s="1">
        <f>I35/SUM(I34:I37)</f>
        <v>0.11692896788362982</v>
      </c>
      <c r="M35" s="1">
        <f>J35/SUM(J34:J37)</f>
        <v>0.11443893854310765</v>
      </c>
      <c r="N35" s="1">
        <f>K35/SUM(K34:K37)</f>
        <v>0.13204891685139269</v>
      </c>
      <c r="O35" s="1">
        <f t="shared" si="23"/>
        <v>0.12113894109271006</v>
      </c>
    </row>
    <row r="36" spans="1:15">
      <c r="A36" s="3" t="s">
        <v>9</v>
      </c>
      <c r="B36" s="3">
        <v>2035</v>
      </c>
      <c r="C36" t="s">
        <v>23</v>
      </c>
      <c r="D36">
        <v>14.10962531</v>
      </c>
      <c r="E36">
        <v>17.420496499999999</v>
      </c>
      <c r="F36">
        <v>16.589683036666599</v>
      </c>
      <c r="G36">
        <v>44.909156233333299</v>
      </c>
      <c r="I36" s="2">
        <f t="shared" si="19"/>
        <v>3.3108711899999985</v>
      </c>
      <c r="J36" s="2">
        <f t="shared" si="21"/>
        <v>2.4800577266665993</v>
      </c>
      <c r="K36" s="2">
        <f t="shared" si="22"/>
        <v>30.7995309233333</v>
      </c>
      <c r="L36" s="1">
        <f>I36/SUM(I34:I37)</f>
        <v>0.22289699280411482</v>
      </c>
      <c r="M36" s="1">
        <f>J36/SUM(J34:J37)</f>
        <v>0.24771753869505342</v>
      </c>
      <c r="N36" s="1">
        <f>K36/SUM(K34:K37)</f>
        <v>0.19538791634303879</v>
      </c>
      <c r="O36" s="1">
        <f t="shared" si="23"/>
        <v>0.22200081594740231</v>
      </c>
    </row>
    <row r="37" spans="1:15">
      <c r="A37" s="3" t="s">
        <v>9</v>
      </c>
      <c r="B37" s="3">
        <v>2035</v>
      </c>
      <c r="C37" t="s">
        <v>24</v>
      </c>
      <c r="D37">
        <v>13.9483635866666</v>
      </c>
      <c r="E37">
        <v>16.750610066666599</v>
      </c>
      <c r="F37">
        <v>15.946443333333301</v>
      </c>
      <c r="G37">
        <v>41.950605400000001</v>
      </c>
      <c r="I37" s="2">
        <f t="shared" si="19"/>
        <v>2.8022464799999991</v>
      </c>
      <c r="J37" s="2">
        <f t="shared" si="21"/>
        <v>1.9980797466667006</v>
      </c>
      <c r="K37" s="2">
        <f t="shared" si="22"/>
        <v>28.002241813333399</v>
      </c>
      <c r="L37" s="1">
        <f>I37/SUM(I34:I37)</f>
        <v>0.18865497255660862</v>
      </c>
      <c r="M37" s="1">
        <f>J37/SUM(J34:J37)</f>
        <v>0.1995757564990138</v>
      </c>
      <c r="N37" s="1">
        <f>K37/SUM(K34:K37)</f>
        <v>0.17764230547732618</v>
      </c>
      <c r="O37" s="1">
        <f t="shared" si="23"/>
        <v>0.1886243448443162</v>
      </c>
    </row>
    <row r="38" spans="1:15">
      <c r="A38" s="3" t="s">
        <v>9</v>
      </c>
      <c r="B38" s="3">
        <v>2040</v>
      </c>
      <c r="C38" t="s">
        <v>21</v>
      </c>
      <c r="D38">
        <v>111.1385561</v>
      </c>
      <c r="E38" s="2"/>
      <c r="F38" s="2"/>
      <c r="G38">
        <v>174.47395166666601</v>
      </c>
      <c r="I38" s="2"/>
      <c r="J38" s="2"/>
      <c r="K38" s="2">
        <f t="shared" si="22"/>
        <v>63.335395566666008</v>
      </c>
      <c r="L38" s="1"/>
      <c r="M38" s="1"/>
      <c r="N38" s="1">
        <f>K38/SUM(K38:K41)</f>
        <v>0.26041637593067141</v>
      </c>
      <c r="O38" s="6">
        <f>N38</f>
        <v>0.26041637593067141</v>
      </c>
    </row>
    <row r="39" spans="1:15">
      <c r="A39" s="3" t="s">
        <v>9</v>
      </c>
      <c r="B39" s="3">
        <v>2040</v>
      </c>
      <c r="C39" t="s">
        <v>22</v>
      </c>
      <c r="D39">
        <v>23.141853900000001</v>
      </c>
      <c r="E39" s="2"/>
      <c r="F39" s="2"/>
      <c r="G39">
        <v>57.606192233333303</v>
      </c>
      <c r="I39" s="2"/>
      <c r="J39" s="2"/>
      <c r="K39" s="2">
        <f t="shared" si="22"/>
        <v>34.464338333333302</v>
      </c>
      <c r="L39" s="1"/>
      <c r="M39" s="1"/>
      <c r="N39" s="1">
        <f>K39/SUM(K38:K41)</f>
        <v>0.14170714506974419</v>
      </c>
      <c r="O39" s="6">
        <f t="shared" ref="O39:O49" si="24">N39</f>
        <v>0.14170714506974419</v>
      </c>
    </row>
    <row r="40" spans="1:15">
      <c r="A40" s="3" t="s">
        <v>9</v>
      </c>
      <c r="B40" s="3">
        <v>2040</v>
      </c>
      <c r="C40" t="s">
        <v>23</v>
      </c>
      <c r="D40">
        <v>39.859757299999998</v>
      </c>
      <c r="E40" s="2"/>
      <c r="F40" s="2"/>
      <c r="G40">
        <v>110.0637945</v>
      </c>
      <c r="I40" s="2"/>
      <c r="J40" s="2"/>
      <c r="K40" s="2">
        <f t="shared" si="22"/>
        <v>70.204037200000002</v>
      </c>
      <c r="L40" s="1"/>
      <c r="M40" s="1"/>
      <c r="N40" s="1">
        <f>K40/SUM(K38:K41)</f>
        <v>0.28865819467539838</v>
      </c>
      <c r="O40" s="6">
        <f t="shared" si="24"/>
        <v>0.28865819467539838</v>
      </c>
    </row>
    <row r="41" spans="1:15">
      <c r="A41" s="3" t="s">
        <v>9</v>
      </c>
      <c r="B41" s="3">
        <v>2040</v>
      </c>
      <c r="C41" t="s">
        <v>24</v>
      </c>
      <c r="D41">
        <v>53.642280266666603</v>
      </c>
      <c r="E41" s="2"/>
      <c r="F41" s="2"/>
      <c r="G41">
        <v>128.84669966666601</v>
      </c>
      <c r="I41" s="2"/>
      <c r="J41" s="2"/>
      <c r="K41" s="2">
        <f t="shared" si="22"/>
        <v>75.204419399999409</v>
      </c>
      <c r="L41" s="1"/>
      <c r="M41" s="1"/>
      <c r="N41" s="1">
        <f>K41/SUM(K38:K41)</f>
        <v>0.30921828432418608</v>
      </c>
      <c r="O41" s="6">
        <f t="shared" si="24"/>
        <v>0.30921828432418608</v>
      </c>
    </row>
    <row r="42" spans="1:15">
      <c r="A42" s="3" t="s">
        <v>9</v>
      </c>
      <c r="B42" s="3">
        <v>2045</v>
      </c>
      <c r="C42" t="s">
        <v>21</v>
      </c>
      <c r="D42">
        <v>238.62236933333301</v>
      </c>
      <c r="E42" s="2"/>
      <c r="F42" s="2"/>
      <c r="G42">
        <v>296.78645699999998</v>
      </c>
      <c r="I42" s="2"/>
      <c r="J42" s="2"/>
      <c r="K42" s="2">
        <f t="shared" si="22"/>
        <v>58.164087666666973</v>
      </c>
      <c r="L42" s="1"/>
      <c r="M42" s="1"/>
      <c r="N42" s="1">
        <f>K42/SUM(K42:K45)</f>
        <v>0.15285316937789162</v>
      </c>
      <c r="O42" s="6">
        <f t="shared" si="24"/>
        <v>0.15285316937789162</v>
      </c>
    </row>
    <row r="43" spans="1:15">
      <c r="A43" s="3" t="s">
        <v>9</v>
      </c>
      <c r="B43" s="3">
        <v>2045</v>
      </c>
      <c r="C43" t="s">
        <v>22</v>
      </c>
      <c r="D43">
        <v>60.299173000000003</v>
      </c>
      <c r="E43" s="2"/>
      <c r="F43" s="2"/>
      <c r="G43">
        <v>116.07340139999999</v>
      </c>
      <c r="I43" s="2"/>
      <c r="J43" s="2"/>
      <c r="K43" s="2">
        <f t="shared" si="22"/>
        <v>55.774228399999991</v>
      </c>
      <c r="L43" s="1"/>
      <c r="M43" s="1"/>
      <c r="N43" s="1">
        <f>K43/SUM(K42:K45)</f>
        <v>0.14657270357963723</v>
      </c>
      <c r="O43" s="6">
        <f t="shared" si="24"/>
        <v>0.14657270357963723</v>
      </c>
    </row>
    <row r="44" spans="1:15">
      <c r="A44" s="3" t="s">
        <v>9</v>
      </c>
      <c r="B44" s="3">
        <v>2045</v>
      </c>
      <c r="C44" t="s">
        <v>23</v>
      </c>
      <c r="D44">
        <v>97.315895233333293</v>
      </c>
      <c r="E44" s="2"/>
      <c r="F44" s="2"/>
      <c r="G44">
        <v>214.53541633333299</v>
      </c>
      <c r="I44" s="2"/>
      <c r="J44" s="2"/>
      <c r="K44" s="2">
        <f t="shared" si="22"/>
        <v>117.2195210999997</v>
      </c>
      <c r="L44" s="1"/>
      <c r="M44" s="1"/>
      <c r="N44" s="1">
        <f>K44/SUM(K42:K45)</f>
        <v>0.30804876396886721</v>
      </c>
      <c r="O44" s="6">
        <f t="shared" si="24"/>
        <v>0.30804876396886721</v>
      </c>
    </row>
    <row r="45" spans="1:15">
      <c r="A45" s="3" t="s">
        <v>9</v>
      </c>
      <c r="B45" s="3">
        <v>2045</v>
      </c>
      <c r="C45" t="s">
        <v>24</v>
      </c>
      <c r="D45">
        <v>188.42416009999999</v>
      </c>
      <c r="E45" s="2"/>
      <c r="F45" s="2"/>
      <c r="G45">
        <v>337.78893756666599</v>
      </c>
      <c r="I45" s="2"/>
      <c r="J45" s="2"/>
      <c r="K45" s="2">
        <f t="shared" si="22"/>
        <v>149.364777466666</v>
      </c>
      <c r="L45" s="1"/>
      <c r="M45" s="1"/>
      <c r="N45" s="1">
        <f>K45/SUM(K42:K45)</f>
        <v>0.39252536307360403</v>
      </c>
      <c r="O45" s="6">
        <f t="shared" si="24"/>
        <v>0.39252536307360403</v>
      </c>
    </row>
    <row r="46" spans="1:15">
      <c r="A46" s="3" t="s">
        <v>9</v>
      </c>
      <c r="B46" s="3">
        <v>2050</v>
      </c>
      <c r="C46" t="s">
        <v>21</v>
      </c>
      <c r="D46">
        <v>348.79311866666598</v>
      </c>
      <c r="E46" s="2"/>
      <c r="F46" s="2"/>
      <c r="G46">
        <v>386.37448666666597</v>
      </c>
      <c r="I46" s="2"/>
      <c r="J46" s="2"/>
      <c r="K46" s="2">
        <f t="shared" si="22"/>
        <v>37.581367999999998</v>
      </c>
      <c r="L46" s="1"/>
      <c r="M46" s="1"/>
      <c r="N46" s="1">
        <f>K46/SUM(K46:K49)</f>
        <v>7.9254516693036001E-2</v>
      </c>
      <c r="O46" s="6">
        <f t="shared" si="24"/>
        <v>7.9254516693036001E-2</v>
      </c>
    </row>
    <row r="47" spans="1:15">
      <c r="A47" s="3" t="s">
        <v>9</v>
      </c>
      <c r="B47" s="3">
        <v>2050</v>
      </c>
      <c r="C47" t="s">
        <v>22</v>
      </c>
      <c r="D47">
        <v>229.705339966666</v>
      </c>
      <c r="E47" s="2"/>
      <c r="F47" s="2"/>
      <c r="G47">
        <v>321.027063133333</v>
      </c>
      <c r="I47" s="2"/>
      <c r="J47" s="2"/>
      <c r="K47" s="2">
        <f t="shared" si="22"/>
        <v>91.321723166666999</v>
      </c>
      <c r="L47" s="1"/>
      <c r="M47" s="1"/>
      <c r="N47" s="1">
        <f>K47/SUM(K46:K49)</f>
        <v>0.19258636442264218</v>
      </c>
      <c r="O47" s="6">
        <f t="shared" si="24"/>
        <v>0.19258636442264218</v>
      </c>
    </row>
    <row r="48" spans="1:15">
      <c r="A48" s="3" t="s">
        <v>9</v>
      </c>
      <c r="B48" s="3">
        <v>2050</v>
      </c>
      <c r="C48" t="s">
        <v>23</v>
      </c>
      <c r="D48">
        <v>345.10346199999998</v>
      </c>
      <c r="E48" s="2"/>
      <c r="F48" s="2"/>
      <c r="G48">
        <v>518.30884966666599</v>
      </c>
      <c r="I48" s="2"/>
      <c r="J48" s="2"/>
      <c r="K48" s="2">
        <f t="shared" si="22"/>
        <v>173.20538766666601</v>
      </c>
      <c r="L48" s="1"/>
      <c r="M48" s="1"/>
      <c r="N48" s="1">
        <f>K48/SUM(K46:K49)</f>
        <v>0.36526901543742513</v>
      </c>
      <c r="O48" s="6">
        <f t="shared" si="24"/>
        <v>0.36526901543742513</v>
      </c>
    </row>
    <row r="49" spans="1:15">
      <c r="A49" s="3" t="s">
        <v>9</v>
      </c>
      <c r="B49" s="3">
        <v>2050</v>
      </c>
      <c r="C49" t="s">
        <v>24</v>
      </c>
      <c r="D49">
        <v>576.39836760000003</v>
      </c>
      <c r="E49" s="2"/>
      <c r="F49" s="2"/>
      <c r="G49">
        <v>748.47570893333295</v>
      </c>
      <c r="I49" s="2"/>
      <c r="J49" s="2"/>
      <c r="K49" s="2">
        <f t="shared" si="22"/>
        <v>172.07734133333292</v>
      </c>
      <c r="L49" s="1"/>
      <c r="M49" s="1"/>
      <c r="N49" s="1">
        <f>K49/SUM(K46:K49)</f>
        <v>0.36289010344689659</v>
      </c>
      <c r="O49" s="6">
        <f t="shared" si="24"/>
        <v>0.36289010344689659</v>
      </c>
    </row>
    <row r="50" spans="1:15">
      <c r="A50" s="3" t="s">
        <v>11</v>
      </c>
      <c r="B50" s="3">
        <v>2025</v>
      </c>
      <c r="C50" t="s">
        <v>21</v>
      </c>
      <c r="I50" s="2">
        <f>E50-$D50</f>
        <v>0</v>
      </c>
      <c r="J50" s="2">
        <f>F50-$D50</f>
        <v>0</v>
      </c>
      <c r="K50" s="2"/>
      <c r="L50" s="1">
        <f>I50/SUM(I50:I53)</f>
        <v>0</v>
      </c>
      <c r="M50" s="1">
        <f>J50/SUM(J50:J53)</f>
        <v>0</v>
      </c>
      <c r="N50" s="1"/>
      <c r="O50" s="1">
        <f>SUM(L50:N50)/2</f>
        <v>0</v>
      </c>
    </row>
    <row r="51" spans="1:15">
      <c r="A51" s="3" t="s">
        <v>11</v>
      </c>
      <c r="B51" s="3">
        <v>2025</v>
      </c>
      <c r="C51" t="s">
        <v>22</v>
      </c>
      <c r="D51">
        <v>12.3143563033333</v>
      </c>
      <c r="G51" s="2"/>
      <c r="I51" s="2">
        <f t="shared" ref="I51:J61" si="25">E51-$D51</f>
        <v>-12.3143563033333</v>
      </c>
      <c r="J51" s="2">
        <f t="shared" si="25"/>
        <v>-12.3143563033333</v>
      </c>
      <c r="K51" s="2"/>
      <c r="L51" s="1">
        <f>I51/SUM(I50:I53)</f>
        <v>0.92925269976099745</v>
      </c>
      <c r="M51" s="1">
        <f>J51/SUM(J50:J53)</f>
        <v>0.92925269976099745</v>
      </c>
      <c r="N51" s="1"/>
      <c r="O51" s="1">
        <f t="shared" ref="O51:O53" si="26">SUM(L51:N51)/2</f>
        <v>0.92925269976099745</v>
      </c>
    </row>
    <row r="52" spans="1:15">
      <c r="A52" s="3" t="s">
        <v>11</v>
      </c>
      <c r="B52" s="3">
        <v>2025</v>
      </c>
      <c r="C52" t="s">
        <v>23</v>
      </c>
      <c r="D52">
        <v>0.75909940333333303</v>
      </c>
      <c r="G52" s="2"/>
      <c r="I52" s="2">
        <f t="shared" si="25"/>
        <v>-0.75909940333333303</v>
      </c>
      <c r="J52" s="2">
        <f t="shared" si="25"/>
        <v>-0.75909940333333303</v>
      </c>
      <c r="K52" s="2"/>
      <c r="L52" s="1">
        <f>I52/SUM(I50:I53)</f>
        <v>5.7282342053357901E-2</v>
      </c>
      <c r="M52" s="1">
        <f>J52/SUM(J50:J53)</f>
        <v>5.7282342053357901E-2</v>
      </c>
      <c r="N52" s="1"/>
      <c r="O52" s="1">
        <f t="shared" si="26"/>
        <v>5.7282342053357901E-2</v>
      </c>
    </row>
    <row r="53" spans="1:15">
      <c r="A53" s="3" t="s">
        <v>11</v>
      </c>
      <c r="B53" s="3">
        <v>2025</v>
      </c>
      <c r="C53" t="s">
        <v>24</v>
      </c>
      <c r="D53">
        <v>0.17843617000000001</v>
      </c>
      <c r="G53" s="2"/>
      <c r="I53" s="2">
        <f t="shared" si="25"/>
        <v>-0.17843617000000001</v>
      </c>
      <c r="J53" s="2">
        <f t="shared" si="25"/>
        <v>-0.17843617000000001</v>
      </c>
      <c r="K53" s="2"/>
      <c r="L53" s="1">
        <f>I53/SUM(I50:I53)</f>
        <v>1.3464958185644634E-2</v>
      </c>
      <c r="M53" s="1">
        <f>J53/SUM(J50:J53)</f>
        <v>1.3464958185644634E-2</v>
      </c>
      <c r="N53" s="1"/>
      <c r="O53" s="1">
        <f t="shared" si="26"/>
        <v>1.3464958185644634E-2</v>
      </c>
    </row>
    <row r="54" spans="1:15">
      <c r="A54" s="3" t="s">
        <v>11</v>
      </c>
      <c r="B54" s="3">
        <v>2030</v>
      </c>
      <c r="C54" t="s">
        <v>21</v>
      </c>
      <c r="I54" s="2">
        <f t="shared" si="25"/>
        <v>0</v>
      </c>
      <c r="J54" s="2">
        <f t="shared" ref="J54:J61" si="27">F54-$D54</f>
        <v>0</v>
      </c>
      <c r="K54" s="2">
        <f t="shared" ref="K54:K73" si="28">G54-$D54</f>
        <v>0</v>
      </c>
      <c r="L54" s="1">
        <f>I54/SUM(I54:I57)</f>
        <v>0</v>
      </c>
      <c r="M54" s="1">
        <f>J54/SUM(J54:J57)</f>
        <v>0</v>
      </c>
      <c r="N54" s="1">
        <f>K54/SUM(K54:K57)</f>
        <v>0</v>
      </c>
      <c r="O54" s="1">
        <f>SUM(L54:N54)/3</f>
        <v>0</v>
      </c>
    </row>
    <row r="55" spans="1:15">
      <c r="A55" s="3" t="s">
        <v>11</v>
      </c>
      <c r="B55" s="3">
        <v>2030</v>
      </c>
      <c r="C55" t="s">
        <v>22</v>
      </c>
      <c r="D55">
        <v>17.71107679</v>
      </c>
      <c r="I55" s="2">
        <f t="shared" si="25"/>
        <v>-17.71107679</v>
      </c>
      <c r="J55" s="2">
        <f t="shared" si="27"/>
        <v>-17.71107679</v>
      </c>
      <c r="K55" s="2">
        <f t="shared" si="28"/>
        <v>-17.71107679</v>
      </c>
      <c r="L55" s="1">
        <f>I55/SUM(I54:I57)</f>
        <v>0.89918935245526366</v>
      </c>
      <c r="M55" s="1">
        <f>J55/SUM(J54:J57)</f>
        <v>0.89918935245526366</v>
      </c>
      <c r="N55" s="1">
        <f>K55/SUM(K54:K57)</f>
        <v>0.89918935245526366</v>
      </c>
      <c r="O55" s="1">
        <f t="shared" ref="O55:O61" si="29">SUM(L55:N55)/3</f>
        <v>0.89918935245526355</v>
      </c>
    </row>
    <row r="56" spans="1:15">
      <c r="A56" s="3" t="s">
        <v>11</v>
      </c>
      <c r="B56" s="3">
        <v>2030</v>
      </c>
      <c r="C56" t="s">
        <v>23</v>
      </c>
      <c r="D56">
        <v>1.3467701133333301</v>
      </c>
      <c r="I56" s="2">
        <f t="shared" si="25"/>
        <v>-1.3467701133333301</v>
      </c>
      <c r="J56" s="2">
        <f t="shared" si="27"/>
        <v>-1.3467701133333301</v>
      </c>
      <c r="K56" s="2">
        <f t="shared" si="28"/>
        <v>-1.3467701133333301</v>
      </c>
      <c r="L56" s="1">
        <f>I56/SUM(I54:I57)</f>
        <v>6.8375365341877617E-2</v>
      </c>
      <c r="M56" s="1">
        <f>J56/SUM(J54:J57)</f>
        <v>6.8375365341877617E-2</v>
      </c>
      <c r="N56" s="1">
        <f>K56/SUM(K54:K57)</f>
        <v>6.8375365341877617E-2</v>
      </c>
      <c r="O56" s="1">
        <f t="shared" si="29"/>
        <v>6.8375365341877617E-2</v>
      </c>
    </row>
    <row r="57" spans="1:15">
      <c r="A57" s="3" t="s">
        <v>11</v>
      </c>
      <c r="B57" s="3">
        <v>2030</v>
      </c>
      <c r="C57" t="s">
        <v>24</v>
      </c>
      <c r="D57">
        <v>0.63886852333333299</v>
      </c>
      <c r="I57" s="2">
        <f t="shared" si="25"/>
        <v>-0.63886852333333299</v>
      </c>
      <c r="J57" s="2">
        <f t="shared" si="27"/>
        <v>-0.63886852333333299</v>
      </c>
      <c r="K57" s="2">
        <f t="shared" si="28"/>
        <v>-0.63886852333333299</v>
      </c>
      <c r="L57" s="1">
        <f>I57/SUM(I54:I57)</f>
        <v>3.2435282202858663E-2</v>
      </c>
      <c r="M57" s="1">
        <f>J57/SUM(J54:J57)</f>
        <v>3.2435282202858663E-2</v>
      </c>
      <c r="N57" s="1">
        <f>K57/SUM(K54:K57)</f>
        <v>3.2435282202858663E-2</v>
      </c>
      <c r="O57" s="1">
        <f t="shared" si="29"/>
        <v>3.2435282202858663E-2</v>
      </c>
    </row>
    <row r="58" spans="1:15">
      <c r="A58" s="3" t="s">
        <v>11</v>
      </c>
      <c r="B58" s="3">
        <v>2035</v>
      </c>
      <c r="C58" t="s">
        <v>21</v>
      </c>
      <c r="D58">
        <v>7.4184241999999996</v>
      </c>
      <c r="I58" s="2">
        <f t="shared" si="25"/>
        <v>-7.4184241999999996</v>
      </c>
      <c r="J58" s="2">
        <f t="shared" si="27"/>
        <v>-7.4184241999999996</v>
      </c>
      <c r="K58" s="2">
        <f t="shared" si="28"/>
        <v>-7.4184241999999996</v>
      </c>
      <c r="L58" s="1">
        <f>I58/SUM(I58:I61)</f>
        <v>0.24910054245369137</v>
      </c>
      <c r="M58" s="1">
        <f>J58/SUM(J58:J61)</f>
        <v>0.24910054245369137</v>
      </c>
      <c r="N58" s="1">
        <f>K58/SUM(K58:K61)</f>
        <v>0.24910054245369137</v>
      </c>
      <c r="O58" s="1">
        <f t="shared" si="29"/>
        <v>0.24910054245369137</v>
      </c>
    </row>
    <row r="59" spans="1:15">
      <c r="A59" s="3" t="s">
        <v>11</v>
      </c>
      <c r="B59" s="3">
        <v>2035</v>
      </c>
      <c r="C59" t="s">
        <v>22</v>
      </c>
      <c r="D59">
        <v>6.2897941333333298</v>
      </c>
      <c r="I59" s="2">
        <f t="shared" si="25"/>
        <v>-6.2897941333333298</v>
      </c>
      <c r="J59" s="2">
        <f t="shared" si="27"/>
        <v>-6.2897941333333298</v>
      </c>
      <c r="K59" s="2">
        <f t="shared" si="28"/>
        <v>-6.2897941333333298</v>
      </c>
      <c r="L59" s="1">
        <f>I59/SUM(I58:I61)</f>
        <v>0.21120268783434873</v>
      </c>
      <c r="M59" s="1">
        <f>J59/SUM(J58:J61)</f>
        <v>0.21120268783434873</v>
      </c>
      <c r="N59" s="1">
        <f>K59/SUM(K58:K61)</f>
        <v>0.21120268783434873</v>
      </c>
      <c r="O59" s="1">
        <f t="shared" si="29"/>
        <v>0.21120268783434873</v>
      </c>
    </row>
    <row r="60" spans="1:15">
      <c r="A60" s="3" t="s">
        <v>11</v>
      </c>
      <c r="B60" s="3">
        <v>2035</v>
      </c>
      <c r="C60" t="s">
        <v>23</v>
      </c>
      <c r="D60">
        <v>8.3409771500000005</v>
      </c>
      <c r="I60" s="2">
        <f t="shared" si="25"/>
        <v>-8.3409771500000005</v>
      </c>
      <c r="J60" s="2">
        <f t="shared" si="27"/>
        <v>-8.3409771500000005</v>
      </c>
      <c r="K60" s="2">
        <f t="shared" si="28"/>
        <v>-8.3409771500000005</v>
      </c>
      <c r="L60" s="1">
        <f>I60/SUM(I58:I61)</f>
        <v>0.28007860923602146</v>
      </c>
      <c r="M60" s="1">
        <f>J60/SUM(J58:J61)</f>
        <v>0.28007860923602146</v>
      </c>
      <c r="N60" s="1">
        <f>K60/SUM(K58:K61)</f>
        <v>0.28007860923602146</v>
      </c>
      <c r="O60" s="1">
        <f t="shared" si="29"/>
        <v>0.28007860923602146</v>
      </c>
    </row>
    <row r="61" spans="1:15">
      <c r="A61" s="3" t="s">
        <v>11</v>
      </c>
      <c r="B61" s="3">
        <v>2035</v>
      </c>
      <c r="C61" t="s">
        <v>24</v>
      </c>
      <c r="D61">
        <v>7.7316477333333298</v>
      </c>
      <c r="I61" s="2">
        <f t="shared" si="25"/>
        <v>-7.7316477333333298</v>
      </c>
      <c r="J61" s="2">
        <f t="shared" si="27"/>
        <v>-7.7316477333333298</v>
      </c>
      <c r="K61" s="2">
        <f t="shared" si="28"/>
        <v>-7.7316477333333298</v>
      </c>
      <c r="L61" s="1">
        <f>I61/SUM(I58:I61)</f>
        <v>0.25961816047593855</v>
      </c>
      <c r="M61" s="1">
        <f>J61/SUM(J58:J61)</f>
        <v>0.25961816047593855</v>
      </c>
      <c r="N61" s="1">
        <f>K61/SUM(K58:K61)</f>
        <v>0.25961816047593855</v>
      </c>
      <c r="O61" s="1">
        <f t="shared" si="29"/>
        <v>0.25961816047593855</v>
      </c>
    </row>
    <row r="62" spans="1:15">
      <c r="A62" s="3" t="s">
        <v>11</v>
      </c>
      <c r="B62" s="3">
        <v>2040</v>
      </c>
      <c r="C62" t="s">
        <v>21</v>
      </c>
      <c r="E62" s="2"/>
      <c r="F62" s="2"/>
      <c r="I62" s="2"/>
      <c r="J62" s="2"/>
      <c r="K62" s="2">
        <f t="shared" si="28"/>
        <v>0</v>
      </c>
      <c r="L62" s="1"/>
      <c r="M62" s="1"/>
      <c r="N62" s="1">
        <f>K62/SUM(K62:K65)</f>
        <v>0</v>
      </c>
      <c r="O62" s="6">
        <f>N62</f>
        <v>0</v>
      </c>
    </row>
    <row r="63" spans="1:15">
      <c r="A63" s="3" t="s">
        <v>11</v>
      </c>
      <c r="B63" s="3">
        <v>2040</v>
      </c>
      <c r="C63" t="s">
        <v>22</v>
      </c>
      <c r="D63">
        <v>9.9285394999999994</v>
      </c>
      <c r="E63" s="2"/>
      <c r="F63" s="2"/>
      <c r="I63" s="2"/>
      <c r="J63" s="2"/>
      <c r="K63" s="2">
        <f t="shared" si="28"/>
        <v>-9.9285394999999994</v>
      </c>
      <c r="L63" s="1"/>
      <c r="M63" s="1"/>
      <c r="N63" s="1">
        <f>K63/SUM(K62:K65)</f>
        <v>0.22242627804977147</v>
      </c>
      <c r="O63" s="6">
        <f t="shared" ref="O63:O73" si="30">N63</f>
        <v>0.22242627804977147</v>
      </c>
    </row>
    <row r="64" spans="1:15">
      <c r="A64" s="3" t="s">
        <v>11</v>
      </c>
      <c r="B64" s="3">
        <v>2040</v>
      </c>
      <c r="C64" t="s">
        <v>23</v>
      </c>
      <c r="D64">
        <v>13.548768566666601</v>
      </c>
      <c r="E64" s="2"/>
      <c r="F64" s="2"/>
      <c r="I64" s="2"/>
      <c r="J64" s="2"/>
      <c r="K64" s="2">
        <f t="shared" si="28"/>
        <v>-13.548768566666601</v>
      </c>
      <c r="L64" s="1"/>
      <c r="M64" s="1"/>
      <c r="N64" s="1">
        <f>K64/SUM(K62:K65)</f>
        <v>0.30352925165291322</v>
      </c>
      <c r="O64" s="6">
        <f t="shared" si="30"/>
        <v>0.30352925165291322</v>
      </c>
    </row>
    <row r="65" spans="1:15">
      <c r="A65" s="3" t="s">
        <v>11</v>
      </c>
      <c r="B65" s="3">
        <v>2040</v>
      </c>
      <c r="C65" t="s">
        <v>24</v>
      </c>
      <c r="D65">
        <v>21.1601313</v>
      </c>
      <c r="E65" s="2"/>
      <c r="F65" s="2"/>
      <c r="I65" s="2"/>
      <c r="J65" s="2"/>
      <c r="K65" s="2">
        <f t="shared" si="28"/>
        <v>-21.1601313</v>
      </c>
      <c r="L65" s="1"/>
      <c r="M65" s="1"/>
      <c r="N65" s="1">
        <f>K65/SUM(K62:K65)</f>
        <v>0.47404447029731539</v>
      </c>
      <c r="O65" s="6">
        <f t="shared" si="30"/>
        <v>0.47404447029731539</v>
      </c>
    </row>
    <row r="66" spans="1:15">
      <c r="A66" s="3" t="s">
        <v>11</v>
      </c>
      <c r="B66" s="3">
        <v>2045</v>
      </c>
      <c r="C66" t="s">
        <v>21</v>
      </c>
      <c r="E66" s="2"/>
      <c r="F66" s="2"/>
      <c r="I66" s="2"/>
      <c r="J66" s="2"/>
      <c r="K66" s="2">
        <f t="shared" si="28"/>
        <v>0</v>
      </c>
      <c r="L66" s="1"/>
      <c r="M66" s="1"/>
      <c r="N66" s="1">
        <f>K66/SUM(K66:K69)</f>
        <v>0</v>
      </c>
      <c r="O66" s="6">
        <f t="shared" si="30"/>
        <v>0</v>
      </c>
    </row>
    <row r="67" spans="1:15">
      <c r="A67" s="3" t="s">
        <v>11</v>
      </c>
      <c r="B67" s="3">
        <v>2045</v>
      </c>
      <c r="C67" t="s">
        <v>22</v>
      </c>
      <c r="D67">
        <v>11.7713416333333</v>
      </c>
      <c r="E67" s="2"/>
      <c r="F67" s="2"/>
      <c r="I67" s="2"/>
      <c r="J67" s="2"/>
      <c r="K67" s="2">
        <f t="shared" si="28"/>
        <v>-11.7713416333333</v>
      </c>
      <c r="L67" s="1"/>
      <c r="M67" s="1"/>
      <c r="N67" s="1">
        <f>K67/SUM(K66:K69)</f>
        <v>0.17647793498569347</v>
      </c>
      <c r="O67" s="6">
        <f t="shared" si="30"/>
        <v>0.17647793498569347</v>
      </c>
    </row>
    <row r="68" spans="1:15">
      <c r="A68" s="3" t="s">
        <v>11</v>
      </c>
      <c r="B68" s="3">
        <v>2045</v>
      </c>
      <c r="C68" t="s">
        <v>23</v>
      </c>
      <c r="D68">
        <v>15.0971010666666</v>
      </c>
      <c r="E68" s="2"/>
      <c r="F68" s="2"/>
      <c r="I68" s="2"/>
      <c r="J68" s="2"/>
      <c r="K68" s="2">
        <f t="shared" si="28"/>
        <v>-15.0971010666666</v>
      </c>
      <c r="L68" s="1"/>
      <c r="M68" s="1"/>
      <c r="N68" s="1">
        <f>K68/SUM(K66:K69)</f>
        <v>0.22633828016434676</v>
      </c>
      <c r="O68" s="6">
        <f t="shared" si="30"/>
        <v>0.22633828016434676</v>
      </c>
    </row>
    <row r="69" spans="1:15">
      <c r="A69" s="3" t="s">
        <v>11</v>
      </c>
      <c r="B69" s="3">
        <v>2045</v>
      </c>
      <c r="C69" t="s">
        <v>24</v>
      </c>
      <c r="D69">
        <v>39.833049666666597</v>
      </c>
      <c r="E69" s="2"/>
      <c r="F69" s="2"/>
      <c r="I69" s="2"/>
      <c r="J69" s="2"/>
      <c r="K69" s="2">
        <f t="shared" si="28"/>
        <v>-39.833049666666597</v>
      </c>
      <c r="L69" s="1"/>
      <c r="M69" s="1"/>
      <c r="N69" s="1">
        <f>K69/SUM(K66:K69)</f>
        <v>0.59718378484995971</v>
      </c>
      <c r="O69" s="6">
        <f t="shared" si="30"/>
        <v>0.59718378484995971</v>
      </c>
    </row>
    <row r="70" spans="1:15">
      <c r="A70" s="3" t="s">
        <v>11</v>
      </c>
      <c r="B70" s="3">
        <v>2050</v>
      </c>
      <c r="C70" t="s">
        <v>21</v>
      </c>
      <c r="E70" s="2"/>
      <c r="F70" s="2"/>
      <c r="I70" s="2"/>
      <c r="J70" s="2"/>
      <c r="K70" s="2">
        <f t="shared" si="28"/>
        <v>0</v>
      </c>
      <c r="L70" s="1"/>
      <c r="M70" s="1"/>
      <c r="N70" s="1">
        <f>K70/SUM(K70:K73)</f>
        <v>0</v>
      </c>
      <c r="O70" s="6">
        <f t="shared" si="30"/>
        <v>0</v>
      </c>
    </row>
    <row r="71" spans="1:15">
      <c r="A71" s="3" t="s">
        <v>11</v>
      </c>
      <c r="B71" s="3">
        <v>2050</v>
      </c>
      <c r="C71" t="s">
        <v>22</v>
      </c>
      <c r="D71">
        <v>15.9971258333333</v>
      </c>
      <c r="E71" s="2"/>
      <c r="F71" s="2"/>
      <c r="I71" s="2"/>
      <c r="J71" s="2"/>
      <c r="K71" s="2">
        <f t="shared" si="28"/>
        <v>-15.9971258333333</v>
      </c>
      <c r="L71" s="1"/>
      <c r="M71" s="1"/>
      <c r="N71" s="1">
        <f>K71/SUM(K70:K73)</f>
        <v>0.16057921079720025</v>
      </c>
      <c r="O71" s="6">
        <f t="shared" si="30"/>
        <v>0.16057921079720025</v>
      </c>
    </row>
    <row r="72" spans="1:15">
      <c r="A72" s="3" t="s">
        <v>11</v>
      </c>
      <c r="B72" s="3">
        <v>2050</v>
      </c>
      <c r="C72" t="s">
        <v>23</v>
      </c>
      <c r="D72">
        <v>18.685675066666601</v>
      </c>
      <c r="E72" s="2"/>
      <c r="F72" s="2"/>
      <c r="I72" s="2"/>
      <c r="J72" s="2"/>
      <c r="K72" s="2">
        <f t="shared" si="28"/>
        <v>-18.685675066666601</v>
      </c>
      <c r="L72" s="1"/>
      <c r="M72" s="1"/>
      <c r="N72" s="1">
        <f>K72/SUM(K70:K73)</f>
        <v>0.18756687836798919</v>
      </c>
      <c r="O72" s="6">
        <f t="shared" si="30"/>
        <v>0.18756687836798919</v>
      </c>
    </row>
    <row r="73" spans="1:15">
      <c r="A73" s="3" t="s">
        <v>11</v>
      </c>
      <c r="B73" s="3">
        <v>2050</v>
      </c>
      <c r="C73" t="s">
        <v>24</v>
      </c>
      <c r="D73">
        <v>64.938599366666594</v>
      </c>
      <c r="E73" s="2"/>
      <c r="F73" s="2"/>
      <c r="I73" s="2"/>
      <c r="J73" s="2"/>
      <c r="K73" s="2">
        <f t="shared" si="28"/>
        <v>-64.938599366666594</v>
      </c>
      <c r="L73" s="1"/>
      <c r="M73" s="1"/>
      <c r="N73" s="1">
        <f>K73/SUM(K70:K73)</f>
        <v>0.65185391083481048</v>
      </c>
      <c r="O73" s="6">
        <f t="shared" si="30"/>
        <v>0.65185391083481048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Scaling</vt:lpstr>
      <vt:lpstr>45Q</vt:lpstr>
      <vt:lpstr>Marginal Supply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Preuss</dc:creator>
  <cp:lastModifiedBy>Nathan Preuss</cp:lastModifiedBy>
  <dcterms:created xsi:type="dcterms:W3CDTF">2025-09-03T19:09:24Z</dcterms:created>
  <dcterms:modified xsi:type="dcterms:W3CDTF">2026-01-28T18:49:44Z</dcterms:modified>
</cp:coreProperties>
</file>