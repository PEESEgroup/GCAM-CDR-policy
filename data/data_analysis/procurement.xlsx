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atha\PycharmProjects\GCAM-CDR-policy\data\data_analysis\"/>
    </mc:Choice>
  </mc:AlternateContent>
  <xr:revisionPtr revIDLastSave="0" documentId="13_ncr:1_{B10C2556-FB06-4929-9D11-22CBAB2A4225}" xr6:coauthVersionLast="47" xr6:coauthVersionMax="47" xr10:uidLastSave="{00000000-0000-0000-0000-000000000000}"/>
  <bookViews>
    <workbookView xWindow="-120" yWindow="-120" windowWidth="29040" windowHeight="17520" xr2:uid="{4A617452-901D-46F6-B294-E017C63BDF58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1" l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" i="1"/>
</calcChain>
</file>

<file path=xl/sharedStrings.xml><?xml version="1.0" encoding="utf-8"?>
<sst xmlns="http://schemas.openxmlformats.org/spreadsheetml/2006/main" count="61" uniqueCount="12">
  <si>
    <t>Scenario</t>
  </si>
  <si>
    <t>Year</t>
  </si>
  <si>
    <t>Baseline</t>
  </si>
  <si>
    <t>Procurement Error</t>
  </si>
  <si>
    <t>Govt Percentage of CDR Market</t>
  </si>
  <si>
    <t>Total Size of CDR market</t>
  </si>
  <si>
    <t>Low</t>
  </si>
  <si>
    <t>EFI $3.3B</t>
  </si>
  <si>
    <t>Rhodium $100B</t>
  </si>
  <si>
    <t>High</t>
  </si>
  <si>
    <t>Original Size</t>
  </si>
  <si>
    <t>Nothing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</si>
</sst>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4">
    <xf numFmtId="0" fontId="0" fillId="0" borderId="0" xfId="0"/>
    <xf numFmtId="10" fontId="0" fillId="0" borderId="0" xfId="0" applyNumberFormat="1"/>
    <xf numFmtId="9" fontId="0" fillId="0" borderId="0" xfId="0" applyNumberFormat="1"/>
    <xf numFmtId="9" fontId="0" fillId="0" borderId="0" xfId="1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Sheet1!$G$1</c:f>
              <c:strCache>
                <c:ptCount val="1"/>
                <c:pt idx="0">
                  <c:v>Procurement Error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Sheet1!$F$2:$F$28</c:f>
              <c:numCache>
                <c:formatCode>General</c:formatCode>
                <c:ptCount val="27"/>
                <c:pt idx="0">
                  <c:v>22.652770490000002</c:v>
                </c:pt>
                <c:pt idx="1">
                  <c:v>38.92435596</c:v>
                </c:pt>
                <c:pt idx="2">
                  <c:v>72.101540779999993</c:v>
                </c:pt>
                <c:pt idx="3">
                  <c:v>13.5</c:v>
                </c:pt>
                <c:pt idx="4">
                  <c:v>95.2150848</c:v>
                </c:pt>
                <c:pt idx="5">
                  <c:v>214.75016840000001</c:v>
                </c:pt>
                <c:pt idx="6">
                  <c:v>360.96804700000001</c:v>
                </c:pt>
                <c:pt idx="7">
                  <c:v>623.27188550000005</c:v>
                </c:pt>
                <c:pt idx="8">
                  <c:v>974.18677479999997</c:v>
                </c:pt>
                <c:pt idx="9">
                  <c:v>22.652770490000002</c:v>
                </c:pt>
                <c:pt idx="10">
                  <c:v>45.75593121</c:v>
                </c:pt>
                <c:pt idx="11">
                  <c:v>103.695629</c:v>
                </c:pt>
                <c:pt idx="12">
                  <c:v>13.5</c:v>
                </c:pt>
                <c:pt idx="13">
                  <c:v>102.04666</c:v>
                </c:pt>
                <c:pt idx="14">
                  <c:v>246.34425669999999</c:v>
                </c:pt>
                <c:pt idx="15">
                  <c:v>470.9906421</c:v>
                </c:pt>
                <c:pt idx="16">
                  <c:v>965.18417420000003</c:v>
                </c:pt>
                <c:pt idx="17">
                  <c:v>1974.1867749999999</c:v>
                </c:pt>
              </c:numCache>
            </c:numRef>
          </c:xVal>
          <c:yVal>
            <c:numRef>
              <c:f>Sheet1!$G$2:$G$28</c:f>
              <c:numCache>
                <c:formatCode>0.00%</c:formatCode>
                <c:ptCount val="27"/>
                <c:pt idx="0">
                  <c:v>5.9999999999999995E-4</c:v>
                </c:pt>
                <c:pt idx="1">
                  <c:v>8.9999999999999993E-3</c:v>
                </c:pt>
                <c:pt idx="2">
                  <c:v>-2.1999999999999999E-2</c:v>
                </c:pt>
                <c:pt idx="3" formatCode="0%">
                  <c:v>0</c:v>
                </c:pt>
                <c:pt idx="4">
                  <c:v>7.7999999999999996E-3</c:v>
                </c:pt>
                <c:pt idx="5">
                  <c:v>2.7300000000000001E-2</c:v>
                </c:pt>
                <c:pt idx="6">
                  <c:v>4.19E-2</c:v>
                </c:pt>
                <c:pt idx="7">
                  <c:v>2.4799999999999999E-2</c:v>
                </c:pt>
                <c:pt idx="8">
                  <c:v>-2.3E-2</c:v>
                </c:pt>
                <c:pt idx="9">
                  <c:v>5.9999999999999995E-4</c:v>
                </c:pt>
                <c:pt idx="11">
                  <c:v>-2.4E-2</c:v>
                </c:pt>
                <c:pt idx="12" formatCode="0%">
                  <c:v>0</c:v>
                </c:pt>
                <c:pt idx="13">
                  <c:v>8.3499999999999998E-3</c:v>
                </c:pt>
                <c:pt idx="14">
                  <c:v>4.3700000000000003E-2</c:v>
                </c:pt>
                <c:pt idx="15">
                  <c:v>0.11899999999999999</c:v>
                </c:pt>
                <c:pt idx="16">
                  <c:v>0.16400000000000001</c:v>
                </c:pt>
                <c:pt idx="17">
                  <c:v>0.108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3F1-45E8-BE09-8DA55D2C16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5939536"/>
        <c:axId val="1135940016"/>
      </c:scatterChart>
      <c:valAx>
        <c:axId val="11359395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Size of the CDR Market (including procurement)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5940016"/>
        <c:crosses val="autoZero"/>
        <c:crossBetween val="midCat"/>
      </c:valAx>
      <c:valAx>
        <c:axId val="11359400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Percentage Error in Price of Procurement</a:t>
                </a:r>
                <a:r>
                  <a:rPr lang="en-US" baseline="0"/>
                  <a:t> 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59395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Sheet1!$G$1</c:f>
              <c:strCache>
                <c:ptCount val="1"/>
                <c:pt idx="0">
                  <c:v>Procurement Error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Sheet1!$H$2:$H$28</c:f>
              <c:numCache>
                <c:formatCode>General</c:formatCode>
                <c:ptCount val="27"/>
                <c:pt idx="0">
                  <c:v>13.5</c:v>
                </c:pt>
                <c:pt idx="1">
                  <c:v>27.80103828</c:v>
                </c:pt>
                <c:pt idx="2">
                  <c:v>57.251683640000003</c:v>
                </c:pt>
                <c:pt idx="3">
                  <c:v>13.5</c:v>
                </c:pt>
                <c:pt idx="4">
                  <c:v>27.80103828</c:v>
                </c:pt>
                <c:pt idx="5">
                  <c:v>57.251683640000003</c:v>
                </c:pt>
                <c:pt idx="6">
                  <c:v>117.9004628</c:v>
                </c:pt>
                <c:pt idx="7">
                  <c:v>242.7966874</c:v>
                </c:pt>
                <c:pt idx="8">
                  <c:v>500</c:v>
                </c:pt>
                <c:pt idx="9">
                  <c:v>13.5</c:v>
                </c:pt>
                <c:pt idx="10">
                  <c:v>34.63261353</c:v>
                </c:pt>
                <c:pt idx="11">
                  <c:v>88.845771859999999</c:v>
                </c:pt>
                <c:pt idx="12">
                  <c:v>13.5</c:v>
                </c:pt>
                <c:pt idx="13">
                  <c:v>34.63261353</c:v>
                </c:pt>
                <c:pt idx="14">
                  <c:v>88.845771859999999</c:v>
                </c:pt>
                <c:pt idx="15">
                  <c:v>227.9230579</c:v>
                </c:pt>
                <c:pt idx="16">
                  <c:v>584.70897609999997</c:v>
                </c:pt>
                <c:pt idx="17">
                  <c:v>1500</c:v>
                </c:pt>
                <c:pt idx="18">
                  <c:v>13.5</c:v>
                </c:pt>
                <c:pt idx="19">
                  <c:v>20.149627169999999</c:v>
                </c:pt>
                <c:pt idx="20">
                  <c:v>30.074627790000001</c:v>
                </c:pt>
                <c:pt idx="21">
                  <c:v>13.5</c:v>
                </c:pt>
                <c:pt idx="22">
                  <c:v>20.149627169999999</c:v>
                </c:pt>
                <c:pt idx="23">
                  <c:v>30.074627790000001</c:v>
                </c:pt>
                <c:pt idx="24">
                  <c:v>44.888336090000003</c:v>
                </c:pt>
                <c:pt idx="25">
                  <c:v>66.998758269999996</c:v>
                </c:pt>
                <c:pt idx="26">
                  <c:v>100</c:v>
                </c:pt>
              </c:numCache>
            </c:numRef>
          </c:xVal>
          <c:yVal>
            <c:numRef>
              <c:f>Sheet1!$G$2:$G$28</c:f>
              <c:numCache>
                <c:formatCode>0.00%</c:formatCode>
                <c:ptCount val="27"/>
                <c:pt idx="0">
                  <c:v>5.9999999999999995E-4</c:v>
                </c:pt>
                <c:pt idx="1">
                  <c:v>8.9999999999999993E-3</c:v>
                </c:pt>
                <c:pt idx="2">
                  <c:v>-2.1999999999999999E-2</c:v>
                </c:pt>
                <c:pt idx="3" formatCode="0%">
                  <c:v>0</c:v>
                </c:pt>
                <c:pt idx="4">
                  <c:v>7.7999999999999996E-3</c:v>
                </c:pt>
                <c:pt idx="5">
                  <c:v>2.7300000000000001E-2</c:v>
                </c:pt>
                <c:pt idx="6">
                  <c:v>4.19E-2</c:v>
                </c:pt>
                <c:pt idx="7">
                  <c:v>2.4799999999999999E-2</c:v>
                </c:pt>
                <c:pt idx="8">
                  <c:v>-2.3E-2</c:v>
                </c:pt>
                <c:pt idx="9">
                  <c:v>5.9999999999999995E-4</c:v>
                </c:pt>
                <c:pt idx="11">
                  <c:v>-2.4E-2</c:v>
                </c:pt>
                <c:pt idx="12" formatCode="0%">
                  <c:v>0</c:v>
                </c:pt>
                <c:pt idx="13">
                  <c:v>8.3499999999999998E-3</c:v>
                </c:pt>
                <c:pt idx="14">
                  <c:v>4.3700000000000003E-2</c:v>
                </c:pt>
                <c:pt idx="15">
                  <c:v>0.11899999999999999</c:v>
                </c:pt>
                <c:pt idx="16">
                  <c:v>0.16400000000000001</c:v>
                </c:pt>
                <c:pt idx="17">
                  <c:v>0.108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581-40F9-AC51-A489DFC6E3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5961136"/>
        <c:axId val="1135944816"/>
      </c:scatterChart>
      <c:valAx>
        <c:axId val="11359611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Size of the Voluntary</a:t>
                </a:r>
                <a:r>
                  <a:rPr lang="en-US" baseline="0"/>
                  <a:t> CDR market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5944816"/>
        <c:crosses val="autoZero"/>
        <c:crossBetween val="midCat"/>
      </c:valAx>
      <c:valAx>
        <c:axId val="1135944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Percentage Error in  Price</a:t>
                </a:r>
                <a:r>
                  <a:rPr lang="en-US" baseline="0"/>
                  <a:t> of Procurement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59611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Sheet1!$E$1</c:f>
              <c:strCache>
                <c:ptCount val="1"/>
                <c:pt idx="0">
                  <c:v>Govt Percentage of CDR Market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Sheet1!$E$2:$E$28</c:f>
              <c:numCache>
                <c:formatCode>0%</c:formatCode>
                <c:ptCount val="27"/>
                <c:pt idx="0">
                  <c:v>0.40404640545139786</c:v>
                </c:pt>
                <c:pt idx="1">
                  <c:v>0.2857675459404056</c:v>
                </c:pt>
                <c:pt idx="2">
                  <c:v>0.20595755623739934</c:v>
                </c:pt>
                <c:pt idx="3">
                  <c:v>0</c:v>
                </c:pt>
                <c:pt idx="4">
                  <c:v>0.7080185525392716</c:v>
                </c:pt>
                <c:pt idx="5">
                  <c:v>0.73340331201342146</c:v>
                </c:pt>
                <c:pt idx="6">
                  <c:v>0.67337701001551531</c:v>
                </c:pt>
                <c:pt idx="7">
                  <c:v>0.61044819596631716</c:v>
                </c:pt>
                <c:pt idx="8">
                  <c:v>0.48675139825969232</c:v>
                </c:pt>
                <c:pt idx="9">
                  <c:v>0.40404640545139786</c:v>
                </c:pt>
                <c:pt idx="10">
                  <c:v>0.24310111030084311</c:v>
                </c:pt>
                <c:pt idx="11">
                  <c:v>0.14320620148801064</c:v>
                </c:pt>
                <c:pt idx="12">
                  <c:v>0</c:v>
                </c:pt>
                <c:pt idx="13">
                  <c:v>0.66061982302997468</c:v>
                </c:pt>
                <c:pt idx="14">
                  <c:v>0.63934303543273963</c:v>
                </c:pt>
                <c:pt idx="15">
                  <c:v>0.51607731125237999</c:v>
                </c:pt>
                <c:pt idx="16">
                  <c:v>0.39419958208013484</c:v>
                </c:pt>
                <c:pt idx="17">
                  <c:v>0.24019347156248674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</c:numCache>
            </c:numRef>
          </c:xVal>
          <c:yVal>
            <c:numRef>
              <c:f>Sheet1!$G$2:$G$28</c:f>
              <c:numCache>
                <c:formatCode>0.00%</c:formatCode>
                <c:ptCount val="27"/>
                <c:pt idx="0">
                  <c:v>5.9999999999999995E-4</c:v>
                </c:pt>
                <c:pt idx="1">
                  <c:v>8.9999999999999993E-3</c:v>
                </c:pt>
                <c:pt idx="2">
                  <c:v>-2.1999999999999999E-2</c:v>
                </c:pt>
                <c:pt idx="3" formatCode="0%">
                  <c:v>0</c:v>
                </c:pt>
                <c:pt idx="4">
                  <c:v>7.7999999999999996E-3</c:v>
                </c:pt>
                <c:pt idx="5">
                  <c:v>2.7300000000000001E-2</c:v>
                </c:pt>
                <c:pt idx="6">
                  <c:v>4.19E-2</c:v>
                </c:pt>
                <c:pt idx="7">
                  <c:v>2.4799999999999999E-2</c:v>
                </c:pt>
                <c:pt idx="8">
                  <c:v>-2.3E-2</c:v>
                </c:pt>
                <c:pt idx="9">
                  <c:v>5.9999999999999995E-4</c:v>
                </c:pt>
                <c:pt idx="11">
                  <c:v>-2.4E-2</c:v>
                </c:pt>
                <c:pt idx="12" formatCode="0%">
                  <c:v>0</c:v>
                </c:pt>
                <c:pt idx="13">
                  <c:v>8.3499999999999998E-3</c:v>
                </c:pt>
                <c:pt idx="14">
                  <c:v>4.3700000000000003E-2</c:v>
                </c:pt>
                <c:pt idx="15">
                  <c:v>0.11899999999999999</c:v>
                </c:pt>
                <c:pt idx="16">
                  <c:v>0.16400000000000001</c:v>
                </c:pt>
                <c:pt idx="17">
                  <c:v>0.108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826-4C4B-9A48-52F977E43A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5961136"/>
        <c:axId val="1135944816"/>
      </c:scatterChart>
      <c:valAx>
        <c:axId val="11359611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Govt Procurement as Percentage of Total</a:t>
                </a:r>
                <a:r>
                  <a:rPr lang="en-US" baseline="0"/>
                  <a:t> CDR Market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5944816"/>
        <c:crosses val="autoZero"/>
        <c:crossBetween val="midCat"/>
      </c:valAx>
      <c:valAx>
        <c:axId val="1135944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Percentage Error in  Price</a:t>
                </a:r>
                <a:r>
                  <a:rPr lang="en-US" baseline="0"/>
                  <a:t> of Procurement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59611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28</xdr:row>
      <xdr:rowOff>33337</xdr:rowOff>
    </xdr:from>
    <xdr:to>
      <xdr:col>5</xdr:col>
      <xdr:colOff>323850</xdr:colOff>
      <xdr:row>42</xdr:row>
      <xdr:rowOff>109537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F4667FD-EA57-6D7F-89EF-EB72C3158B4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323850</xdr:colOff>
      <xdr:row>28</xdr:row>
      <xdr:rowOff>33337</xdr:rowOff>
    </xdr:from>
    <xdr:to>
      <xdr:col>13</xdr:col>
      <xdr:colOff>19050</xdr:colOff>
      <xdr:row>42</xdr:row>
      <xdr:rowOff>109537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2666747-893C-8DED-79A2-778C000AB62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19050</xdr:colOff>
      <xdr:row>28</xdr:row>
      <xdr:rowOff>28575</xdr:rowOff>
    </xdr:from>
    <xdr:to>
      <xdr:col>20</xdr:col>
      <xdr:colOff>323850</xdr:colOff>
      <xdr:row>42</xdr:row>
      <xdr:rowOff>104775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B0E0FD68-43CA-4CB2-A0F8-CB9CD47E1B2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37AA0D-F5C4-4357-8465-DF25FED59988}">
  <dimension ref="A1:H28"/>
  <sheetViews>
    <sheetView tabSelected="1" workbookViewId="0">
      <selection activeCell="M16" sqref="M16"/>
    </sheetView>
  </sheetViews>
  <sheetFormatPr defaultRowHeight="15" x14ac:dyDescent="0.25"/>
  <cols>
    <col min="1" max="1" width="14.7109375" bestFit="1" customWidth="1"/>
    <col min="2" max="2" width="8.5703125" bestFit="1" customWidth="1"/>
    <col min="3" max="3" width="5" bestFit="1" customWidth="1"/>
    <col min="4" max="4" width="17.28515625" bestFit="1" customWidth="1"/>
    <col min="5" max="5" width="28.140625" bestFit="1" customWidth="1"/>
  </cols>
  <sheetData>
    <row r="1" spans="1:8" x14ac:dyDescent="0.25">
      <c r="A1" t="s">
        <v>0</v>
      </c>
      <c r="B1" t="s">
        <v>2</v>
      </c>
      <c r="C1" t="s">
        <v>1</v>
      </c>
      <c r="E1" t="s">
        <v>4</v>
      </c>
      <c r="F1" t="s">
        <v>5</v>
      </c>
      <c r="G1" t="s">
        <v>3</v>
      </c>
      <c r="H1" t="s">
        <v>10</v>
      </c>
    </row>
    <row r="2" spans="1:8" x14ac:dyDescent="0.25">
      <c r="A2" t="s">
        <v>7</v>
      </c>
      <c r="B2" t="s">
        <v>6</v>
      </c>
      <c r="C2">
        <v>2025</v>
      </c>
      <c r="E2" s="3">
        <f>(F2-H2)/F2</f>
        <v>0.40404640545139786</v>
      </c>
      <c r="F2">
        <v>22.652770490000002</v>
      </c>
      <c r="G2" s="1">
        <v>5.9999999999999995E-4</v>
      </c>
      <c r="H2">
        <v>13.5</v>
      </c>
    </row>
    <row r="3" spans="1:8" x14ac:dyDescent="0.25">
      <c r="A3" t="s">
        <v>7</v>
      </c>
      <c r="B3" t="s">
        <v>6</v>
      </c>
      <c r="C3">
        <v>2030</v>
      </c>
      <c r="E3" s="3">
        <f t="shared" ref="E3:E28" si="0">(F3-H3)/F3</f>
        <v>0.2857675459404056</v>
      </c>
      <c r="F3">
        <v>38.92435596</v>
      </c>
      <c r="G3" s="1">
        <v>8.9999999999999993E-3</v>
      </c>
      <c r="H3">
        <v>27.80103828</v>
      </c>
    </row>
    <row r="4" spans="1:8" x14ac:dyDescent="0.25">
      <c r="A4" t="s">
        <v>7</v>
      </c>
      <c r="B4" t="s">
        <v>6</v>
      </c>
      <c r="C4">
        <v>2035</v>
      </c>
      <c r="E4" s="3">
        <f t="shared" si="0"/>
        <v>0.20595755623739934</v>
      </c>
      <c r="F4">
        <v>72.101540779999993</v>
      </c>
      <c r="G4" s="1">
        <v>-2.1999999999999999E-2</v>
      </c>
      <c r="H4">
        <v>57.251683640000003</v>
      </c>
    </row>
    <row r="5" spans="1:8" x14ac:dyDescent="0.25">
      <c r="A5" t="s">
        <v>8</v>
      </c>
      <c r="B5" t="s">
        <v>6</v>
      </c>
      <c r="C5">
        <v>2025</v>
      </c>
      <c r="E5" s="3">
        <f t="shared" si="0"/>
        <v>0</v>
      </c>
      <c r="F5">
        <v>13.5</v>
      </c>
      <c r="G5" s="2">
        <v>0</v>
      </c>
      <c r="H5">
        <v>13.5</v>
      </c>
    </row>
    <row r="6" spans="1:8" x14ac:dyDescent="0.25">
      <c r="A6" t="s">
        <v>8</v>
      </c>
      <c r="B6" t="s">
        <v>6</v>
      </c>
      <c r="C6">
        <v>2030</v>
      </c>
      <c r="E6" s="3">
        <f t="shared" si="0"/>
        <v>0.7080185525392716</v>
      </c>
      <c r="F6">
        <v>95.2150848</v>
      </c>
      <c r="G6" s="1">
        <v>7.7999999999999996E-3</v>
      </c>
      <c r="H6">
        <v>27.80103828</v>
      </c>
    </row>
    <row r="7" spans="1:8" x14ac:dyDescent="0.25">
      <c r="A7" t="s">
        <v>8</v>
      </c>
      <c r="B7" t="s">
        <v>6</v>
      </c>
      <c r="C7">
        <v>2035</v>
      </c>
      <c r="E7" s="3">
        <f t="shared" si="0"/>
        <v>0.73340331201342146</v>
      </c>
      <c r="F7">
        <v>214.75016840000001</v>
      </c>
      <c r="G7" s="1">
        <v>2.7300000000000001E-2</v>
      </c>
      <c r="H7">
        <v>57.251683640000003</v>
      </c>
    </row>
    <row r="8" spans="1:8" x14ac:dyDescent="0.25">
      <c r="A8" t="s">
        <v>8</v>
      </c>
      <c r="B8" t="s">
        <v>6</v>
      </c>
      <c r="C8">
        <v>2040</v>
      </c>
      <c r="E8" s="3">
        <f t="shared" si="0"/>
        <v>0.67337701001551531</v>
      </c>
      <c r="F8">
        <v>360.96804700000001</v>
      </c>
      <c r="G8" s="1">
        <v>4.19E-2</v>
      </c>
      <c r="H8">
        <v>117.9004628</v>
      </c>
    </row>
    <row r="9" spans="1:8" x14ac:dyDescent="0.25">
      <c r="A9" t="s">
        <v>8</v>
      </c>
      <c r="B9" t="s">
        <v>6</v>
      </c>
      <c r="C9">
        <v>2045</v>
      </c>
      <c r="E9" s="3">
        <f t="shared" si="0"/>
        <v>0.61044819596631716</v>
      </c>
      <c r="F9">
        <v>623.27188550000005</v>
      </c>
      <c r="G9" s="1">
        <v>2.4799999999999999E-2</v>
      </c>
      <c r="H9">
        <v>242.7966874</v>
      </c>
    </row>
    <row r="10" spans="1:8" x14ac:dyDescent="0.25">
      <c r="A10" t="s">
        <v>8</v>
      </c>
      <c r="B10" t="s">
        <v>6</v>
      </c>
      <c r="C10">
        <v>2050</v>
      </c>
      <c r="E10" s="3">
        <f t="shared" si="0"/>
        <v>0.48675139825969232</v>
      </c>
      <c r="F10">
        <v>974.18677479999997</v>
      </c>
      <c r="G10" s="1">
        <v>-2.3E-2</v>
      </c>
      <c r="H10">
        <v>500</v>
      </c>
    </row>
    <row r="11" spans="1:8" x14ac:dyDescent="0.25">
      <c r="A11" t="s">
        <v>7</v>
      </c>
      <c r="B11" t="s">
        <v>9</v>
      </c>
      <c r="C11">
        <v>2025</v>
      </c>
      <c r="E11" s="3">
        <f t="shared" si="0"/>
        <v>0.40404640545139786</v>
      </c>
      <c r="F11">
        <v>22.652770490000002</v>
      </c>
      <c r="G11" s="1">
        <v>5.9999999999999995E-4</v>
      </c>
      <c r="H11">
        <v>13.5</v>
      </c>
    </row>
    <row r="12" spans="1:8" x14ac:dyDescent="0.25">
      <c r="A12" t="s">
        <v>7</v>
      </c>
      <c r="B12" t="s">
        <v>9</v>
      </c>
      <c r="C12">
        <v>2030</v>
      </c>
      <c r="E12" s="3">
        <f t="shared" si="0"/>
        <v>0.24310111030084311</v>
      </c>
      <c r="F12">
        <v>45.75593121</v>
      </c>
      <c r="H12">
        <v>34.63261353</v>
      </c>
    </row>
    <row r="13" spans="1:8" x14ac:dyDescent="0.25">
      <c r="A13" t="s">
        <v>7</v>
      </c>
      <c r="B13" t="s">
        <v>9</v>
      </c>
      <c r="C13">
        <v>2035</v>
      </c>
      <c r="E13" s="3">
        <f t="shared" si="0"/>
        <v>0.14320620148801064</v>
      </c>
      <c r="F13">
        <v>103.695629</v>
      </c>
      <c r="G13" s="1">
        <v>-2.4E-2</v>
      </c>
      <c r="H13">
        <v>88.845771859999999</v>
      </c>
    </row>
    <row r="14" spans="1:8" x14ac:dyDescent="0.25">
      <c r="A14" t="s">
        <v>8</v>
      </c>
      <c r="B14" t="s">
        <v>9</v>
      </c>
      <c r="C14">
        <v>2025</v>
      </c>
      <c r="E14" s="3">
        <f t="shared" si="0"/>
        <v>0</v>
      </c>
      <c r="F14">
        <v>13.5</v>
      </c>
      <c r="G14" s="2">
        <v>0</v>
      </c>
      <c r="H14">
        <v>13.5</v>
      </c>
    </row>
    <row r="15" spans="1:8" x14ac:dyDescent="0.25">
      <c r="A15" t="s">
        <v>8</v>
      </c>
      <c r="B15" t="s">
        <v>9</v>
      </c>
      <c r="C15">
        <v>2030</v>
      </c>
      <c r="E15" s="3">
        <f t="shared" si="0"/>
        <v>0.66061982302997468</v>
      </c>
      <c r="F15">
        <v>102.04666</v>
      </c>
      <c r="G15" s="1">
        <v>8.3499999999999998E-3</v>
      </c>
      <c r="H15">
        <v>34.63261353</v>
      </c>
    </row>
    <row r="16" spans="1:8" x14ac:dyDescent="0.25">
      <c r="A16" t="s">
        <v>8</v>
      </c>
      <c r="B16" t="s">
        <v>9</v>
      </c>
      <c r="C16">
        <v>2035</v>
      </c>
      <c r="E16" s="3">
        <f t="shared" si="0"/>
        <v>0.63934303543273963</v>
      </c>
      <c r="F16">
        <v>246.34425669999999</v>
      </c>
      <c r="G16" s="1">
        <v>4.3700000000000003E-2</v>
      </c>
      <c r="H16">
        <v>88.845771859999999</v>
      </c>
    </row>
    <row r="17" spans="1:8" x14ac:dyDescent="0.25">
      <c r="A17" t="s">
        <v>8</v>
      </c>
      <c r="B17" t="s">
        <v>9</v>
      </c>
      <c r="C17">
        <v>2040</v>
      </c>
      <c r="E17" s="3">
        <f t="shared" si="0"/>
        <v>0.51607731125237999</v>
      </c>
      <c r="F17">
        <v>470.9906421</v>
      </c>
      <c r="G17" s="1">
        <v>0.11899999999999999</v>
      </c>
      <c r="H17">
        <v>227.9230579</v>
      </c>
    </row>
    <row r="18" spans="1:8" x14ac:dyDescent="0.25">
      <c r="A18" t="s">
        <v>8</v>
      </c>
      <c r="B18" t="s">
        <v>9</v>
      </c>
      <c r="C18">
        <v>2045</v>
      </c>
      <c r="E18" s="3">
        <f t="shared" si="0"/>
        <v>0.39419958208013484</v>
      </c>
      <c r="F18">
        <v>965.18417420000003</v>
      </c>
      <c r="G18" s="1">
        <v>0.16400000000000001</v>
      </c>
      <c r="H18">
        <v>584.70897609999997</v>
      </c>
    </row>
    <row r="19" spans="1:8" x14ac:dyDescent="0.25">
      <c r="A19" t="s">
        <v>8</v>
      </c>
      <c r="B19" t="s">
        <v>9</v>
      </c>
      <c r="C19">
        <v>2050</v>
      </c>
      <c r="E19" s="3">
        <f t="shared" si="0"/>
        <v>0.24019347156248674</v>
      </c>
      <c r="F19">
        <v>1974.1867749999999</v>
      </c>
      <c r="G19" s="1">
        <v>0.108</v>
      </c>
      <c r="H19">
        <v>1500</v>
      </c>
    </row>
    <row r="20" spans="1:8" x14ac:dyDescent="0.25">
      <c r="A20" t="s">
        <v>7</v>
      </c>
      <c r="B20" t="s">
        <v>11</v>
      </c>
      <c r="C20">
        <v>2025</v>
      </c>
      <c r="E20" s="3" t="e">
        <f t="shared" si="0"/>
        <v>#DIV/0!</v>
      </c>
      <c r="H20">
        <v>13.5</v>
      </c>
    </row>
    <row r="21" spans="1:8" x14ac:dyDescent="0.25">
      <c r="A21" t="s">
        <v>7</v>
      </c>
      <c r="B21" t="s">
        <v>11</v>
      </c>
      <c r="C21">
        <v>2030</v>
      </c>
      <c r="E21" s="3" t="e">
        <f t="shared" si="0"/>
        <v>#DIV/0!</v>
      </c>
      <c r="H21">
        <v>20.149627169999999</v>
      </c>
    </row>
    <row r="22" spans="1:8" x14ac:dyDescent="0.25">
      <c r="A22" t="s">
        <v>7</v>
      </c>
      <c r="B22" t="s">
        <v>11</v>
      </c>
      <c r="C22">
        <v>2035</v>
      </c>
      <c r="E22" s="3" t="e">
        <f t="shared" si="0"/>
        <v>#DIV/0!</v>
      </c>
      <c r="H22">
        <v>30.074627790000001</v>
      </c>
    </row>
    <row r="23" spans="1:8" x14ac:dyDescent="0.25">
      <c r="A23" t="s">
        <v>8</v>
      </c>
      <c r="B23" t="s">
        <v>11</v>
      </c>
      <c r="C23">
        <v>2025</v>
      </c>
      <c r="E23" s="3" t="e">
        <f t="shared" si="0"/>
        <v>#DIV/0!</v>
      </c>
      <c r="H23">
        <v>13.5</v>
      </c>
    </row>
    <row r="24" spans="1:8" x14ac:dyDescent="0.25">
      <c r="A24" t="s">
        <v>8</v>
      </c>
      <c r="B24" t="s">
        <v>11</v>
      </c>
      <c r="C24">
        <v>2030</v>
      </c>
      <c r="E24" s="3" t="e">
        <f t="shared" si="0"/>
        <v>#DIV/0!</v>
      </c>
      <c r="H24">
        <v>20.149627169999999</v>
      </c>
    </row>
    <row r="25" spans="1:8" x14ac:dyDescent="0.25">
      <c r="A25" t="s">
        <v>8</v>
      </c>
      <c r="B25" t="s">
        <v>11</v>
      </c>
      <c r="C25">
        <v>2035</v>
      </c>
      <c r="E25" s="3" t="e">
        <f t="shared" si="0"/>
        <v>#DIV/0!</v>
      </c>
      <c r="H25">
        <v>30.074627790000001</v>
      </c>
    </row>
    <row r="26" spans="1:8" x14ac:dyDescent="0.25">
      <c r="A26" t="s">
        <v>8</v>
      </c>
      <c r="B26" t="s">
        <v>11</v>
      </c>
      <c r="C26">
        <v>2040</v>
      </c>
      <c r="E26" s="3" t="e">
        <f t="shared" si="0"/>
        <v>#DIV/0!</v>
      </c>
      <c r="H26">
        <v>44.888336090000003</v>
      </c>
    </row>
    <row r="27" spans="1:8" x14ac:dyDescent="0.25">
      <c r="A27" t="s">
        <v>8</v>
      </c>
      <c r="B27" t="s">
        <v>11</v>
      </c>
      <c r="C27">
        <v>2045</v>
      </c>
      <c r="E27" s="3" t="e">
        <f t="shared" si="0"/>
        <v>#DIV/0!</v>
      </c>
      <c r="H27">
        <v>66.998758269999996</v>
      </c>
    </row>
    <row r="28" spans="1:8" x14ac:dyDescent="0.25">
      <c r="A28" t="s">
        <v>8</v>
      </c>
      <c r="B28" t="s">
        <v>11</v>
      </c>
      <c r="C28">
        <v>2050</v>
      </c>
      <c r="E28" s="3" t="e">
        <f t="shared" si="0"/>
        <v>#DIV/0!</v>
      </c>
      <c r="H28">
        <v>100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Nathan Preuss</dc:creator>
  <cp:lastModifiedBy>Nathan Preuss</cp:lastModifiedBy>
  <dcterms:created xsi:type="dcterms:W3CDTF">2025-09-03T19:09:24Z</dcterms:created>
  <dcterms:modified xsi:type="dcterms:W3CDTF">2025-10-22T14:13:54Z</dcterms:modified>
</cp:coreProperties>
</file>