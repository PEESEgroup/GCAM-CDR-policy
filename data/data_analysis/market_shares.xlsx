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tha\PycharmProjects\GCAM-CDR-policy\data\data_analysis\"/>
    </mc:Choice>
  </mc:AlternateContent>
  <xr:revisionPtr revIDLastSave="0" documentId="13_ncr:1_{DF78505C-FDCF-494F-B09D-8BB839F68B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pply" sheetId="1" r:id="rId1"/>
    <sheet name="Price" sheetId="2" r:id="rId2"/>
  </sheets>
  <definedNames>
    <definedName name="_xlnm._FilterDatabase" localSheetId="1" hidden="1">Price!$AC$17:$AD$17</definedName>
    <definedName name="_xlchart.v1.0" hidden="1">Price!$A$3:$A$172</definedName>
    <definedName name="_xlchart.v1.1" hidden="1">Price!$B$2</definedName>
    <definedName name="_xlchart.v1.10" hidden="1">Price!$F$3:$F$172</definedName>
    <definedName name="_xlchart.v1.11" hidden="1">Price!$G$2</definedName>
    <definedName name="_xlchart.v1.12" hidden="1">Price!$G$3:$G$172</definedName>
    <definedName name="_xlchart.v1.13" hidden="1">Price!$H$2</definedName>
    <definedName name="_xlchart.v1.14" hidden="1">Price!$H$3:$H$172</definedName>
    <definedName name="_xlchart.v1.2" hidden="1">Price!$B$3:$B$172</definedName>
    <definedName name="_xlchart.v1.3" hidden="1">Price!$C$2</definedName>
    <definedName name="_xlchart.v1.4" hidden="1">Price!$C$3:$C$172</definedName>
    <definedName name="_xlchart.v1.5" hidden="1">Price!$D$2</definedName>
    <definedName name="_xlchart.v1.6" hidden="1">Price!$D$3:$D$172</definedName>
    <definedName name="_xlchart.v1.7" hidden="1">Price!$E$2</definedName>
    <definedName name="_xlchart.v1.8" hidden="1">Price!$E$3:$E$172</definedName>
    <definedName name="_xlchart.v1.9" hidden="1">Price!$F$2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N8" i="1"/>
  <c r="M8" i="1"/>
</calcChain>
</file>

<file path=xl/sharedStrings.xml><?xml version="1.0" encoding="utf-8"?>
<sst xmlns="http://schemas.openxmlformats.org/spreadsheetml/2006/main" count="237" uniqueCount="27">
  <si>
    <t>Scenario</t>
  </si>
  <si>
    <t>BECCS</t>
  </si>
  <si>
    <t>DAC</t>
  </si>
  <si>
    <t>OEW</t>
  </si>
  <si>
    <t>TEW</t>
  </si>
  <si>
    <t>Nothing Baseline</t>
  </si>
  <si>
    <t>Low Baseline</t>
  </si>
  <si>
    <t>R2R Report</t>
  </si>
  <si>
    <t>High Baseline</t>
  </si>
  <si>
    <t>Policy Integrity</t>
  </si>
  <si>
    <t>Excess Baseline</t>
  </si>
  <si>
    <t>Mt CDR</t>
  </si>
  <si>
    <t>Percentages</t>
  </si>
  <si>
    <t>Paper - R2R figure 6-31, fermentation and liquid fuels techs (not price survey)</t>
  </si>
  <si>
    <t>Paper (min, mean, max for all states in figure c)</t>
  </si>
  <si>
    <t>Paper (low, high)</t>
  </si>
  <si>
    <t>Tech</t>
  </si>
  <si>
    <t>Reference Location</t>
  </si>
  <si>
    <t>Paper (low, best guesses without shipping emissions, high)</t>
  </si>
  <si>
    <t>4Gt Baseline</t>
  </si>
  <si>
    <t>Carbon Negative Shot</t>
  </si>
  <si>
    <t>Literature</t>
  </si>
  <si>
    <t>100 Mt Baseline</t>
  </si>
  <si>
    <t>500 Mt Baseline</t>
  </si>
  <si>
    <t>1500 Mt Baseline</t>
  </si>
  <si>
    <t>2400 Mt Baseline</t>
  </si>
  <si>
    <t>4100 Mt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</si>
</sst>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536"/>
      <color rgb="FF486800"/>
      <color rgb="FF93D500"/>
      <color rgb="FF2063AC"/>
      <color rgb="FF8AB7E9"/>
      <color rgb="FF004639"/>
      <color rgb="FF00AE8D"/>
      <color rgb="FF5F1546"/>
      <color rgb="FFC22A90"/>
      <color rgb="FF005B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403517795112316E-2"/>
          <c:y val="4.6031258447789131E-2"/>
          <c:w val="0.78103166342154351"/>
          <c:h val="0.7312749343792417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Supply!$M$2</c:f>
              <c:strCache>
                <c:ptCount val="1"/>
                <c:pt idx="0">
                  <c:v>BECCS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Supply!$K$3:$K$9</c:f>
              <c:strCache>
                <c:ptCount val="7"/>
                <c:pt idx="0">
                  <c:v>100 Mt Baseline</c:v>
                </c:pt>
                <c:pt idx="1">
                  <c:v>500 Mt Baseline</c:v>
                </c:pt>
                <c:pt idx="2">
                  <c:v>R2R Report</c:v>
                </c:pt>
                <c:pt idx="3">
                  <c:v>1500 Mt Baseline</c:v>
                </c:pt>
                <c:pt idx="4">
                  <c:v>2400 Mt Baseline</c:v>
                </c:pt>
                <c:pt idx="5">
                  <c:v>4100 Mt Baseline</c:v>
                </c:pt>
                <c:pt idx="6">
                  <c:v>Policy Integrity</c:v>
                </c:pt>
              </c:strCache>
            </c:strRef>
          </c:cat>
          <c:val>
            <c:numRef>
              <c:f>Supply!$M$3:$M$9</c:f>
              <c:numCache>
                <c:formatCode>General</c:formatCode>
                <c:ptCount val="7"/>
                <c:pt idx="0">
                  <c:v>0</c:v>
                </c:pt>
                <c:pt idx="1">
                  <c:v>41.392780804976702</c:v>
                </c:pt>
                <c:pt idx="2">
                  <c:v>71</c:v>
                </c:pt>
                <c:pt idx="3">
                  <c:v>23.252870109609599</c:v>
                </c:pt>
                <c:pt idx="4">
                  <c:v>13.971358556094</c:v>
                </c:pt>
                <c:pt idx="5">
                  <c:v>0</c:v>
                </c:pt>
                <c:pt idx="6">
                  <c:v>33.333333333333336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7-4375-9937-EF54F0C712F8}"/>
            </c:ext>
          </c:extLst>
        </c:ser>
        <c:ser>
          <c:idx val="2"/>
          <c:order val="2"/>
          <c:tx>
            <c:strRef>
              <c:f>Supply!$N$2</c:f>
              <c:strCache>
                <c:ptCount val="1"/>
                <c:pt idx="0">
                  <c:v>DAC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Supply!$K$3:$K$9</c:f>
              <c:strCache>
                <c:ptCount val="7"/>
                <c:pt idx="0">
                  <c:v>100 Mt Baseline</c:v>
                </c:pt>
                <c:pt idx="1">
                  <c:v>500 Mt Baseline</c:v>
                </c:pt>
                <c:pt idx="2">
                  <c:v>R2R Report</c:v>
                </c:pt>
                <c:pt idx="3">
                  <c:v>1500 Mt Baseline</c:v>
                </c:pt>
                <c:pt idx="4">
                  <c:v>2400 Mt Baseline</c:v>
                </c:pt>
                <c:pt idx="5">
                  <c:v>4100 Mt Baseline</c:v>
                </c:pt>
                <c:pt idx="6">
                  <c:v>Policy Integrity</c:v>
                </c:pt>
              </c:strCache>
            </c:strRef>
          </c:cat>
          <c:val>
            <c:numRef>
              <c:f>Supply!$N$3:$N$9</c:f>
              <c:numCache>
                <c:formatCode>General</c:formatCode>
                <c:ptCount val="7"/>
                <c:pt idx="0">
                  <c:v>16.05792107972</c:v>
                </c:pt>
                <c:pt idx="1">
                  <c:v>10.001446111260799</c:v>
                </c:pt>
                <c:pt idx="2">
                  <c:v>29</c:v>
                </c:pt>
                <c:pt idx="3">
                  <c:v>15.3136863885011</c:v>
                </c:pt>
                <c:pt idx="4">
                  <c:v>20.2156017331953</c:v>
                </c:pt>
                <c:pt idx="5">
                  <c:v>36.896675146341458</c:v>
                </c:pt>
                <c:pt idx="6">
                  <c:v>28.39506172839506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27-4375-9937-EF54F0C712F8}"/>
            </c:ext>
          </c:extLst>
        </c:ser>
        <c:ser>
          <c:idx val="3"/>
          <c:order val="3"/>
          <c:tx>
            <c:strRef>
              <c:f>Supply!$O$2</c:f>
              <c:strCache>
                <c:ptCount val="1"/>
                <c:pt idx="0">
                  <c:v>OEW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Supply!$K$3:$K$9</c:f>
              <c:strCache>
                <c:ptCount val="7"/>
                <c:pt idx="0">
                  <c:v>100 Mt Baseline</c:v>
                </c:pt>
                <c:pt idx="1">
                  <c:v>500 Mt Baseline</c:v>
                </c:pt>
                <c:pt idx="2">
                  <c:v>R2R Report</c:v>
                </c:pt>
                <c:pt idx="3">
                  <c:v>1500 Mt Baseline</c:v>
                </c:pt>
                <c:pt idx="4">
                  <c:v>2400 Mt Baseline</c:v>
                </c:pt>
                <c:pt idx="5">
                  <c:v>4100 Mt Baseline</c:v>
                </c:pt>
                <c:pt idx="6">
                  <c:v>Policy Integrity</c:v>
                </c:pt>
              </c:strCache>
            </c:strRef>
          </c:cat>
          <c:val>
            <c:numRef>
              <c:f>Supply!$O$3:$O$9</c:f>
              <c:numCache>
                <c:formatCode>General</c:formatCode>
                <c:ptCount val="7"/>
                <c:pt idx="0">
                  <c:v>18.7566878367989</c:v>
                </c:pt>
                <c:pt idx="1">
                  <c:v>13.017061152797201</c:v>
                </c:pt>
                <c:pt idx="2">
                  <c:v>0</c:v>
                </c:pt>
                <c:pt idx="3">
                  <c:v>23.006893045764301</c:v>
                </c:pt>
                <c:pt idx="4">
                  <c:v>28.493621918617499</c:v>
                </c:pt>
                <c:pt idx="5">
                  <c:v>30.957383796747809</c:v>
                </c:pt>
                <c:pt idx="6">
                  <c:v>18.518518518518519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27-4375-9937-EF54F0C712F8}"/>
            </c:ext>
          </c:extLst>
        </c:ser>
        <c:ser>
          <c:idx val="4"/>
          <c:order val="4"/>
          <c:tx>
            <c:strRef>
              <c:f>Supply!$P$2</c:f>
              <c:strCache>
                <c:ptCount val="1"/>
                <c:pt idx="0">
                  <c:v>TEW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Supply!$K$3:$K$9</c:f>
              <c:strCache>
                <c:ptCount val="7"/>
                <c:pt idx="0">
                  <c:v>100 Mt Baseline</c:v>
                </c:pt>
                <c:pt idx="1">
                  <c:v>500 Mt Baseline</c:v>
                </c:pt>
                <c:pt idx="2">
                  <c:v>R2R Report</c:v>
                </c:pt>
                <c:pt idx="3">
                  <c:v>1500 Mt Baseline</c:v>
                </c:pt>
                <c:pt idx="4">
                  <c:v>2400 Mt Baseline</c:v>
                </c:pt>
                <c:pt idx="5">
                  <c:v>4100 Mt Baseline</c:v>
                </c:pt>
                <c:pt idx="6">
                  <c:v>Policy Integrity</c:v>
                </c:pt>
              </c:strCache>
            </c:strRef>
          </c:cat>
          <c:val>
            <c:numRef>
              <c:f>Supply!$P$3:$P$9</c:f>
              <c:numCache>
                <c:formatCode>General</c:formatCode>
                <c:ptCount val="7"/>
                <c:pt idx="0">
                  <c:v>65.185391083480994</c:v>
                </c:pt>
                <c:pt idx="1">
                  <c:v>35.588711930965097</c:v>
                </c:pt>
                <c:pt idx="2">
                  <c:v>0</c:v>
                </c:pt>
                <c:pt idx="3">
                  <c:v>38.426550456124801</c:v>
                </c:pt>
                <c:pt idx="4">
                  <c:v>37.319417792093098</c:v>
                </c:pt>
                <c:pt idx="5">
                  <c:v>32.145905482926835</c:v>
                </c:pt>
                <c:pt idx="6">
                  <c:v>19.753086419753089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27-4375-9937-EF54F0C71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09867312"/>
        <c:axId val="1409872592"/>
      </c:barChart>
      <c:lineChart>
        <c:grouping val="standard"/>
        <c:varyColors val="0"/>
        <c:ser>
          <c:idx val="0"/>
          <c:order val="0"/>
          <c:tx>
            <c:strRef>
              <c:f>Supply!$L$2</c:f>
              <c:strCache>
                <c:ptCount val="1"/>
                <c:pt idx="0">
                  <c:v>Mt CDR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Supply!$K$3:$K$9</c:f>
              <c:strCache>
                <c:ptCount val="7"/>
                <c:pt idx="0">
                  <c:v>100 Mt Baseline</c:v>
                </c:pt>
                <c:pt idx="1">
                  <c:v>500 Mt Baseline</c:v>
                </c:pt>
                <c:pt idx="2">
                  <c:v>R2R Report</c:v>
                </c:pt>
                <c:pt idx="3">
                  <c:v>1500 Mt Baseline</c:v>
                </c:pt>
                <c:pt idx="4">
                  <c:v>2400 Mt Baseline</c:v>
                </c:pt>
                <c:pt idx="5">
                  <c:v>4100 Mt Baseline</c:v>
                </c:pt>
                <c:pt idx="6">
                  <c:v>Policy Integrity</c:v>
                </c:pt>
              </c:strCache>
            </c:strRef>
          </c:cat>
          <c:val>
            <c:numRef>
              <c:f>Supply!$L$3:$L$9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2400</c:v>
                </c:pt>
                <c:pt idx="5">
                  <c:v>4100</c:v>
                </c:pt>
                <c:pt idx="6">
                  <c:v>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7-4375-9937-EF54F0C71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879312"/>
        <c:axId val="1409878352"/>
      </c:lineChart>
      <c:catAx>
        <c:axId val="1409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872592"/>
        <c:crosses val="autoZero"/>
        <c:auto val="1"/>
        <c:lblAlgn val="ctr"/>
        <c:lblOffset val="100"/>
        <c:noMultiLvlLbl val="0"/>
      </c:catAx>
      <c:valAx>
        <c:axId val="1409872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Market Share (%)</a:t>
                </a:r>
              </a:p>
            </c:rich>
          </c:tx>
          <c:layout>
            <c:manualLayout>
              <c:xMode val="edge"/>
              <c:yMode val="edge"/>
              <c:x val="4.1472265422498704E-3"/>
              <c:y val="0.20906648098340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2">
                <a:lumMod val="1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867312"/>
        <c:crosses val="autoZero"/>
        <c:crossBetween val="between"/>
      </c:valAx>
      <c:valAx>
        <c:axId val="1409878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Market Size</a:t>
                </a:r>
                <a:r>
                  <a:rPr lang="en-US" sz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</a:t>
                </a:r>
                <a:r>
                  <a:rPr lang="en-US" sz="12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Mt</a:t>
                </a:r>
                <a:r>
                  <a:rPr lang="en-US" sz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CDR)</a:t>
                </a:r>
                <a:endParaRPr lang="en-US" sz="120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5893200752705288"/>
              <c:y val="0.16287385090214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bg2">
                <a:lumMod val="1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879312"/>
        <c:crosses val="max"/>
        <c:crossBetween val="between"/>
      </c:valAx>
      <c:catAx>
        <c:axId val="1409879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9878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CDR Market Share in 2050 (Mt CDR)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Supply!$L$16</c:f>
              <c:strCache>
                <c:ptCount val="1"/>
                <c:pt idx="0">
                  <c:v>BECCS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Supply!$K$17:$K$21</c:f>
              <c:strCache>
                <c:ptCount val="5"/>
                <c:pt idx="0">
                  <c:v>Nothing Baseline</c:v>
                </c:pt>
                <c:pt idx="1">
                  <c:v>Low Baseline</c:v>
                </c:pt>
                <c:pt idx="2">
                  <c:v>R2R Report</c:v>
                </c:pt>
                <c:pt idx="3">
                  <c:v>High Baseline</c:v>
                </c:pt>
                <c:pt idx="4">
                  <c:v>Excess Baseline</c:v>
                </c:pt>
              </c:strCache>
            </c:strRef>
          </c:cat>
          <c:val>
            <c:numRef>
              <c:f>Supply!$L$17:$L$21</c:f>
              <c:numCache>
                <c:formatCode>General</c:formatCode>
                <c:ptCount val="5"/>
                <c:pt idx="0">
                  <c:v>0</c:v>
                </c:pt>
                <c:pt idx="1">
                  <c:v>206.888348333333</c:v>
                </c:pt>
                <c:pt idx="2">
                  <c:v>710</c:v>
                </c:pt>
                <c:pt idx="3">
                  <c:v>348.79311866666598</c:v>
                </c:pt>
                <c:pt idx="4">
                  <c:v>335.31257099999999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0-4874-B447-15D422A6B73C}"/>
            </c:ext>
          </c:extLst>
        </c:ser>
        <c:ser>
          <c:idx val="1"/>
          <c:order val="1"/>
          <c:tx>
            <c:strRef>
              <c:f>Supply!$M$16</c:f>
              <c:strCache>
                <c:ptCount val="1"/>
                <c:pt idx="0">
                  <c:v>DAC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Supply!$K$17:$K$21</c:f>
              <c:strCache>
                <c:ptCount val="5"/>
                <c:pt idx="0">
                  <c:v>Nothing Baseline</c:v>
                </c:pt>
                <c:pt idx="1">
                  <c:v>Low Baseline</c:v>
                </c:pt>
                <c:pt idx="2">
                  <c:v>R2R Report</c:v>
                </c:pt>
                <c:pt idx="3">
                  <c:v>High Baseline</c:v>
                </c:pt>
                <c:pt idx="4">
                  <c:v>Excess Baseline</c:v>
                </c:pt>
              </c:strCache>
            </c:strRef>
          </c:cat>
          <c:val>
            <c:numRef>
              <c:f>Supply!$M$17:$M$21</c:f>
              <c:numCache>
                <c:formatCode>General</c:formatCode>
                <c:ptCount val="5"/>
                <c:pt idx="0">
                  <c:v>15.9971258333333</c:v>
                </c:pt>
                <c:pt idx="1">
                  <c:v>49.988974566666599</c:v>
                </c:pt>
                <c:pt idx="2">
                  <c:v>200</c:v>
                </c:pt>
                <c:pt idx="3">
                  <c:v>229.705339966666</c:v>
                </c:pt>
                <c:pt idx="4">
                  <c:v>485.17439189999999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0-4874-B447-15D422A6B73C}"/>
            </c:ext>
          </c:extLst>
        </c:ser>
        <c:ser>
          <c:idx val="2"/>
          <c:order val="2"/>
          <c:tx>
            <c:strRef>
              <c:f>Supply!$N$16</c:f>
              <c:strCache>
                <c:ptCount val="1"/>
                <c:pt idx="0">
                  <c:v>OEW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Supply!$K$17:$K$21</c:f>
              <c:strCache>
                <c:ptCount val="5"/>
                <c:pt idx="0">
                  <c:v>Nothing Baseline</c:v>
                </c:pt>
                <c:pt idx="1">
                  <c:v>Low Baseline</c:v>
                </c:pt>
                <c:pt idx="2">
                  <c:v>R2R Report</c:v>
                </c:pt>
                <c:pt idx="3">
                  <c:v>High Baseline</c:v>
                </c:pt>
                <c:pt idx="4">
                  <c:v>Excess Baseline</c:v>
                </c:pt>
              </c:strCache>
            </c:strRef>
          </c:cat>
          <c:val>
            <c:numRef>
              <c:f>Supply!$N$17:$N$21</c:f>
              <c:numCache>
                <c:formatCode>General</c:formatCode>
                <c:ptCount val="5"/>
                <c:pt idx="0">
                  <c:v>18.685675066666601</c:v>
                </c:pt>
                <c:pt idx="1">
                  <c:v>65.061545266666599</c:v>
                </c:pt>
                <c:pt idx="2">
                  <c:v>0</c:v>
                </c:pt>
                <c:pt idx="3">
                  <c:v>345.10346199999998</c:v>
                </c:pt>
                <c:pt idx="4">
                  <c:v>683.846856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0-4874-B447-15D422A6B73C}"/>
            </c:ext>
          </c:extLst>
        </c:ser>
        <c:ser>
          <c:idx val="3"/>
          <c:order val="3"/>
          <c:tx>
            <c:strRef>
              <c:f>Supply!$O$16</c:f>
              <c:strCache>
                <c:ptCount val="1"/>
                <c:pt idx="0">
                  <c:v>TEW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Supply!$K$17:$K$21</c:f>
              <c:strCache>
                <c:ptCount val="5"/>
                <c:pt idx="0">
                  <c:v>Nothing Baseline</c:v>
                </c:pt>
                <c:pt idx="1">
                  <c:v>Low Baseline</c:v>
                </c:pt>
                <c:pt idx="2">
                  <c:v>R2R Report</c:v>
                </c:pt>
                <c:pt idx="3">
                  <c:v>High Baseline</c:v>
                </c:pt>
                <c:pt idx="4">
                  <c:v>Excess Baseline</c:v>
                </c:pt>
              </c:strCache>
            </c:strRef>
          </c:cat>
          <c:val>
            <c:numRef>
              <c:f>Supply!$O$17:$O$21</c:f>
              <c:numCache>
                <c:formatCode>General</c:formatCode>
                <c:ptCount val="5"/>
                <c:pt idx="0">
                  <c:v>64.938599366666594</c:v>
                </c:pt>
                <c:pt idx="1">
                  <c:v>177.878598333333</c:v>
                </c:pt>
                <c:pt idx="2">
                  <c:v>0</c:v>
                </c:pt>
                <c:pt idx="3">
                  <c:v>576.39836760000003</c:v>
                </c:pt>
                <c:pt idx="4">
                  <c:v>895.665935266666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0-4874-B447-15D422A6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884592"/>
        <c:axId val="1409885072"/>
      </c:lineChart>
      <c:catAx>
        <c:axId val="140988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85072"/>
        <c:crosses val="autoZero"/>
        <c:auto val="1"/>
        <c:lblAlgn val="ctr"/>
        <c:lblOffset val="100"/>
        <c:noMultiLvlLbl val="0"/>
      </c:catAx>
      <c:valAx>
        <c:axId val="14098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CDR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8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  <cx:data id="6">
      <cx:strDim type="cat">
        <cx:f>_xlchart.v1.0</cx:f>
      </cx:strDim>
      <cx:numDim type="val">
        <cx:f>_xlchart.v1.14</cx:f>
      </cx:numDim>
    </cx:data>
  </cx:chartData>
  <cx:chart>
    <cx:plotArea>
      <cx:plotAreaRegion>
        <cx:series layoutId="boxWhisker" uniqueId="{8F9FA29F-053B-4A4E-A7C6-524B25B26F3B}">
          <cx:tx>
            <cx:txData>
              <cx:f>_xlchart.v1.1</cx:f>
              <cx:v>100 Mt Baseline</cx:v>
            </cx:txData>
          </cx:tx>
          <cx:spPr>
            <a:solidFill>
              <a:srgbClr val="0047BB"/>
            </a:solidFill>
            <a:ln>
              <a:solidFill>
                <a:srgbClr val="001536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B4827AC7-5C07-4D68-8B5F-B643BD9607F9}">
          <cx:tx>
            <cx:txData>
              <cx:f>_xlchart.v1.3</cx:f>
              <cx:v>500 Mt Baseline</cx:v>
            </cx:txData>
          </cx:tx>
          <cx:spPr>
            <a:solidFill>
              <a:srgbClr val="00B5E2"/>
            </a:solidFill>
            <a:ln>
              <a:solidFill>
                <a:srgbClr val="005B70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C06A787C-1F9D-43E7-B3D3-8CD5F331E828}">
          <cx:tx>
            <cx:txData>
              <cx:f>_xlchart.v1.5</cx:f>
              <cx:v>1500 Mt Baseline</cx:v>
            </cx:txData>
          </cx:tx>
          <cx:spPr>
            <a:solidFill>
              <a:srgbClr val="C22A90"/>
            </a:solidFill>
            <a:ln>
              <a:solidFill>
                <a:srgbClr val="5F1546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337FC7EB-A405-4DD2-ACD3-3E34BB4A2AB4}">
          <cx:tx>
            <cx:txData>
              <cx:f>_xlchart.v1.7</cx:f>
              <cx:v>2400 Mt Baseline</cx:v>
            </cx:txData>
          </cx:tx>
          <cx:spPr>
            <a:solidFill>
              <a:srgbClr val="00AE8D"/>
            </a:solidFill>
            <a:ln>
              <a:solidFill>
                <a:srgbClr val="004639"/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D85D0C98-3F13-4665-BB79-A6B4C4DD8638}">
          <cx:tx>
            <cx:txData>
              <cx:f>_xlchart.v1.9</cx:f>
              <cx:v>4100 Mt Baseline</cx:v>
            </cx:txData>
          </cx:tx>
          <cx:spPr>
            <a:solidFill>
              <a:srgbClr val="8AB7E9"/>
            </a:solidFill>
            <a:ln>
              <a:solidFill>
                <a:srgbClr val="2063AC"/>
              </a:solidFill>
            </a:ln>
          </cx:spPr>
          <cx:dataId val="4"/>
          <cx:layoutPr>
            <cx:statistics quartileMethod="exclusive"/>
          </cx:layoutPr>
        </cx:series>
        <cx:series layoutId="boxWhisker" uniqueId="{D5E03902-5249-4B72-9950-2C88F6AFE025}">
          <cx:tx>
            <cx:txData>
              <cx:f>_xlchart.v1.11</cx:f>
              <cx:v>Literature</cx:v>
            </cx:txData>
          </cx:tx>
          <cx:spPr>
            <a:solidFill>
              <a:srgbClr val="93D500"/>
            </a:solidFill>
            <a:ln>
              <a:solidFill>
                <a:srgbClr val="486800"/>
              </a:solidFill>
            </a:ln>
          </cx:spPr>
          <cx:dataId val="5"/>
          <cx:layoutPr>
            <cx:statistics quartileMethod="exclusive"/>
          </cx:layoutPr>
        </cx:series>
        <cx:series layoutId="boxWhisker" uniqueId="{A2560E12-DAF8-43A2-9E0D-66529237389D}">
          <cx:tx>
            <cx:txData>
              <cx:f>_xlchart.v1.13</cx:f>
              <cx:v>Carbon Negative Shot</cx:v>
            </cx:txData>
          </cx:tx>
          <cx:spPr>
            <a:solidFill>
              <a:srgbClr val="001536"/>
            </a:solidFill>
            <a:ln>
              <a:solidFill>
                <a:srgbClr val="001536"/>
              </a:solidFill>
            </a:ln>
          </cx:spPr>
          <cx:dataId val="6"/>
          <cx:layoutPr>
            <cx:statistics quartileMethod="exclusive"/>
          </cx:layoutPr>
        </cx:series>
      </cx:plotAreaRegion>
      <cx:axis id="0">
        <cx:catScaling gapWidth="0.300000012"/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200" b="0" i="0" u="none" strike="noStrike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750" min="5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400" b="0" i="0" u="none" strike="noStrike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CDR Credit Price (USD/t CDR)</a:t>
                </a:r>
                <a:endParaRPr lang="en-US" sz="900" b="0" i="0" u="none" strike="noStrike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85000"/>
                </a:schemeClr>
              </a:solidFill>
            </a:ln>
          </cx:spPr>
        </cx:majorGridlines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50" b="0" i="0" u="none" strike="noStrike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1100" b="0" i="0" u="none" strike="noStrike" baseline="0">
            <a:solidFill>
              <a:schemeClr val="bg2">
                <a:lumMod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590549</xdr:colOff>
      <xdr:row>1</xdr:row>
      <xdr:rowOff>4761</xdr:rowOff>
    </xdr:from>
    <xdr:to>
      <xdr:col>27</xdr:col>
      <xdr:colOff>9524</xdr:colOff>
      <xdr:row>17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B8F2F-1B9B-2021-37B4-00B3FC2AF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590549</xdr:colOff>
      <xdr:row>17</xdr:row>
      <xdr:rowOff>109537</xdr:rowOff>
    </xdr:from>
    <xdr:to>
      <xdr:col>27</xdr:col>
      <xdr:colOff>9524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91187-EF4D-D974-F729-A9E78E31A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257174</xdr:colOff>
      <xdr:row>11</xdr:row>
      <xdr:rowOff>166686</xdr:rowOff>
    </xdr:from>
    <xdr:to>
      <xdr:col>24</xdr:col>
      <xdr:colOff>171449</xdr:colOff>
      <xdr:row>34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0EBA074-D35E-F255-BF6C-5C36714E55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3974" y="2262186"/>
              <a:ext cx="9667875" cy="4329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BFBE43"/>
      </a:accent1>
      <a:accent2>
        <a:srgbClr val="74A751"/>
      </a:accent2>
      <a:accent3>
        <a:srgbClr val="698FC6"/>
      </a:accent3>
      <a:accent4>
        <a:srgbClr val="DD9452"/>
      </a:accent4>
      <a:accent5>
        <a:srgbClr val="C16861"/>
      </a:accent5>
      <a:accent6>
        <a:srgbClr val="A577A8"/>
      </a:accent6>
      <a:hlink>
        <a:srgbClr val="72B1B4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F1" workbookViewId="0">
      <selection activeCell="O31" sqref="O31"/>
    </sheetView>
  </sheetViews>
  <sheetFormatPr defaultRowHeight="15" x14ac:dyDescent="0.25"/>
  <sheetData>
    <row r="1" spans="1:16" x14ac:dyDescent="0.25">
      <c r="A1" s="1" t="s">
        <v>12</v>
      </c>
    </row>
    <row r="2" spans="1:16" x14ac:dyDescent="0.25">
      <c r="B2" t="s">
        <v>0</v>
      </c>
      <c r="C2" t="s">
        <v>5</v>
      </c>
      <c r="D2" t="s">
        <v>6</v>
      </c>
      <c r="E2" t="s">
        <v>7</v>
      </c>
      <c r="F2" t="s">
        <v>8</v>
      </c>
      <c r="G2" t="s">
        <v>10</v>
      </c>
      <c r="H2" t="s">
        <v>19</v>
      </c>
      <c r="I2" t="s">
        <v>9</v>
      </c>
      <c r="K2" t="s">
        <v>0</v>
      </c>
      <c r="L2" t="s">
        <v>11</v>
      </c>
      <c r="M2" t="s">
        <v>1</v>
      </c>
      <c r="N2" t="s">
        <v>2</v>
      </c>
      <c r="O2" t="s">
        <v>3</v>
      </c>
      <c r="P2" t="s">
        <v>4</v>
      </c>
    </row>
    <row r="3" spans="1:16" x14ac:dyDescent="0.25">
      <c r="B3" t="s">
        <v>11</v>
      </c>
      <c r="C3">
        <v>100</v>
      </c>
      <c r="D3">
        <v>500</v>
      </c>
      <c r="E3">
        <v>1000</v>
      </c>
      <c r="F3">
        <v>1500</v>
      </c>
      <c r="G3">
        <v>2400</v>
      </c>
      <c r="H3">
        <v>4100</v>
      </c>
      <c r="I3">
        <v>8100</v>
      </c>
      <c r="K3" t="s">
        <v>22</v>
      </c>
      <c r="L3">
        <v>100</v>
      </c>
      <c r="M3">
        <v>0</v>
      </c>
      <c r="N3">
        <v>16.05792107972</v>
      </c>
      <c r="O3">
        <v>18.7566878367989</v>
      </c>
      <c r="P3">
        <v>65.185391083480994</v>
      </c>
    </row>
    <row r="4" spans="1:16" x14ac:dyDescent="0.25">
      <c r="B4" t="s">
        <v>1</v>
      </c>
      <c r="C4">
        <v>0</v>
      </c>
      <c r="D4">
        <v>41.392780804976702</v>
      </c>
      <c r="E4">
        <v>71</v>
      </c>
      <c r="F4">
        <v>23.252870109609599</v>
      </c>
      <c r="G4">
        <v>13.971358556094</v>
      </c>
      <c r="H4">
        <v>0</v>
      </c>
      <c r="I4">
        <v>33.333333333333336</v>
      </c>
      <c r="K4" t="s">
        <v>23</v>
      </c>
      <c r="L4">
        <v>500</v>
      </c>
      <c r="M4">
        <v>41.392780804976702</v>
      </c>
      <c r="N4">
        <v>10.001446111260799</v>
      </c>
      <c r="O4">
        <v>13.017061152797201</v>
      </c>
      <c r="P4">
        <v>35.588711930965097</v>
      </c>
    </row>
    <row r="5" spans="1:16" x14ac:dyDescent="0.25">
      <c r="B5" t="s">
        <v>2</v>
      </c>
      <c r="C5">
        <v>16.05792107972</v>
      </c>
      <c r="D5">
        <v>10.001446111260799</v>
      </c>
      <c r="E5">
        <v>29</v>
      </c>
      <c r="F5">
        <v>15.3136863885011</v>
      </c>
      <c r="G5">
        <v>20.2156017331953</v>
      </c>
      <c r="H5">
        <v>1512.7636809999999</v>
      </c>
      <c r="I5">
        <v>28.39506172839506</v>
      </c>
      <c r="K5" t="s">
        <v>7</v>
      </c>
      <c r="L5">
        <v>1000</v>
      </c>
      <c r="M5">
        <v>71</v>
      </c>
      <c r="N5">
        <v>29</v>
      </c>
      <c r="O5">
        <v>0</v>
      </c>
      <c r="P5">
        <v>0</v>
      </c>
    </row>
    <row r="6" spans="1:16" x14ac:dyDescent="0.25">
      <c r="B6" t="s">
        <v>3</v>
      </c>
      <c r="C6">
        <v>18.7566878367989</v>
      </c>
      <c r="D6">
        <v>13.017061152797201</v>
      </c>
      <c r="E6">
        <v>0</v>
      </c>
      <c r="F6">
        <v>23.006893045764301</v>
      </c>
      <c r="G6">
        <v>28.493621918617499</v>
      </c>
      <c r="H6">
        <v>1269.2527356666601</v>
      </c>
      <c r="I6">
        <v>18.518518518518519</v>
      </c>
      <c r="K6" t="s">
        <v>24</v>
      </c>
      <c r="L6">
        <v>1500</v>
      </c>
      <c r="M6">
        <v>23.252870109609599</v>
      </c>
      <c r="N6">
        <v>15.3136863885011</v>
      </c>
      <c r="O6">
        <v>23.006893045764301</v>
      </c>
      <c r="P6">
        <v>38.426550456124801</v>
      </c>
    </row>
    <row r="7" spans="1:16" x14ac:dyDescent="0.25">
      <c r="B7" t="s">
        <v>4</v>
      </c>
      <c r="C7">
        <v>65.185391083480994</v>
      </c>
      <c r="D7">
        <v>35.588711930965097</v>
      </c>
      <c r="E7">
        <v>0</v>
      </c>
      <c r="F7">
        <v>38.426550456124801</v>
      </c>
      <c r="G7">
        <v>37.319417792093098</v>
      </c>
      <c r="H7">
        <v>1317.9821248000001</v>
      </c>
      <c r="I7">
        <v>19.753086419753089</v>
      </c>
      <c r="K7" t="s">
        <v>25</v>
      </c>
      <c r="L7">
        <v>2400</v>
      </c>
      <c r="M7">
        <v>13.971358556094</v>
      </c>
      <c r="N7">
        <v>20.2156017331953</v>
      </c>
      <c r="O7">
        <v>28.493621918617499</v>
      </c>
      <c r="P7">
        <v>37.319417792093098</v>
      </c>
    </row>
    <row r="8" spans="1:16" x14ac:dyDescent="0.25">
      <c r="K8" t="s">
        <v>26</v>
      </c>
      <c r="L8">
        <v>4100</v>
      </c>
      <c r="M8">
        <f>H4/H3</f>
        <v>0</v>
      </c>
      <c r="N8">
        <f>100*H5/H3</f>
        <v>36.896675146341458</v>
      </c>
      <c r="O8">
        <f>100*H6/H3</f>
        <v>30.957383796747809</v>
      </c>
      <c r="P8">
        <f>100*H7/H3</f>
        <v>32.145905482926835</v>
      </c>
    </row>
    <row r="9" spans="1:16" x14ac:dyDescent="0.25">
      <c r="A9" s="1" t="s">
        <v>11</v>
      </c>
      <c r="K9" t="s">
        <v>9</v>
      </c>
      <c r="L9">
        <v>8100</v>
      </c>
      <c r="M9">
        <v>33.333333333333336</v>
      </c>
      <c r="N9">
        <v>28.39506172839506</v>
      </c>
      <c r="O9">
        <v>18.518518518518519</v>
      </c>
      <c r="P9">
        <v>19.753086419753089</v>
      </c>
    </row>
    <row r="10" spans="1:16" x14ac:dyDescent="0.25">
      <c r="B10" t="s">
        <v>0</v>
      </c>
      <c r="C10" t="s">
        <v>5</v>
      </c>
      <c r="D10" t="s">
        <v>6</v>
      </c>
      <c r="E10" t="s">
        <v>7</v>
      </c>
      <c r="F10" t="s">
        <v>8</v>
      </c>
      <c r="G10" t="s">
        <v>10</v>
      </c>
    </row>
    <row r="11" spans="1:16" x14ac:dyDescent="0.25">
      <c r="B11" t="s">
        <v>1</v>
      </c>
      <c r="C11">
        <v>0</v>
      </c>
      <c r="D11">
        <v>206.888348333333</v>
      </c>
      <c r="E11">
        <v>710</v>
      </c>
      <c r="F11">
        <v>348.79311866666598</v>
      </c>
      <c r="G11">
        <v>335.31257099999999</v>
      </c>
    </row>
    <row r="12" spans="1:16" x14ac:dyDescent="0.25">
      <c r="B12" t="s">
        <v>2</v>
      </c>
      <c r="C12">
        <v>15.9971258333333</v>
      </c>
      <c r="D12">
        <v>49.988974566666599</v>
      </c>
      <c r="E12">
        <v>200</v>
      </c>
      <c r="F12">
        <v>229.705339966666</v>
      </c>
      <c r="G12">
        <v>485.17439189999999</v>
      </c>
    </row>
    <row r="13" spans="1:16" x14ac:dyDescent="0.25">
      <c r="B13" t="s">
        <v>3</v>
      </c>
      <c r="C13">
        <v>18.685675066666601</v>
      </c>
      <c r="D13">
        <v>65.061545266666599</v>
      </c>
      <c r="E13">
        <v>0</v>
      </c>
      <c r="F13">
        <v>345.10346199999998</v>
      </c>
      <c r="G13">
        <v>683.846856</v>
      </c>
    </row>
    <row r="14" spans="1:16" x14ac:dyDescent="0.25">
      <c r="B14" t="s">
        <v>4</v>
      </c>
      <c r="C14">
        <v>64.938599366666594</v>
      </c>
      <c r="D14">
        <v>177.878598333333</v>
      </c>
      <c r="E14">
        <v>0</v>
      </c>
      <c r="F14">
        <v>576.39836760000003</v>
      </c>
      <c r="G14">
        <v>895.665935266666</v>
      </c>
    </row>
    <row r="16" spans="1:16" x14ac:dyDescent="0.25">
      <c r="K16" t="s">
        <v>0</v>
      </c>
      <c r="L16" t="s">
        <v>1</v>
      </c>
      <c r="M16" t="s">
        <v>2</v>
      </c>
      <c r="N16" t="s">
        <v>3</v>
      </c>
      <c r="O16" t="s">
        <v>4</v>
      </c>
    </row>
    <row r="17" spans="11:15" x14ac:dyDescent="0.25">
      <c r="K17" t="s">
        <v>5</v>
      </c>
      <c r="L17">
        <v>0</v>
      </c>
      <c r="M17">
        <v>15.9971258333333</v>
      </c>
      <c r="N17">
        <v>18.685675066666601</v>
      </c>
      <c r="O17">
        <v>64.938599366666594</v>
      </c>
    </row>
    <row r="18" spans="11:15" x14ac:dyDescent="0.25">
      <c r="K18" t="s">
        <v>6</v>
      </c>
      <c r="L18">
        <v>206.888348333333</v>
      </c>
      <c r="M18">
        <v>49.988974566666599</v>
      </c>
      <c r="N18">
        <v>65.061545266666599</v>
      </c>
      <c r="O18">
        <v>177.878598333333</v>
      </c>
    </row>
    <row r="19" spans="11:15" x14ac:dyDescent="0.25">
      <c r="K19" t="s">
        <v>7</v>
      </c>
      <c r="L19">
        <v>710</v>
      </c>
      <c r="M19">
        <v>200</v>
      </c>
      <c r="N19">
        <v>0</v>
      </c>
      <c r="O19">
        <v>0</v>
      </c>
    </row>
    <row r="20" spans="11:15" x14ac:dyDescent="0.25">
      <c r="K20" t="s">
        <v>8</v>
      </c>
      <c r="L20">
        <v>348.79311866666598</v>
      </c>
      <c r="M20">
        <v>229.705339966666</v>
      </c>
      <c r="N20">
        <v>345.10346199999998</v>
      </c>
      <c r="O20">
        <v>576.39836760000003</v>
      </c>
    </row>
    <row r="21" spans="11:15" x14ac:dyDescent="0.25">
      <c r="K21" t="s">
        <v>10</v>
      </c>
      <c r="L21">
        <v>335.31257099999999</v>
      </c>
      <c r="M21">
        <v>485.17439189999999</v>
      </c>
      <c r="N21">
        <v>683.846856</v>
      </c>
      <c r="O21">
        <v>895.665935266666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091E-E214-4312-84B9-99C43D160339}">
  <dimension ref="A1:U172"/>
  <sheetViews>
    <sheetView topLeftCell="A7" workbookViewId="0">
      <selection activeCell="K40" sqref="K40"/>
    </sheetView>
  </sheetViews>
  <sheetFormatPr defaultRowHeight="15" x14ac:dyDescent="0.25"/>
  <sheetData>
    <row r="1" spans="1:21" x14ac:dyDescent="0.25">
      <c r="B1" s="1" t="s">
        <v>4</v>
      </c>
      <c r="I1" s="1" t="s">
        <v>3</v>
      </c>
      <c r="O1" s="1"/>
      <c r="U1" s="1"/>
    </row>
    <row r="2" spans="1:21" x14ac:dyDescent="0.25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21</v>
      </c>
      <c r="H2" t="s">
        <v>20</v>
      </c>
    </row>
    <row r="3" spans="1:21" x14ac:dyDescent="0.25">
      <c r="A3" t="s">
        <v>4</v>
      </c>
      <c r="B3">
        <v>124.70119090909</v>
      </c>
      <c r="C3">
        <v>132.41414181818101</v>
      </c>
      <c r="D3">
        <v>148.67402454545399</v>
      </c>
      <c r="E3">
        <v>161.581846363636</v>
      </c>
      <c r="F3">
        <v>175.578518181818</v>
      </c>
      <c r="G3">
        <v>62.422997946611801</v>
      </c>
      <c r="H3">
        <v>100</v>
      </c>
    </row>
    <row r="4" spans="1:21" x14ac:dyDescent="0.25">
      <c r="A4" t="s">
        <v>4</v>
      </c>
      <c r="B4">
        <v>126.090327272727</v>
      </c>
      <c r="C4">
        <v>136.141186363636</v>
      </c>
      <c r="D4">
        <v>161.02436181818101</v>
      </c>
      <c r="E4">
        <v>166.20625636363599</v>
      </c>
      <c r="F4">
        <v>182.402754545454</v>
      </c>
      <c r="G4">
        <v>73.100616016426997</v>
      </c>
    </row>
    <row r="5" spans="1:21" x14ac:dyDescent="0.25">
      <c r="A5" t="s">
        <v>4</v>
      </c>
      <c r="B5">
        <v>126.404089090909</v>
      </c>
      <c r="C5">
        <v>136.83475636363599</v>
      </c>
      <c r="D5">
        <v>161.230486363636</v>
      </c>
      <c r="E5">
        <v>172.836845454545</v>
      </c>
      <c r="F5">
        <v>190.28672727272701</v>
      </c>
      <c r="G5">
        <v>79.671457905544102</v>
      </c>
      <c r="I5" t="s">
        <v>16</v>
      </c>
      <c r="J5" t="s">
        <v>17</v>
      </c>
    </row>
    <row r="6" spans="1:21" x14ac:dyDescent="0.25">
      <c r="A6" t="s">
        <v>4</v>
      </c>
      <c r="B6">
        <v>128.111645454545</v>
      </c>
      <c r="C6">
        <v>138.29093727272701</v>
      </c>
      <c r="D6">
        <v>163.268607272727</v>
      </c>
      <c r="E6">
        <v>180.81398181818099</v>
      </c>
      <c r="F6">
        <v>198.528381818181</v>
      </c>
      <c r="G6">
        <v>91.991786447638603</v>
      </c>
      <c r="I6" t="s">
        <v>4</v>
      </c>
      <c r="J6" t="s">
        <v>14</v>
      </c>
    </row>
    <row r="7" spans="1:21" x14ac:dyDescent="0.25">
      <c r="A7" t="s">
        <v>4</v>
      </c>
      <c r="B7">
        <v>129.34523181818099</v>
      </c>
      <c r="C7">
        <v>140.36216454545399</v>
      </c>
      <c r="D7">
        <v>163.35944181818101</v>
      </c>
      <c r="E7">
        <v>181.544318181818</v>
      </c>
      <c r="F7">
        <v>208.46528181818101</v>
      </c>
      <c r="G7">
        <v>99.383983572895204</v>
      </c>
      <c r="I7" t="s">
        <v>1</v>
      </c>
      <c r="J7" t="s">
        <v>13</v>
      </c>
    </row>
    <row r="8" spans="1:21" x14ac:dyDescent="0.25">
      <c r="A8" t="s">
        <v>4</v>
      </c>
      <c r="B8">
        <v>131.15809636363599</v>
      </c>
      <c r="C8">
        <v>146.28787090909</v>
      </c>
      <c r="D8">
        <v>163.74939818181801</v>
      </c>
      <c r="E8">
        <v>183.011645454545</v>
      </c>
      <c r="F8">
        <v>212.17519090908999</v>
      </c>
      <c r="G8">
        <v>102.669404517453</v>
      </c>
      <c r="I8" t="s">
        <v>2</v>
      </c>
      <c r="J8" t="s">
        <v>15</v>
      </c>
    </row>
    <row r="9" spans="1:21" x14ac:dyDescent="0.25">
      <c r="A9" t="s">
        <v>4</v>
      </c>
      <c r="B9">
        <v>132.72790363636301</v>
      </c>
      <c r="C9">
        <v>147.04715454545399</v>
      </c>
      <c r="D9">
        <v>174.78163636363601</v>
      </c>
      <c r="E9">
        <v>192.22486363636301</v>
      </c>
      <c r="F9">
        <v>212.755799999999</v>
      </c>
      <c r="G9">
        <v>104.312114989733</v>
      </c>
      <c r="I9" t="s">
        <v>3</v>
      </c>
      <c r="J9" t="s">
        <v>18</v>
      </c>
    </row>
    <row r="10" spans="1:21" x14ac:dyDescent="0.25">
      <c r="A10" t="s">
        <v>4</v>
      </c>
      <c r="B10">
        <v>136.50552272727199</v>
      </c>
      <c r="C10">
        <v>150.92159727272701</v>
      </c>
      <c r="D10">
        <v>175.16427272727199</v>
      </c>
      <c r="E10">
        <v>195.42237272727201</v>
      </c>
      <c r="F10">
        <v>216.72523636363599</v>
      </c>
      <c r="G10">
        <v>105.133470225872</v>
      </c>
    </row>
    <row r="11" spans="1:21" x14ac:dyDescent="0.25">
      <c r="A11" t="s">
        <v>4</v>
      </c>
      <c r="B11">
        <v>137.10775909090901</v>
      </c>
      <c r="C11">
        <v>153.29560636363601</v>
      </c>
      <c r="D11">
        <v>175.20752727272699</v>
      </c>
      <c r="E11">
        <v>195.700199999999</v>
      </c>
      <c r="F11">
        <v>219.72310909090899</v>
      </c>
      <c r="G11">
        <v>106.77618069815099</v>
      </c>
    </row>
    <row r="12" spans="1:21" x14ac:dyDescent="0.25">
      <c r="A12" t="s">
        <v>4</v>
      </c>
      <c r="B12">
        <v>137.93674909090899</v>
      </c>
      <c r="C12">
        <v>153.34900909090899</v>
      </c>
      <c r="D12">
        <v>177.69632727272699</v>
      </c>
      <c r="E12">
        <v>195.70851818181799</v>
      </c>
      <c r="F12">
        <v>219.86618181818099</v>
      </c>
      <c r="G12">
        <v>109.24024640656999</v>
      </c>
    </row>
    <row r="13" spans="1:21" x14ac:dyDescent="0.25">
      <c r="A13" t="s">
        <v>4</v>
      </c>
      <c r="B13">
        <v>138.56826545454501</v>
      </c>
      <c r="C13">
        <v>154.645148181818</v>
      </c>
      <c r="D13">
        <v>180.614345454545</v>
      </c>
      <c r="E13">
        <v>199.46833636363601</v>
      </c>
      <c r="F13">
        <v>220.616481818181</v>
      </c>
      <c r="G13">
        <v>111.70431211498899</v>
      </c>
    </row>
    <row r="14" spans="1:21" x14ac:dyDescent="0.25">
      <c r="A14" t="s">
        <v>4</v>
      </c>
      <c r="B14">
        <v>141.11179909090899</v>
      </c>
      <c r="C14">
        <v>154.66111909090901</v>
      </c>
      <c r="D14">
        <v>183.387627272727</v>
      </c>
      <c r="E14">
        <v>199.81603636363599</v>
      </c>
      <c r="F14">
        <v>222.448145454545</v>
      </c>
      <c r="G14">
        <v>120.739219712525</v>
      </c>
    </row>
    <row r="15" spans="1:21" x14ac:dyDescent="0.25">
      <c r="A15" t="s">
        <v>4</v>
      </c>
      <c r="B15">
        <v>142.93747363636299</v>
      </c>
      <c r="C15">
        <v>154.96672909090901</v>
      </c>
      <c r="D15">
        <v>185.646845454545</v>
      </c>
      <c r="E15">
        <v>200.09719090908999</v>
      </c>
      <c r="F15">
        <v>223.95706363636299</v>
      </c>
      <c r="G15">
        <v>124.02464065708401</v>
      </c>
    </row>
    <row r="16" spans="1:21" x14ac:dyDescent="0.25">
      <c r="A16" t="s">
        <v>4</v>
      </c>
      <c r="B16">
        <v>143.724373636363</v>
      </c>
      <c r="C16">
        <v>155.41042090908999</v>
      </c>
      <c r="D16">
        <v>185.65349999999901</v>
      </c>
      <c r="E16">
        <v>200.36170909090899</v>
      </c>
      <c r="F16">
        <v>225.284645454545</v>
      </c>
      <c r="G16">
        <v>126.48870636550301</v>
      </c>
    </row>
    <row r="17" spans="1:7" x14ac:dyDescent="0.25">
      <c r="A17" t="s">
        <v>4</v>
      </c>
      <c r="B17">
        <v>147.66452999999899</v>
      </c>
      <c r="C17">
        <v>155.75629090909001</v>
      </c>
      <c r="D17">
        <v>192.42949090908999</v>
      </c>
      <c r="E17">
        <v>204.158127272727</v>
      </c>
      <c r="F17">
        <v>225.92348181818099</v>
      </c>
      <c r="G17">
        <v>131.41683778234</v>
      </c>
    </row>
    <row r="18" spans="1:7" x14ac:dyDescent="0.25">
      <c r="A18" t="s">
        <v>4</v>
      </c>
      <c r="B18">
        <v>148.29038999999901</v>
      </c>
      <c r="C18">
        <v>156.55866272727201</v>
      </c>
      <c r="D18">
        <v>192.73559999999901</v>
      </c>
      <c r="E18">
        <v>204.68716363636301</v>
      </c>
      <c r="F18">
        <v>228.34074545454499</v>
      </c>
      <c r="G18">
        <v>132.23819301847999</v>
      </c>
    </row>
    <row r="19" spans="1:7" x14ac:dyDescent="0.25">
      <c r="A19" t="s">
        <v>4</v>
      </c>
      <c r="B19">
        <v>148.65971727272699</v>
      </c>
      <c r="C19">
        <v>159.02117727272699</v>
      </c>
      <c r="D19">
        <v>193.437654545454</v>
      </c>
      <c r="E19">
        <v>205.74689999999899</v>
      </c>
      <c r="F19">
        <v>229.94449090909001</v>
      </c>
      <c r="G19">
        <v>132.23819301847999</v>
      </c>
    </row>
    <row r="20" spans="1:7" x14ac:dyDescent="0.25">
      <c r="A20" t="s">
        <v>4</v>
      </c>
      <c r="B20">
        <v>149.08976727272699</v>
      </c>
      <c r="C20">
        <v>163.22019545454501</v>
      </c>
      <c r="D20">
        <v>193.52915454545399</v>
      </c>
      <c r="E20">
        <v>206.658572727272</v>
      </c>
      <c r="F20">
        <v>238.450663636363</v>
      </c>
      <c r="G20">
        <v>141.273100616016</v>
      </c>
    </row>
    <row r="21" spans="1:7" x14ac:dyDescent="0.25">
      <c r="A21" t="s">
        <v>4</v>
      </c>
      <c r="B21">
        <v>149.89929272727201</v>
      </c>
      <c r="C21">
        <v>164.51982818181801</v>
      </c>
      <c r="D21">
        <v>194.216236363636</v>
      </c>
      <c r="E21">
        <v>213.80888181818099</v>
      </c>
      <c r="F21">
        <v>245.87879999999899</v>
      </c>
      <c r="G21">
        <v>149.48665297741201</v>
      </c>
    </row>
    <row r="22" spans="1:7" x14ac:dyDescent="0.25">
      <c r="A22" t="s">
        <v>4</v>
      </c>
      <c r="B22">
        <v>152.02392272727201</v>
      </c>
      <c r="C22">
        <v>167.90249999999901</v>
      </c>
      <c r="D22">
        <v>198.533372727272</v>
      </c>
      <c r="E22">
        <v>214.69559999999899</v>
      </c>
      <c r="F22">
        <v>247.071627272727</v>
      </c>
      <c r="G22">
        <v>152.77207392197101</v>
      </c>
    </row>
    <row r="23" spans="1:7" x14ac:dyDescent="0.25">
      <c r="A23" t="s">
        <v>4</v>
      </c>
      <c r="B23">
        <v>152.923783636363</v>
      </c>
      <c r="C23">
        <v>168.31009090909001</v>
      </c>
      <c r="D23">
        <v>199.205481818181</v>
      </c>
      <c r="E23">
        <v>218.79313636363599</v>
      </c>
      <c r="F23">
        <v>248.765209090909</v>
      </c>
      <c r="G23">
        <v>157.70020533880901</v>
      </c>
    </row>
    <row r="24" spans="1:7" x14ac:dyDescent="0.25">
      <c r="A24" t="s">
        <v>4</v>
      </c>
      <c r="B24">
        <v>153.716672727272</v>
      </c>
      <c r="C24">
        <v>168.98552727272701</v>
      </c>
      <c r="D24">
        <v>200.15209090908999</v>
      </c>
      <c r="E24">
        <v>221.17879090909</v>
      </c>
      <c r="F24">
        <v>259.13964545454502</v>
      </c>
      <c r="G24">
        <v>160.164271047227</v>
      </c>
    </row>
    <row r="25" spans="1:7" x14ac:dyDescent="0.25">
      <c r="A25" t="s">
        <v>4</v>
      </c>
      <c r="B25">
        <v>153.99782727272699</v>
      </c>
      <c r="C25">
        <v>169.37149090909</v>
      </c>
      <c r="D25">
        <v>200.368363636363</v>
      </c>
      <c r="E25">
        <v>230.71808181818099</v>
      </c>
      <c r="F25">
        <v>269.04160909090899</v>
      </c>
      <c r="G25">
        <v>169.19917864476301</v>
      </c>
    </row>
    <row r="26" spans="1:7" x14ac:dyDescent="0.25">
      <c r="A26" t="s">
        <v>4</v>
      </c>
      <c r="B26">
        <v>155.03743363636301</v>
      </c>
      <c r="C26">
        <v>170.950281818181</v>
      </c>
      <c r="D26">
        <v>202.96862727272699</v>
      </c>
      <c r="E26">
        <v>231.744545454545</v>
      </c>
      <c r="F26">
        <v>271.06126363636298</v>
      </c>
      <c r="G26">
        <v>171.66324435318199</v>
      </c>
    </row>
    <row r="27" spans="1:7" x14ac:dyDescent="0.25">
      <c r="A27" t="s">
        <v>4</v>
      </c>
      <c r="B27">
        <v>157.23393272727199</v>
      </c>
      <c r="C27">
        <v>171.06174545454499</v>
      </c>
      <c r="D27">
        <v>204.221345454545</v>
      </c>
      <c r="E27">
        <v>233.57953636363601</v>
      </c>
      <c r="F27">
        <v>290.44595454545401</v>
      </c>
      <c r="G27">
        <v>177.41273100615999</v>
      </c>
    </row>
    <row r="28" spans="1:7" x14ac:dyDescent="0.25">
      <c r="A28" t="s">
        <v>4</v>
      </c>
      <c r="B28">
        <v>159.99773181818099</v>
      </c>
      <c r="C28">
        <v>174.56037272727201</v>
      </c>
      <c r="D28">
        <v>206.04469090909001</v>
      </c>
      <c r="E28">
        <v>234.74907272727199</v>
      </c>
      <c r="F28">
        <v>298.95212727272701</v>
      </c>
      <c r="G28">
        <v>189.733059548254</v>
      </c>
    </row>
    <row r="29" spans="1:7" x14ac:dyDescent="0.25">
      <c r="A29" t="s">
        <v>4</v>
      </c>
      <c r="B29">
        <v>160.102873636363</v>
      </c>
      <c r="C29">
        <v>176.91275454545399</v>
      </c>
      <c r="D29">
        <v>206.18277272727201</v>
      </c>
      <c r="E29">
        <v>235.97184545454499</v>
      </c>
      <c r="F29">
        <v>299.20832727272699</v>
      </c>
      <c r="G29">
        <v>189.733059548254</v>
      </c>
    </row>
    <row r="30" spans="1:7" x14ac:dyDescent="0.25">
      <c r="A30" t="s">
        <v>4</v>
      </c>
      <c r="B30">
        <v>160.325468181818</v>
      </c>
      <c r="C30">
        <v>177.375245454545</v>
      </c>
      <c r="D30">
        <v>207.79150909090899</v>
      </c>
      <c r="E30">
        <v>237.687054545454</v>
      </c>
      <c r="F30">
        <v>299.93367272727198</v>
      </c>
      <c r="G30">
        <v>192.19712525667299</v>
      </c>
    </row>
    <row r="31" spans="1:7" x14ac:dyDescent="0.25">
      <c r="A31" t="s">
        <v>4</v>
      </c>
      <c r="B31">
        <v>160.64105999999899</v>
      </c>
      <c r="C31">
        <v>180.611018181818</v>
      </c>
      <c r="D31">
        <v>208.719818181818</v>
      </c>
      <c r="E31">
        <v>238.02144545454499</v>
      </c>
      <c r="F31">
        <v>304.868018181818</v>
      </c>
      <c r="G31">
        <v>260.369609856262</v>
      </c>
    </row>
    <row r="32" spans="1:7" x14ac:dyDescent="0.25">
      <c r="A32" t="s">
        <v>4</v>
      </c>
      <c r="B32">
        <v>161.491677272727</v>
      </c>
      <c r="C32">
        <v>182.56579090909</v>
      </c>
      <c r="D32">
        <v>208.906145454545</v>
      </c>
      <c r="E32">
        <v>238.25102727272699</v>
      </c>
      <c r="F32">
        <v>306.86937272727198</v>
      </c>
      <c r="G32">
        <v>267.76180698151899</v>
      </c>
    </row>
    <row r="33" spans="1:6" x14ac:dyDescent="0.25">
      <c r="A33" t="s">
        <v>4</v>
      </c>
      <c r="B33">
        <v>164.58055090908999</v>
      </c>
      <c r="C33">
        <v>183.17967272727199</v>
      </c>
      <c r="D33">
        <v>209.23221818181801</v>
      </c>
      <c r="E33">
        <v>239.13275454545399</v>
      </c>
      <c r="F33">
        <v>307.49489999999901</v>
      </c>
    </row>
    <row r="34" spans="1:6" x14ac:dyDescent="0.25">
      <c r="A34" t="s">
        <v>4</v>
      </c>
      <c r="B34">
        <v>165.94439999999901</v>
      </c>
      <c r="C34">
        <v>187.090881818181</v>
      </c>
      <c r="D34">
        <v>211.66112727272699</v>
      </c>
      <c r="E34">
        <v>240.568472727272</v>
      </c>
      <c r="F34">
        <v>316.62493636363598</v>
      </c>
    </row>
    <row r="35" spans="1:6" x14ac:dyDescent="0.25">
      <c r="A35" t="s">
        <v>4</v>
      </c>
      <c r="B35">
        <v>166.83777272727201</v>
      </c>
      <c r="C35">
        <v>188.67133636363599</v>
      </c>
      <c r="D35">
        <v>211.96557272727199</v>
      </c>
      <c r="E35">
        <v>244.68430909090901</v>
      </c>
      <c r="F35">
        <v>316.76135454545403</v>
      </c>
    </row>
    <row r="36" spans="1:6" x14ac:dyDescent="0.25">
      <c r="A36" t="s">
        <v>4</v>
      </c>
      <c r="B36">
        <v>170.28316363636301</v>
      </c>
      <c r="C36">
        <v>189.95067272727201</v>
      </c>
      <c r="D36">
        <v>215.50745454545401</v>
      </c>
      <c r="E36">
        <v>246.327981818181</v>
      </c>
      <c r="F36">
        <v>319.92891818181801</v>
      </c>
    </row>
    <row r="37" spans="1:6" x14ac:dyDescent="0.25">
      <c r="A37" t="s">
        <v>4</v>
      </c>
      <c r="B37">
        <v>171.56749090909</v>
      </c>
      <c r="C37">
        <v>191.59101818181799</v>
      </c>
      <c r="D37">
        <v>218.650063636363</v>
      </c>
      <c r="E37">
        <v>246.39785454545401</v>
      </c>
      <c r="F37">
        <v>329.689472727272</v>
      </c>
    </row>
    <row r="38" spans="1:6" x14ac:dyDescent="0.25">
      <c r="A38" t="s">
        <v>4</v>
      </c>
      <c r="B38">
        <v>172.47916363636301</v>
      </c>
      <c r="C38">
        <v>192.35795454545399</v>
      </c>
      <c r="D38">
        <v>220.32035454545399</v>
      </c>
      <c r="E38">
        <v>246.74222727272701</v>
      </c>
      <c r="F38">
        <v>332.25979090908999</v>
      </c>
    </row>
    <row r="39" spans="1:6" x14ac:dyDescent="0.25">
      <c r="A39" t="s">
        <v>4</v>
      </c>
      <c r="B39">
        <v>173.15792727272699</v>
      </c>
      <c r="C39">
        <v>192.97849090909</v>
      </c>
      <c r="D39">
        <v>221.047363636363</v>
      </c>
      <c r="E39">
        <v>247.31119090908999</v>
      </c>
      <c r="F39">
        <v>333.82693636363598</v>
      </c>
    </row>
    <row r="40" spans="1:6" x14ac:dyDescent="0.25">
      <c r="A40" t="s">
        <v>4</v>
      </c>
      <c r="B40">
        <v>173.88992727272699</v>
      </c>
      <c r="C40">
        <v>193.20474545454499</v>
      </c>
      <c r="D40">
        <v>221.40504545454499</v>
      </c>
      <c r="E40">
        <v>247.73375454545399</v>
      </c>
      <c r="F40">
        <v>336.35732727272699</v>
      </c>
    </row>
    <row r="41" spans="1:6" x14ac:dyDescent="0.25">
      <c r="A41" t="s">
        <v>4</v>
      </c>
      <c r="B41">
        <v>177.852709090909</v>
      </c>
      <c r="C41">
        <v>193.25631818181799</v>
      </c>
      <c r="D41">
        <v>221.43665454545399</v>
      </c>
      <c r="E41">
        <v>264.44165454545401</v>
      </c>
      <c r="F41">
        <v>336.43219090909002</v>
      </c>
    </row>
    <row r="42" spans="1:6" x14ac:dyDescent="0.25">
      <c r="A42" t="s">
        <v>4</v>
      </c>
      <c r="B42">
        <v>179.451463636363</v>
      </c>
      <c r="C42">
        <v>196.653463636363</v>
      </c>
      <c r="D42">
        <v>226.720363636363</v>
      </c>
      <c r="E42">
        <v>279.32288181818097</v>
      </c>
      <c r="F42">
        <v>361.300227272727</v>
      </c>
    </row>
    <row r="43" spans="1:6" x14ac:dyDescent="0.25">
      <c r="A43" t="s">
        <v>4</v>
      </c>
      <c r="B43">
        <v>179.549618181818</v>
      </c>
      <c r="C43">
        <v>202.40631818181799</v>
      </c>
      <c r="D43">
        <v>228.85813636363599</v>
      </c>
      <c r="E43">
        <v>281.20112727272698</v>
      </c>
      <c r="F43">
        <v>366.61887272727199</v>
      </c>
    </row>
    <row r="44" spans="1:6" x14ac:dyDescent="0.25">
      <c r="A44" t="s">
        <v>4</v>
      </c>
      <c r="B44">
        <v>180.065345454545</v>
      </c>
      <c r="C44">
        <v>204.67219090909001</v>
      </c>
      <c r="D44">
        <v>242.024154545454</v>
      </c>
      <c r="E44">
        <v>293.66009999999898</v>
      </c>
      <c r="F44">
        <v>377.086472727272</v>
      </c>
    </row>
    <row r="45" spans="1:6" x14ac:dyDescent="0.25">
      <c r="A45" t="s">
        <v>4</v>
      </c>
      <c r="B45">
        <v>180.87719999999899</v>
      </c>
      <c r="C45">
        <v>205.43413636363599</v>
      </c>
      <c r="D45">
        <v>295.24887272727199</v>
      </c>
      <c r="E45">
        <v>358.328972727272</v>
      </c>
      <c r="F45">
        <v>455.07774545454498</v>
      </c>
    </row>
    <row r="46" spans="1:6" x14ac:dyDescent="0.25">
      <c r="A46" t="s">
        <v>4</v>
      </c>
      <c r="B46">
        <v>181.078499999999</v>
      </c>
      <c r="C46">
        <v>207.71997272727199</v>
      </c>
      <c r="D46">
        <v>305.89281818181797</v>
      </c>
      <c r="E46">
        <v>382.636363636363</v>
      </c>
      <c r="F46">
        <v>545.29009090909005</v>
      </c>
    </row>
    <row r="47" spans="1:6" x14ac:dyDescent="0.25">
      <c r="A47" t="s">
        <v>4</v>
      </c>
      <c r="B47">
        <v>182.26799999999901</v>
      </c>
      <c r="C47">
        <v>223.76408181818101</v>
      </c>
      <c r="D47">
        <v>377.39590909090902</v>
      </c>
      <c r="E47">
        <v>478.88105454545399</v>
      </c>
      <c r="F47">
        <v>624.32945454545404</v>
      </c>
    </row>
    <row r="48" spans="1:6" x14ac:dyDescent="0.25">
      <c r="A48" t="s">
        <v>4</v>
      </c>
      <c r="B48">
        <v>187.050954545454</v>
      </c>
      <c r="C48">
        <v>233.276754545454</v>
      </c>
      <c r="D48">
        <v>388.60881818181798</v>
      </c>
      <c r="E48">
        <v>483.35290909090901</v>
      </c>
      <c r="F48">
        <v>629.20224545454505</v>
      </c>
    </row>
    <row r="49" spans="1:8" x14ac:dyDescent="0.25">
      <c r="A49" t="s">
        <v>4</v>
      </c>
      <c r="B49">
        <v>189.69779999999901</v>
      </c>
      <c r="C49">
        <v>250.31239090909</v>
      </c>
      <c r="D49">
        <v>404.89914545454502</v>
      </c>
      <c r="E49">
        <v>503.70749999999902</v>
      </c>
      <c r="F49">
        <v>661.11411818181796</v>
      </c>
    </row>
    <row r="50" spans="1:8" x14ac:dyDescent="0.25">
      <c r="A50" t="s">
        <v>4</v>
      </c>
      <c r="C50">
        <v>268.73882727272701</v>
      </c>
      <c r="D50">
        <v>466.33058181818097</v>
      </c>
      <c r="E50">
        <v>562.59689999999898</v>
      </c>
      <c r="F50">
        <v>706.47316363636298</v>
      </c>
    </row>
    <row r="51" spans="1:8" x14ac:dyDescent="0.25">
      <c r="A51" t="s">
        <v>3</v>
      </c>
      <c r="B51">
        <v>139.85325818181801</v>
      </c>
      <c r="C51">
        <v>139.673086363636</v>
      </c>
      <c r="D51">
        <v>143.25073636363601</v>
      </c>
      <c r="E51">
        <v>151.90048090908999</v>
      </c>
      <c r="F51">
        <v>167.519863636363</v>
      </c>
      <c r="G51">
        <v>120</v>
      </c>
      <c r="H51">
        <v>100</v>
      </c>
    </row>
    <row r="52" spans="1:8" x14ac:dyDescent="0.25">
      <c r="A52" t="s">
        <v>3</v>
      </c>
      <c r="B52">
        <v>169.99535454545401</v>
      </c>
      <c r="C52">
        <v>171.820363636363</v>
      </c>
      <c r="D52">
        <v>175.31899090908999</v>
      </c>
      <c r="E52">
        <v>183.57229090908999</v>
      </c>
      <c r="F52">
        <v>197.832981818181</v>
      </c>
      <c r="G52">
        <v>161</v>
      </c>
    </row>
    <row r="53" spans="1:8" x14ac:dyDescent="0.25">
      <c r="A53" t="s">
        <v>3</v>
      </c>
      <c r="B53">
        <v>172.17471818181801</v>
      </c>
      <c r="C53">
        <v>177.25879090909001</v>
      </c>
      <c r="D53">
        <v>180.203427272727</v>
      </c>
      <c r="E53">
        <v>187.46187272727201</v>
      </c>
      <c r="F53">
        <v>199.782763636363</v>
      </c>
      <c r="G53">
        <v>234</v>
      </c>
    </row>
    <row r="54" spans="1:8" x14ac:dyDescent="0.25">
      <c r="A54" t="s">
        <v>3</v>
      </c>
      <c r="B54">
        <v>172.94664545454501</v>
      </c>
      <c r="C54">
        <v>179.16032727272699</v>
      </c>
      <c r="D54">
        <v>182.41606363636299</v>
      </c>
      <c r="E54">
        <v>190.23681818181799</v>
      </c>
      <c r="F54">
        <v>200.205327272727</v>
      </c>
      <c r="G54">
        <v>350</v>
      </c>
    </row>
    <row r="55" spans="1:8" x14ac:dyDescent="0.25">
      <c r="A55" t="s">
        <v>3</v>
      </c>
      <c r="B55">
        <v>175.70661818181799</v>
      </c>
      <c r="C55">
        <v>183.910009090909</v>
      </c>
      <c r="D55">
        <v>187.09254545454499</v>
      </c>
      <c r="E55">
        <v>191.830581818181</v>
      </c>
      <c r="F55">
        <v>203.75386363636301</v>
      </c>
    </row>
    <row r="56" spans="1:8" x14ac:dyDescent="0.25">
      <c r="A56" t="s">
        <v>3</v>
      </c>
      <c r="B56">
        <v>180.195109090909</v>
      </c>
      <c r="C56">
        <v>183.973227272727</v>
      </c>
      <c r="D56">
        <v>187.150772727272</v>
      </c>
      <c r="E56">
        <v>194.454136363636</v>
      </c>
      <c r="F56">
        <v>207.049527272727</v>
      </c>
    </row>
    <row r="57" spans="1:8" x14ac:dyDescent="0.25">
      <c r="A57" t="s">
        <v>3</v>
      </c>
      <c r="B57">
        <v>180.41637272727201</v>
      </c>
      <c r="C57">
        <v>185.98456363636299</v>
      </c>
      <c r="D57">
        <v>187.387009090909</v>
      </c>
      <c r="E57">
        <v>194.876699999999</v>
      </c>
      <c r="F57">
        <v>208.21573636363601</v>
      </c>
    </row>
    <row r="58" spans="1:8" x14ac:dyDescent="0.25">
      <c r="A58" t="s">
        <v>3</v>
      </c>
      <c r="B58">
        <v>180.88219090909001</v>
      </c>
      <c r="C58">
        <v>188.388518181818</v>
      </c>
      <c r="D58">
        <v>191.336481818181</v>
      </c>
      <c r="E58">
        <v>197.55848181818101</v>
      </c>
      <c r="F58">
        <v>208.268972727272</v>
      </c>
    </row>
    <row r="59" spans="1:8" x14ac:dyDescent="0.25">
      <c r="A59" t="s">
        <v>3</v>
      </c>
      <c r="B59">
        <v>182.04174545454501</v>
      </c>
      <c r="C59">
        <v>188.90424545454499</v>
      </c>
      <c r="D59">
        <v>192.748909090909</v>
      </c>
      <c r="E59">
        <v>199.386818181818</v>
      </c>
      <c r="F59">
        <v>210.91415454545401</v>
      </c>
    </row>
    <row r="60" spans="1:8" x14ac:dyDescent="0.25">
      <c r="A60" t="s">
        <v>3</v>
      </c>
      <c r="B60">
        <v>188.54989090909001</v>
      </c>
      <c r="C60">
        <v>190.31667272727199</v>
      </c>
      <c r="D60">
        <v>193.860218181818</v>
      </c>
      <c r="E60">
        <v>205.70031818181801</v>
      </c>
      <c r="F60">
        <v>218.13433636363601</v>
      </c>
    </row>
    <row r="61" spans="1:8" x14ac:dyDescent="0.25">
      <c r="A61" t="s">
        <v>3</v>
      </c>
      <c r="B61">
        <v>189.70445454545401</v>
      </c>
      <c r="C61">
        <v>193.14319090909001</v>
      </c>
      <c r="D61">
        <v>197.293963636363</v>
      </c>
      <c r="E61">
        <v>205.96483636363601</v>
      </c>
      <c r="F61">
        <v>219.12919090909</v>
      </c>
    </row>
    <row r="62" spans="1:8" x14ac:dyDescent="0.25">
      <c r="A62" t="s">
        <v>3</v>
      </c>
      <c r="B62">
        <v>191.015399999999</v>
      </c>
      <c r="C62">
        <v>196.866409090909</v>
      </c>
      <c r="D62">
        <v>199.75780909090901</v>
      </c>
      <c r="E62">
        <v>206.81329090909</v>
      </c>
      <c r="F62">
        <v>222.67273636363601</v>
      </c>
    </row>
    <row r="63" spans="1:8" x14ac:dyDescent="0.25">
      <c r="A63" t="s">
        <v>3</v>
      </c>
      <c r="B63">
        <v>194.45080909090899</v>
      </c>
      <c r="C63">
        <v>203.334627272727</v>
      </c>
      <c r="D63">
        <v>205.92989999999901</v>
      </c>
      <c r="E63">
        <v>212.23175454545401</v>
      </c>
      <c r="F63">
        <v>223.60603636363601</v>
      </c>
    </row>
    <row r="64" spans="1:8" x14ac:dyDescent="0.25">
      <c r="A64" t="s">
        <v>3</v>
      </c>
      <c r="B64">
        <v>197.37880909090899</v>
      </c>
      <c r="C64">
        <v>210.97404545454501</v>
      </c>
      <c r="D64">
        <v>213.75398181818099</v>
      </c>
      <c r="E64">
        <v>220.505018181818</v>
      </c>
      <c r="F64">
        <v>224.05688181818101</v>
      </c>
    </row>
    <row r="65" spans="1:8" x14ac:dyDescent="0.25">
      <c r="A65" t="s">
        <v>3</v>
      </c>
      <c r="B65">
        <v>204.39436363636301</v>
      </c>
      <c r="C65">
        <v>212.675945454545</v>
      </c>
      <c r="D65">
        <v>215.583981818181</v>
      </c>
      <c r="E65">
        <v>220.821109090909</v>
      </c>
      <c r="F65">
        <v>232.36009090908999</v>
      </c>
    </row>
    <row r="66" spans="1:8" x14ac:dyDescent="0.25">
      <c r="A66" t="s">
        <v>3</v>
      </c>
      <c r="B66">
        <v>204.75703636363599</v>
      </c>
      <c r="C66">
        <v>216.02484545454499</v>
      </c>
      <c r="D66">
        <v>218.53693636363599</v>
      </c>
      <c r="E66">
        <v>222.649445454545</v>
      </c>
      <c r="F66">
        <v>232.46989090909</v>
      </c>
    </row>
    <row r="67" spans="1:8" x14ac:dyDescent="0.25">
      <c r="A67" t="s">
        <v>3</v>
      </c>
      <c r="B67">
        <v>205.35927272727201</v>
      </c>
      <c r="C67">
        <v>217.85983636363599</v>
      </c>
      <c r="D67">
        <v>218.73490909090901</v>
      </c>
      <c r="E67">
        <v>225.28131818181799</v>
      </c>
      <c r="F67">
        <v>234.52448181818099</v>
      </c>
    </row>
    <row r="68" spans="1:8" x14ac:dyDescent="0.25">
      <c r="A68" t="s">
        <v>3</v>
      </c>
      <c r="B68">
        <v>212.161881818181</v>
      </c>
      <c r="C68">
        <v>222.36662727272699</v>
      </c>
      <c r="D68">
        <v>224.828809090909</v>
      </c>
      <c r="E68">
        <v>227.84664545454501</v>
      </c>
      <c r="F68">
        <v>236.928436363636</v>
      </c>
    </row>
    <row r="69" spans="1:8" x14ac:dyDescent="0.25">
      <c r="A69" t="s">
        <v>3</v>
      </c>
      <c r="B69">
        <v>218.309018181818</v>
      </c>
      <c r="C69">
        <v>224.54765454545401</v>
      </c>
      <c r="D69">
        <v>225.193145454545</v>
      </c>
      <c r="E69">
        <v>230.97927272727199</v>
      </c>
      <c r="F69">
        <v>241.37699999999899</v>
      </c>
    </row>
    <row r="70" spans="1:8" x14ac:dyDescent="0.25">
      <c r="A70" t="s">
        <v>3</v>
      </c>
      <c r="B70">
        <v>232.406672727272</v>
      </c>
      <c r="C70">
        <v>226.46249999999901</v>
      </c>
      <c r="D70">
        <v>229.04779090909</v>
      </c>
      <c r="E70">
        <v>235.337999999999</v>
      </c>
      <c r="F70">
        <v>246.62743636363601</v>
      </c>
    </row>
    <row r="71" spans="1:8" x14ac:dyDescent="0.25">
      <c r="A71" t="s">
        <v>3</v>
      </c>
      <c r="C71">
        <v>226.989872727272</v>
      </c>
      <c r="D71">
        <v>229.61509090908999</v>
      </c>
      <c r="E71">
        <v>235.923599999999</v>
      </c>
      <c r="F71">
        <v>247.118209090909</v>
      </c>
    </row>
    <row r="72" spans="1:8" x14ac:dyDescent="0.25">
      <c r="A72" t="s">
        <v>3</v>
      </c>
      <c r="C72">
        <v>228.999545454545</v>
      </c>
      <c r="D72">
        <v>231.85434545454501</v>
      </c>
      <c r="E72">
        <v>238.384118181818</v>
      </c>
      <c r="F72">
        <v>249.58039090909</v>
      </c>
    </row>
    <row r="73" spans="1:8" x14ac:dyDescent="0.25">
      <c r="A73" t="s">
        <v>3</v>
      </c>
      <c r="C73">
        <v>236.851909090909</v>
      </c>
      <c r="D73">
        <v>241.59327272727199</v>
      </c>
      <c r="E73">
        <v>251.78969999999899</v>
      </c>
      <c r="F73">
        <v>266.828972727272</v>
      </c>
    </row>
    <row r="74" spans="1:8" x14ac:dyDescent="0.25">
      <c r="A74" t="s">
        <v>3</v>
      </c>
      <c r="C74">
        <v>417.55609090909002</v>
      </c>
      <c r="D74">
        <v>415.409999999999</v>
      </c>
      <c r="E74">
        <v>413.05096363636301</v>
      </c>
      <c r="F74">
        <v>411.84649090908999</v>
      </c>
    </row>
    <row r="75" spans="1:8" x14ac:dyDescent="0.25">
      <c r="A75" t="s">
        <v>1</v>
      </c>
      <c r="C75">
        <v>147.81808363636301</v>
      </c>
      <c r="D75">
        <v>147.81808363636301</v>
      </c>
      <c r="E75">
        <v>159.44557090909001</v>
      </c>
      <c r="G75">
        <v>136.587771203155</v>
      </c>
      <c r="H75">
        <v>100</v>
      </c>
    </row>
    <row r="76" spans="1:8" x14ac:dyDescent="0.25">
      <c r="A76" t="s">
        <v>1</v>
      </c>
      <c r="C76">
        <v>147.81808363636301</v>
      </c>
      <c r="D76">
        <v>147.81808363636301</v>
      </c>
      <c r="E76">
        <v>163.58735999999899</v>
      </c>
      <c r="G76">
        <v>144.47731755423999</v>
      </c>
    </row>
    <row r="77" spans="1:8" x14ac:dyDescent="0.25">
      <c r="A77" t="s">
        <v>1</v>
      </c>
      <c r="C77">
        <v>147.81808363636301</v>
      </c>
      <c r="D77">
        <v>147.81808363636301</v>
      </c>
      <c r="E77">
        <v>179.27844545454499</v>
      </c>
      <c r="G77">
        <v>151.380670611439</v>
      </c>
    </row>
    <row r="78" spans="1:8" x14ac:dyDescent="0.25">
      <c r="A78" t="s">
        <v>1</v>
      </c>
      <c r="C78">
        <v>147.81808363636301</v>
      </c>
      <c r="D78">
        <v>147.81808363636301</v>
      </c>
      <c r="E78">
        <v>185.571981818181</v>
      </c>
      <c r="G78">
        <v>228.79684418145899</v>
      </c>
    </row>
    <row r="79" spans="1:8" x14ac:dyDescent="0.25">
      <c r="A79" t="s">
        <v>1</v>
      </c>
      <c r="C79">
        <v>147.81808363636301</v>
      </c>
      <c r="D79">
        <v>147.81808363636301</v>
      </c>
      <c r="E79">
        <v>186.094363636363</v>
      </c>
      <c r="G79">
        <v>246.05522682445701</v>
      </c>
    </row>
    <row r="80" spans="1:8" x14ac:dyDescent="0.25">
      <c r="A80" t="s">
        <v>1</v>
      </c>
      <c r="C80">
        <v>147.81808363636301</v>
      </c>
      <c r="D80">
        <v>164.902298181818</v>
      </c>
      <c r="E80">
        <v>226.30778181818101</v>
      </c>
      <c r="G80">
        <v>248.02761341222799</v>
      </c>
    </row>
    <row r="81" spans="1:7" x14ac:dyDescent="0.25">
      <c r="A81" t="s">
        <v>1</v>
      </c>
      <c r="C81">
        <v>147.81808363636301</v>
      </c>
      <c r="D81">
        <v>171.832009090909</v>
      </c>
      <c r="E81">
        <v>234.05034545454501</v>
      </c>
      <c r="G81">
        <v>324.45759368836298</v>
      </c>
    </row>
    <row r="82" spans="1:7" x14ac:dyDescent="0.25">
      <c r="A82" t="s">
        <v>1</v>
      </c>
      <c r="C82">
        <v>147.81808363636301</v>
      </c>
      <c r="D82">
        <v>175.981118181818</v>
      </c>
      <c r="E82">
        <v>239.340709090909</v>
      </c>
      <c r="G82">
        <v>328.402366863905</v>
      </c>
    </row>
    <row r="83" spans="1:7" x14ac:dyDescent="0.25">
      <c r="A83" t="s">
        <v>1</v>
      </c>
      <c r="C83">
        <v>147.81808363636301</v>
      </c>
      <c r="D83">
        <v>176.029363636363</v>
      </c>
      <c r="E83">
        <v>239.891372727272</v>
      </c>
      <c r="G83">
        <v>377.712031558185</v>
      </c>
    </row>
    <row r="84" spans="1:7" x14ac:dyDescent="0.25">
      <c r="A84" t="s">
        <v>1</v>
      </c>
      <c r="C84">
        <v>147.81808363636301</v>
      </c>
      <c r="D84">
        <v>181.18996363636299</v>
      </c>
      <c r="E84">
        <v>251.33386363636299</v>
      </c>
      <c r="G84">
        <v>433.43195266272102</v>
      </c>
    </row>
    <row r="85" spans="1:7" x14ac:dyDescent="0.25">
      <c r="A85" t="s">
        <v>1</v>
      </c>
      <c r="C85">
        <v>147.81808363636301</v>
      </c>
      <c r="D85">
        <v>186.12098181818101</v>
      </c>
      <c r="E85">
        <v>251.541818181818</v>
      </c>
    </row>
    <row r="86" spans="1:7" x14ac:dyDescent="0.25">
      <c r="A86" t="s">
        <v>1</v>
      </c>
      <c r="C86">
        <v>147.81808363636301</v>
      </c>
      <c r="D86">
        <v>187.486827272727</v>
      </c>
      <c r="E86">
        <v>256.09019999999902</v>
      </c>
    </row>
    <row r="87" spans="1:7" x14ac:dyDescent="0.25">
      <c r="A87" t="s">
        <v>1</v>
      </c>
      <c r="C87">
        <v>147.81808363636301</v>
      </c>
      <c r="D87">
        <v>194.379272727272</v>
      </c>
      <c r="E87">
        <v>260.85152727272703</v>
      </c>
    </row>
    <row r="88" spans="1:7" x14ac:dyDescent="0.25">
      <c r="A88" t="s">
        <v>1</v>
      </c>
      <c r="C88">
        <v>147.81808363636301</v>
      </c>
      <c r="D88">
        <v>194.50570909090899</v>
      </c>
      <c r="E88">
        <v>262.54677272727201</v>
      </c>
    </row>
    <row r="89" spans="1:7" x14ac:dyDescent="0.25">
      <c r="A89" t="s">
        <v>1</v>
      </c>
      <c r="C89">
        <v>147.81808363636301</v>
      </c>
      <c r="D89">
        <v>199.849309090909</v>
      </c>
      <c r="E89">
        <v>265.86739090908998</v>
      </c>
    </row>
    <row r="90" spans="1:7" x14ac:dyDescent="0.25">
      <c r="A90" t="s">
        <v>1</v>
      </c>
      <c r="C90">
        <v>147.81808363636301</v>
      </c>
      <c r="D90">
        <v>200.18702727272699</v>
      </c>
      <c r="E90">
        <v>270.33259090909002</v>
      </c>
    </row>
    <row r="91" spans="1:7" x14ac:dyDescent="0.25">
      <c r="A91" t="s">
        <v>1</v>
      </c>
      <c r="C91">
        <v>147.81808363636301</v>
      </c>
      <c r="D91">
        <v>204.79696363636299</v>
      </c>
      <c r="E91">
        <v>274.31367272727198</v>
      </c>
    </row>
    <row r="92" spans="1:7" x14ac:dyDescent="0.25">
      <c r="A92" t="s">
        <v>1</v>
      </c>
      <c r="C92">
        <v>147.81808363636301</v>
      </c>
      <c r="D92">
        <v>209.822809090909</v>
      </c>
      <c r="E92">
        <v>281.46564545454498</v>
      </c>
    </row>
    <row r="93" spans="1:7" x14ac:dyDescent="0.25">
      <c r="A93" t="s">
        <v>1</v>
      </c>
      <c r="C93">
        <v>147.81808363636301</v>
      </c>
      <c r="D93">
        <v>217.067945454545</v>
      </c>
      <c r="E93">
        <v>287.26009090909002</v>
      </c>
    </row>
    <row r="94" spans="1:7" x14ac:dyDescent="0.25">
      <c r="A94" t="s">
        <v>1</v>
      </c>
      <c r="C94">
        <v>147.81808363636301</v>
      </c>
      <c r="D94">
        <v>217.48219090909001</v>
      </c>
      <c r="E94">
        <v>287.79744545454503</v>
      </c>
    </row>
    <row r="95" spans="1:7" x14ac:dyDescent="0.25">
      <c r="A95" t="s">
        <v>1</v>
      </c>
      <c r="C95">
        <v>147.81808363636301</v>
      </c>
      <c r="D95">
        <v>218.05115454545401</v>
      </c>
      <c r="E95">
        <v>288.51613636363601</v>
      </c>
    </row>
    <row r="96" spans="1:7" x14ac:dyDescent="0.25">
      <c r="A96" t="s">
        <v>1</v>
      </c>
      <c r="C96">
        <v>147.81808363636301</v>
      </c>
      <c r="D96">
        <v>218.50199999999899</v>
      </c>
      <c r="E96">
        <v>289.99843636363602</v>
      </c>
    </row>
    <row r="97" spans="1:5" x14ac:dyDescent="0.25">
      <c r="A97" t="s">
        <v>1</v>
      </c>
      <c r="C97">
        <v>147.81808363636301</v>
      </c>
      <c r="D97">
        <v>219.53511818181801</v>
      </c>
      <c r="E97">
        <v>292.95804545454502</v>
      </c>
    </row>
    <row r="98" spans="1:5" x14ac:dyDescent="0.25">
      <c r="A98" t="s">
        <v>1</v>
      </c>
      <c r="C98">
        <v>147.81808363636301</v>
      </c>
      <c r="D98">
        <v>220.69300909090899</v>
      </c>
      <c r="E98">
        <v>294.04273636363598</v>
      </c>
    </row>
    <row r="99" spans="1:5" x14ac:dyDescent="0.25">
      <c r="A99" t="s">
        <v>1</v>
      </c>
      <c r="C99">
        <v>147.81808363636301</v>
      </c>
      <c r="D99">
        <v>221.76106363636299</v>
      </c>
      <c r="E99">
        <v>294.65828181818102</v>
      </c>
    </row>
    <row r="100" spans="1:5" x14ac:dyDescent="0.25">
      <c r="A100" t="s">
        <v>1</v>
      </c>
      <c r="C100">
        <v>147.81808363636301</v>
      </c>
      <c r="D100">
        <v>222.81913636363601</v>
      </c>
      <c r="E100">
        <v>296.83598181818098</v>
      </c>
    </row>
    <row r="101" spans="1:5" x14ac:dyDescent="0.25">
      <c r="A101" t="s">
        <v>1</v>
      </c>
      <c r="C101">
        <v>147.81808363636301</v>
      </c>
      <c r="D101">
        <v>223.94209090909001</v>
      </c>
      <c r="E101">
        <v>297.53803636363602</v>
      </c>
    </row>
    <row r="102" spans="1:5" x14ac:dyDescent="0.25">
      <c r="A102" t="s">
        <v>1</v>
      </c>
      <c r="C102">
        <v>147.81808363636301</v>
      </c>
      <c r="D102">
        <v>225.05839090909001</v>
      </c>
      <c r="E102">
        <v>298.04211818181801</v>
      </c>
    </row>
    <row r="103" spans="1:5" x14ac:dyDescent="0.25">
      <c r="A103" t="s">
        <v>1</v>
      </c>
      <c r="C103">
        <v>147.81808363636301</v>
      </c>
      <c r="D103">
        <v>225.098318181818</v>
      </c>
      <c r="E103">
        <v>301.109863636363</v>
      </c>
    </row>
    <row r="104" spans="1:5" x14ac:dyDescent="0.25">
      <c r="A104" t="s">
        <v>1</v>
      </c>
      <c r="C104">
        <v>147.81808363636301</v>
      </c>
      <c r="D104">
        <v>227.061409090909</v>
      </c>
      <c r="E104">
        <v>301.24295454545398</v>
      </c>
    </row>
    <row r="105" spans="1:5" x14ac:dyDescent="0.25">
      <c r="A105" t="s">
        <v>1</v>
      </c>
      <c r="C105">
        <v>147.81808363636301</v>
      </c>
      <c r="D105">
        <v>228.769963636363</v>
      </c>
      <c r="E105">
        <v>302.76019090909</v>
      </c>
    </row>
    <row r="106" spans="1:5" x14ac:dyDescent="0.25">
      <c r="A106" t="s">
        <v>1</v>
      </c>
      <c r="C106">
        <v>147.81808363636301</v>
      </c>
      <c r="D106">
        <v>229.24909090909</v>
      </c>
      <c r="E106">
        <v>304.497027272727</v>
      </c>
    </row>
    <row r="107" spans="1:5" x14ac:dyDescent="0.25">
      <c r="A107" t="s">
        <v>1</v>
      </c>
      <c r="C107">
        <v>147.81808363636301</v>
      </c>
      <c r="D107">
        <v>236.18978181818099</v>
      </c>
      <c r="E107">
        <v>307.67956363636301</v>
      </c>
    </row>
    <row r="108" spans="1:5" x14ac:dyDescent="0.25">
      <c r="A108" t="s">
        <v>1</v>
      </c>
      <c r="C108">
        <v>147.81808363636301</v>
      </c>
      <c r="D108">
        <v>236.51419090908999</v>
      </c>
      <c r="E108">
        <v>309.79570909090899</v>
      </c>
    </row>
    <row r="109" spans="1:5" x14ac:dyDescent="0.25">
      <c r="A109" t="s">
        <v>1</v>
      </c>
      <c r="C109">
        <v>147.81808363636301</v>
      </c>
      <c r="D109">
        <v>239.658463636363</v>
      </c>
      <c r="E109">
        <v>314.72672727272698</v>
      </c>
    </row>
    <row r="110" spans="1:5" x14ac:dyDescent="0.25">
      <c r="A110" t="s">
        <v>1</v>
      </c>
      <c r="C110">
        <v>147.81808363636301</v>
      </c>
      <c r="D110">
        <v>239.764936363636</v>
      </c>
      <c r="E110">
        <v>314.98958181818102</v>
      </c>
    </row>
    <row r="111" spans="1:5" x14ac:dyDescent="0.25">
      <c r="A111" t="s">
        <v>1</v>
      </c>
      <c r="C111">
        <v>147.81808363636301</v>
      </c>
      <c r="D111">
        <v>243.26356363636299</v>
      </c>
      <c r="E111">
        <v>319.28009999999898</v>
      </c>
    </row>
    <row r="112" spans="1:5" x14ac:dyDescent="0.25">
      <c r="A112" t="s">
        <v>1</v>
      </c>
      <c r="C112">
        <v>155.371325454545</v>
      </c>
      <c r="D112">
        <v>245.02369090908999</v>
      </c>
      <c r="E112">
        <v>320.424681818181</v>
      </c>
    </row>
    <row r="113" spans="1:8" x14ac:dyDescent="0.25">
      <c r="A113" t="s">
        <v>1</v>
      </c>
      <c r="C113">
        <v>159.57084272727201</v>
      </c>
      <c r="D113">
        <v>250.13271818181801</v>
      </c>
      <c r="E113">
        <v>324.26435454545401</v>
      </c>
    </row>
    <row r="114" spans="1:8" x14ac:dyDescent="0.25">
      <c r="A114" t="s">
        <v>1</v>
      </c>
      <c r="C114">
        <v>160.489502727272</v>
      </c>
      <c r="D114">
        <v>251.668254545454</v>
      </c>
      <c r="E114">
        <v>329.02900909090903</v>
      </c>
    </row>
    <row r="115" spans="1:8" x14ac:dyDescent="0.25">
      <c r="A115" t="s">
        <v>1</v>
      </c>
      <c r="C115">
        <v>162.32316272727201</v>
      </c>
      <c r="D115">
        <v>254.742654545454</v>
      </c>
      <c r="E115">
        <v>331.118536363636</v>
      </c>
    </row>
    <row r="116" spans="1:8" x14ac:dyDescent="0.25">
      <c r="A116" t="s">
        <v>1</v>
      </c>
      <c r="C116">
        <v>163.60715727272699</v>
      </c>
      <c r="D116">
        <v>257.10668181818102</v>
      </c>
      <c r="E116">
        <v>334.32103636363598</v>
      </c>
    </row>
    <row r="117" spans="1:8" x14ac:dyDescent="0.25">
      <c r="A117" t="s">
        <v>1</v>
      </c>
      <c r="C117">
        <v>165.63213545454499</v>
      </c>
      <c r="D117">
        <v>258.77697272727198</v>
      </c>
      <c r="E117">
        <v>336.51703636363601</v>
      </c>
    </row>
    <row r="118" spans="1:8" x14ac:dyDescent="0.25">
      <c r="A118" t="s">
        <v>1</v>
      </c>
      <c r="C118">
        <v>165.799497272727</v>
      </c>
      <c r="D118">
        <v>260.61861818181802</v>
      </c>
      <c r="E118">
        <v>338.24555454545401</v>
      </c>
    </row>
    <row r="119" spans="1:8" x14ac:dyDescent="0.25">
      <c r="A119" t="s">
        <v>1</v>
      </c>
      <c r="C119">
        <v>170.58095454545401</v>
      </c>
      <c r="D119">
        <v>263.74791818181802</v>
      </c>
      <c r="E119">
        <v>338.69473636363603</v>
      </c>
    </row>
    <row r="120" spans="1:8" x14ac:dyDescent="0.25">
      <c r="A120" t="s">
        <v>1</v>
      </c>
      <c r="C120">
        <v>173.82005454545401</v>
      </c>
      <c r="D120">
        <v>263.957536363636</v>
      </c>
      <c r="E120">
        <v>341.64769090908999</v>
      </c>
    </row>
    <row r="121" spans="1:8" x14ac:dyDescent="0.25">
      <c r="A121" t="s">
        <v>1</v>
      </c>
      <c r="C121">
        <v>179.73927272727201</v>
      </c>
      <c r="D121">
        <v>268.84529999999899</v>
      </c>
      <c r="E121">
        <v>342.58265454545398</v>
      </c>
    </row>
    <row r="122" spans="1:8" x14ac:dyDescent="0.25">
      <c r="A122" t="s">
        <v>1</v>
      </c>
      <c r="C122">
        <v>192.08678181818101</v>
      </c>
      <c r="D122">
        <v>282.33739090909</v>
      </c>
      <c r="E122">
        <v>358.90958181818098</v>
      </c>
    </row>
    <row r="123" spans="1:8" x14ac:dyDescent="0.25">
      <c r="A123" t="s">
        <v>1</v>
      </c>
      <c r="C123">
        <v>223.62599999999901</v>
      </c>
      <c r="D123">
        <v>305.55010909090902</v>
      </c>
      <c r="E123">
        <v>382.84764545454499</v>
      </c>
    </row>
    <row r="124" spans="1:8" x14ac:dyDescent="0.25">
      <c r="A124" t="s">
        <v>2</v>
      </c>
      <c r="B124">
        <v>218.91624545454499</v>
      </c>
      <c r="C124">
        <v>229.071081818181</v>
      </c>
      <c r="D124">
        <v>239.174345454545</v>
      </c>
      <c r="E124">
        <v>240.33889090909</v>
      </c>
      <c r="F124">
        <v>218.748218181818</v>
      </c>
      <c r="G124">
        <v>130</v>
      </c>
      <c r="H124">
        <v>100</v>
      </c>
    </row>
    <row r="125" spans="1:8" x14ac:dyDescent="0.25">
      <c r="A125" t="s">
        <v>2</v>
      </c>
      <c r="B125">
        <v>232.50649090908999</v>
      </c>
      <c r="C125">
        <v>240.112636363636</v>
      </c>
      <c r="D125">
        <v>252.075845454545</v>
      </c>
      <c r="E125">
        <v>255.99869999999899</v>
      </c>
      <c r="F125">
        <v>236.87519999999901</v>
      </c>
      <c r="G125">
        <v>320</v>
      </c>
    </row>
    <row r="126" spans="1:8" x14ac:dyDescent="0.25">
      <c r="A126" t="s">
        <v>2</v>
      </c>
      <c r="B126">
        <v>232.50649090908999</v>
      </c>
      <c r="C126">
        <v>240.112636363636</v>
      </c>
      <c r="D126">
        <v>252.075845454545</v>
      </c>
      <c r="E126">
        <v>255.99869999999899</v>
      </c>
      <c r="F126">
        <v>236.87519999999901</v>
      </c>
    </row>
    <row r="127" spans="1:8" x14ac:dyDescent="0.25">
      <c r="A127" t="s">
        <v>2</v>
      </c>
      <c r="B127">
        <v>232.50649090908999</v>
      </c>
      <c r="C127">
        <v>240.112636363636</v>
      </c>
      <c r="D127">
        <v>252.075845454545</v>
      </c>
      <c r="E127">
        <v>255.99869999999899</v>
      </c>
      <c r="F127">
        <v>236.87519999999901</v>
      </c>
    </row>
    <row r="128" spans="1:8" x14ac:dyDescent="0.25">
      <c r="A128" t="s">
        <v>2</v>
      </c>
      <c r="B128">
        <v>232.50649090908999</v>
      </c>
      <c r="C128">
        <v>240.112636363636</v>
      </c>
      <c r="D128">
        <v>252.075845454545</v>
      </c>
      <c r="E128">
        <v>255.99869999999899</v>
      </c>
      <c r="F128">
        <v>236.87519999999901</v>
      </c>
    </row>
    <row r="129" spans="1:6" x14ac:dyDescent="0.25">
      <c r="A129" t="s">
        <v>2</v>
      </c>
      <c r="B129">
        <v>235.14834545454499</v>
      </c>
      <c r="C129">
        <v>242.97575454545401</v>
      </c>
      <c r="D129">
        <v>257.44939090909003</v>
      </c>
      <c r="E129">
        <v>258.44590909090903</v>
      </c>
      <c r="F129">
        <v>237.36430909090899</v>
      </c>
    </row>
    <row r="130" spans="1:6" x14ac:dyDescent="0.25">
      <c r="A130" t="s">
        <v>2</v>
      </c>
      <c r="B130">
        <v>235.14834545454499</v>
      </c>
      <c r="C130">
        <v>248.998118181818</v>
      </c>
      <c r="D130">
        <v>257.90189999999899</v>
      </c>
      <c r="E130">
        <v>258.44590909090903</v>
      </c>
      <c r="F130">
        <v>240.62004545454499</v>
      </c>
    </row>
    <row r="131" spans="1:6" x14ac:dyDescent="0.25">
      <c r="A131" t="s">
        <v>2</v>
      </c>
      <c r="B131">
        <v>236.58572727272701</v>
      </c>
      <c r="C131">
        <v>248.998118181818</v>
      </c>
      <c r="D131">
        <v>257.90189999999899</v>
      </c>
      <c r="E131">
        <v>263.21056363636302</v>
      </c>
      <c r="F131">
        <v>240.62004545454499</v>
      </c>
    </row>
    <row r="132" spans="1:6" x14ac:dyDescent="0.25">
      <c r="A132" t="s">
        <v>2</v>
      </c>
      <c r="B132">
        <v>241.08087272727201</v>
      </c>
      <c r="C132">
        <v>253.413409090909</v>
      </c>
      <c r="D132">
        <v>262.64159999999998</v>
      </c>
      <c r="E132">
        <v>263.21056363636302</v>
      </c>
      <c r="F132">
        <v>248.74690909090901</v>
      </c>
    </row>
    <row r="133" spans="1:6" x14ac:dyDescent="0.25">
      <c r="A133" t="s">
        <v>2</v>
      </c>
      <c r="B133">
        <v>241.08087272727201</v>
      </c>
      <c r="C133">
        <v>253.413409090909</v>
      </c>
      <c r="D133">
        <v>262.64159999999998</v>
      </c>
      <c r="E133">
        <v>263.21056363636302</v>
      </c>
      <c r="F133">
        <v>248.74690909090901</v>
      </c>
    </row>
    <row r="134" spans="1:6" x14ac:dyDescent="0.25">
      <c r="A134" t="s">
        <v>2</v>
      </c>
      <c r="B134">
        <v>241.08087272727201</v>
      </c>
      <c r="C134">
        <v>253.413409090909</v>
      </c>
      <c r="D134">
        <v>262.64159999999998</v>
      </c>
      <c r="E134">
        <v>263.21056363636302</v>
      </c>
      <c r="F134">
        <v>248.74690909090901</v>
      </c>
    </row>
    <row r="135" spans="1:6" x14ac:dyDescent="0.25">
      <c r="A135" t="s">
        <v>2</v>
      </c>
      <c r="B135">
        <v>241.08087272727201</v>
      </c>
      <c r="C135">
        <v>253.413409090909</v>
      </c>
      <c r="D135">
        <v>262.64159999999998</v>
      </c>
      <c r="E135">
        <v>263.93590909090898</v>
      </c>
      <c r="F135">
        <v>248.74690909090901</v>
      </c>
    </row>
    <row r="136" spans="1:6" x14ac:dyDescent="0.25">
      <c r="A136" t="s">
        <v>2</v>
      </c>
      <c r="B136">
        <v>241.67312727272699</v>
      </c>
      <c r="C136">
        <v>254.10049090909001</v>
      </c>
      <c r="D136">
        <v>263.38191818181798</v>
      </c>
      <c r="E136">
        <v>263.93590909090898</v>
      </c>
      <c r="F136">
        <v>248.74690909090901</v>
      </c>
    </row>
    <row r="137" spans="1:6" x14ac:dyDescent="0.25">
      <c r="A137" t="s">
        <v>2</v>
      </c>
      <c r="B137">
        <v>241.67312727272699</v>
      </c>
      <c r="C137">
        <v>254.10049090909001</v>
      </c>
      <c r="D137">
        <v>263.38191818181798</v>
      </c>
      <c r="E137">
        <v>268.85195454545402</v>
      </c>
      <c r="F137">
        <v>249.30589090909001</v>
      </c>
    </row>
    <row r="138" spans="1:6" x14ac:dyDescent="0.25">
      <c r="A138" t="s">
        <v>2</v>
      </c>
      <c r="B138">
        <v>241.78126363636301</v>
      </c>
      <c r="C138">
        <v>254.719363636363</v>
      </c>
      <c r="D138">
        <v>268.97672727272698</v>
      </c>
      <c r="E138">
        <v>270.56383636363603</v>
      </c>
      <c r="F138">
        <v>249.30589090909001</v>
      </c>
    </row>
    <row r="139" spans="1:6" x14ac:dyDescent="0.25">
      <c r="A139" t="s">
        <v>2</v>
      </c>
      <c r="B139">
        <v>241.78126363636301</v>
      </c>
      <c r="C139">
        <v>254.719363636363</v>
      </c>
      <c r="D139">
        <v>268.97672727272698</v>
      </c>
      <c r="E139">
        <v>270.56383636363603</v>
      </c>
      <c r="F139">
        <v>250.022918181818</v>
      </c>
    </row>
    <row r="140" spans="1:6" x14ac:dyDescent="0.25">
      <c r="A140" t="s">
        <v>2</v>
      </c>
      <c r="B140">
        <v>241.78126363636301</v>
      </c>
      <c r="C140">
        <v>254.719363636363</v>
      </c>
      <c r="D140">
        <v>268.97672727272698</v>
      </c>
      <c r="E140">
        <v>270.56383636363603</v>
      </c>
      <c r="F140">
        <v>250.022918181818</v>
      </c>
    </row>
    <row r="141" spans="1:6" x14ac:dyDescent="0.25">
      <c r="A141" t="s">
        <v>2</v>
      </c>
      <c r="B141">
        <v>241.78126363636301</v>
      </c>
      <c r="C141">
        <v>254.719363636363</v>
      </c>
      <c r="D141">
        <v>268.97672727272698</v>
      </c>
      <c r="E141">
        <v>270.56383636363603</v>
      </c>
      <c r="F141">
        <v>250.022918181818</v>
      </c>
    </row>
    <row r="142" spans="1:6" x14ac:dyDescent="0.25">
      <c r="A142" t="s">
        <v>2</v>
      </c>
      <c r="B142">
        <v>241.78126363636301</v>
      </c>
      <c r="C142">
        <v>254.719363636363</v>
      </c>
      <c r="D142">
        <v>268.97672727272698</v>
      </c>
      <c r="E142">
        <v>270.56383636363603</v>
      </c>
      <c r="F142">
        <v>250.022918181818</v>
      </c>
    </row>
    <row r="143" spans="1:6" x14ac:dyDescent="0.25">
      <c r="A143" t="s">
        <v>2</v>
      </c>
      <c r="B143">
        <v>242.78609999999901</v>
      </c>
      <c r="C143">
        <v>257.579154545454</v>
      </c>
      <c r="D143">
        <v>272.32063636363603</v>
      </c>
      <c r="E143">
        <v>273.31549090908999</v>
      </c>
      <c r="F143">
        <v>250.022918181818</v>
      </c>
    </row>
    <row r="144" spans="1:6" x14ac:dyDescent="0.25">
      <c r="A144" t="s">
        <v>2</v>
      </c>
      <c r="B144">
        <v>242.78609999999901</v>
      </c>
      <c r="C144">
        <v>257.579154545454</v>
      </c>
      <c r="D144">
        <v>272.32063636363603</v>
      </c>
      <c r="E144">
        <v>273.31549090908999</v>
      </c>
      <c r="F144">
        <v>250.022918181818</v>
      </c>
    </row>
    <row r="145" spans="1:6" x14ac:dyDescent="0.25">
      <c r="A145" t="s">
        <v>2</v>
      </c>
      <c r="B145">
        <v>242.78609999999901</v>
      </c>
      <c r="C145">
        <v>258.26956363636299</v>
      </c>
      <c r="D145">
        <v>272.917881818181</v>
      </c>
      <c r="E145">
        <v>273.31549090908999</v>
      </c>
      <c r="F145">
        <v>250.022918181818</v>
      </c>
    </row>
    <row r="146" spans="1:6" x14ac:dyDescent="0.25">
      <c r="A146" t="s">
        <v>2</v>
      </c>
      <c r="B146">
        <v>242.78609999999901</v>
      </c>
      <c r="C146">
        <v>258.26956363636299</v>
      </c>
      <c r="D146">
        <v>272.917881818181</v>
      </c>
      <c r="E146">
        <v>273.31549090908999</v>
      </c>
      <c r="F146">
        <v>250.66508181818099</v>
      </c>
    </row>
    <row r="147" spans="1:6" x14ac:dyDescent="0.25">
      <c r="A147" t="s">
        <v>2</v>
      </c>
      <c r="B147">
        <v>242.78609999999901</v>
      </c>
      <c r="C147">
        <v>258.26956363636299</v>
      </c>
      <c r="D147">
        <v>272.917881818181</v>
      </c>
      <c r="E147">
        <v>273.31549090908999</v>
      </c>
      <c r="F147">
        <v>250.66508181818099</v>
      </c>
    </row>
    <row r="148" spans="1:6" x14ac:dyDescent="0.25">
      <c r="A148" t="s">
        <v>2</v>
      </c>
      <c r="B148">
        <v>244.09870909090901</v>
      </c>
      <c r="C148">
        <v>258.26956363636299</v>
      </c>
      <c r="D148">
        <v>272.917881818181</v>
      </c>
      <c r="E148">
        <v>276.63777272727202</v>
      </c>
      <c r="F148">
        <v>250.66508181818099</v>
      </c>
    </row>
    <row r="149" spans="1:6" x14ac:dyDescent="0.25">
      <c r="A149" t="s">
        <v>2</v>
      </c>
      <c r="B149">
        <v>244.09870909090901</v>
      </c>
      <c r="C149">
        <v>258.26956363636299</v>
      </c>
      <c r="D149">
        <v>272.917881818181</v>
      </c>
      <c r="E149">
        <v>276.63777272727202</v>
      </c>
      <c r="F149">
        <v>250.66508181818099</v>
      </c>
    </row>
    <row r="150" spans="1:6" x14ac:dyDescent="0.25">
      <c r="A150" t="s">
        <v>2</v>
      </c>
      <c r="B150">
        <v>244.71259090909001</v>
      </c>
      <c r="C150">
        <v>258.26956363636299</v>
      </c>
      <c r="D150">
        <v>273.06428181818097</v>
      </c>
      <c r="E150">
        <v>277.36977272727199</v>
      </c>
      <c r="F150">
        <v>250.96120909090899</v>
      </c>
    </row>
    <row r="151" spans="1:6" x14ac:dyDescent="0.25">
      <c r="A151" t="s">
        <v>2</v>
      </c>
      <c r="B151">
        <v>244.71259090909001</v>
      </c>
      <c r="C151">
        <v>258.26956363636299</v>
      </c>
      <c r="D151">
        <v>273.06428181818097</v>
      </c>
      <c r="E151">
        <v>277.36977272727199</v>
      </c>
      <c r="F151">
        <v>250.96120909090899</v>
      </c>
    </row>
    <row r="152" spans="1:6" x14ac:dyDescent="0.25">
      <c r="A152" t="s">
        <v>2</v>
      </c>
      <c r="B152">
        <v>244.71259090909001</v>
      </c>
      <c r="C152">
        <v>263.67804545454499</v>
      </c>
      <c r="D152">
        <v>273.06428181818097</v>
      </c>
      <c r="E152">
        <v>277.36977272727199</v>
      </c>
      <c r="F152">
        <v>250.96120909090899</v>
      </c>
    </row>
    <row r="153" spans="1:6" x14ac:dyDescent="0.25">
      <c r="A153" t="s">
        <v>2</v>
      </c>
      <c r="B153">
        <v>244.71259090909001</v>
      </c>
      <c r="C153">
        <v>263.67804545454499</v>
      </c>
      <c r="D153">
        <v>273.06428181818097</v>
      </c>
      <c r="E153">
        <v>277.36977272727199</v>
      </c>
      <c r="F153">
        <v>250.96120909090899</v>
      </c>
    </row>
    <row r="154" spans="1:6" x14ac:dyDescent="0.25">
      <c r="A154" t="s">
        <v>2</v>
      </c>
      <c r="B154">
        <v>244.71259090909001</v>
      </c>
      <c r="C154">
        <v>263.67804545454499</v>
      </c>
      <c r="D154">
        <v>273.06428181818097</v>
      </c>
      <c r="E154">
        <v>277.36977272727199</v>
      </c>
      <c r="F154">
        <v>250.96120909090899</v>
      </c>
    </row>
    <row r="155" spans="1:6" x14ac:dyDescent="0.25">
      <c r="A155" t="s">
        <v>2</v>
      </c>
      <c r="B155">
        <v>244.71259090909001</v>
      </c>
      <c r="C155">
        <v>263.67804545454499</v>
      </c>
      <c r="D155">
        <v>273.06428181818097</v>
      </c>
      <c r="E155">
        <v>277.36977272727199</v>
      </c>
      <c r="F155">
        <v>251.380445454545</v>
      </c>
    </row>
    <row r="156" spans="1:6" x14ac:dyDescent="0.25">
      <c r="A156" t="s">
        <v>2</v>
      </c>
      <c r="B156">
        <v>244.71259090909001</v>
      </c>
      <c r="C156">
        <v>263.67804545454499</v>
      </c>
      <c r="D156">
        <v>273.06428181818097</v>
      </c>
      <c r="E156">
        <v>277.36977272727199</v>
      </c>
      <c r="F156">
        <v>251.380445454545</v>
      </c>
    </row>
    <row r="157" spans="1:6" x14ac:dyDescent="0.25">
      <c r="A157" t="s">
        <v>2</v>
      </c>
      <c r="B157">
        <v>247.33448181818099</v>
      </c>
      <c r="C157">
        <v>265.80583636363599</v>
      </c>
      <c r="D157">
        <v>281.74679999999898</v>
      </c>
      <c r="E157">
        <v>284.490136363636</v>
      </c>
      <c r="F157">
        <v>263.77952727272702</v>
      </c>
    </row>
    <row r="158" spans="1:6" x14ac:dyDescent="0.25">
      <c r="A158" t="s">
        <v>2</v>
      </c>
      <c r="B158">
        <v>249.354136363636</v>
      </c>
      <c r="C158">
        <v>265.80583636363599</v>
      </c>
      <c r="D158">
        <v>281.74679999999898</v>
      </c>
      <c r="E158">
        <v>284.490136363636</v>
      </c>
      <c r="F158">
        <v>263.77952727272702</v>
      </c>
    </row>
    <row r="159" spans="1:6" x14ac:dyDescent="0.25">
      <c r="A159" t="s">
        <v>2</v>
      </c>
      <c r="B159">
        <v>249.354136363636</v>
      </c>
      <c r="C159">
        <v>265.80583636363599</v>
      </c>
      <c r="D159">
        <v>281.74679999999898</v>
      </c>
      <c r="E159">
        <v>284.490136363636</v>
      </c>
      <c r="F159">
        <v>263.77952727272702</v>
      </c>
    </row>
    <row r="160" spans="1:6" x14ac:dyDescent="0.25">
      <c r="A160" t="s">
        <v>2</v>
      </c>
      <c r="B160">
        <v>249.354136363636</v>
      </c>
      <c r="C160">
        <v>268.261363636363</v>
      </c>
      <c r="D160">
        <v>286.78595454545399</v>
      </c>
      <c r="E160">
        <v>290.31951818181801</v>
      </c>
      <c r="F160">
        <v>266.45299090908998</v>
      </c>
    </row>
    <row r="161" spans="1:6" x14ac:dyDescent="0.25">
      <c r="A161" t="s">
        <v>2</v>
      </c>
      <c r="B161">
        <v>253.57311818181799</v>
      </c>
      <c r="C161">
        <v>268.906854545454</v>
      </c>
      <c r="D161">
        <v>286.94732727272702</v>
      </c>
      <c r="E161">
        <v>293.76823636363599</v>
      </c>
      <c r="F161">
        <v>267.15171818181801</v>
      </c>
    </row>
    <row r="162" spans="1:6" x14ac:dyDescent="0.25">
      <c r="A162" t="s">
        <v>2</v>
      </c>
      <c r="B162">
        <v>254.142081818181</v>
      </c>
      <c r="C162">
        <v>268.906854545454</v>
      </c>
      <c r="D162">
        <v>287.50464545454503</v>
      </c>
      <c r="E162">
        <v>294.48193636363601</v>
      </c>
      <c r="F162">
        <v>267.15171818181801</v>
      </c>
    </row>
    <row r="163" spans="1:6" x14ac:dyDescent="0.25">
      <c r="A163" t="s">
        <v>2</v>
      </c>
      <c r="B163">
        <v>254.142081818181</v>
      </c>
      <c r="C163">
        <v>268.906854545454</v>
      </c>
      <c r="D163">
        <v>287.50464545454503</v>
      </c>
      <c r="E163">
        <v>294.48193636363601</v>
      </c>
      <c r="F163">
        <v>267.15171818181801</v>
      </c>
    </row>
    <row r="164" spans="1:6" x14ac:dyDescent="0.25">
      <c r="A164" t="s">
        <v>2</v>
      </c>
      <c r="B164">
        <v>262.66988181818101</v>
      </c>
      <c r="C164">
        <v>269.06989090909002</v>
      </c>
      <c r="D164">
        <v>287.50464545454503</v>
      </c>
      <c r="E164">
        <v>294.48193636363601</v>
      </c>
      <c r="F164">
        <v>273.22731818181802</v>
      </c>
    </row>
    <row r="165" spans="1:6" x14ac:dyDescent="0.25">
      <c r="A165" t="s">
        <v>2</v>
      </c>
      <c r="B165">
        <v>287.927209090909</v>
      </c>
      <c r="C165">
        <v>285.20383636363601</v>
      </c>
      <c r="D165">
        <v>304.14599999999899</v>
      </c>
      <c r="E165">
        <v>304.35229090909002</v>
      </c>
      <c r="F165">
        <v>286.187045454545</v>
      </c>
    </row>
    <row r="166" spans="1:6" x14ac:dyDescent="0.25">
      <c r="A166" t="s">
        <v>2</v>
      </c>
      <c r="C166">
        <v>335.04139090909001</v>
      </c>
      <c r="D166">
        <v>363.27662727272701</v>
      </c>
      <c r="E166">
        <v>360.16396363636301</v>
      </c>
      <c r="F166">
        <v>335.22439090909</v>
      </c>
    </row>
    <row r="167" spans="1:6" x14ac:dyDescent="0.25">
      <c r="A167" t="s">
        <v>2</v>
      </c>
      <c r="C167">
        <v>335.04139090909001</v>
      </c>
      <c r="D167">
        <v>365.600727272727</v>
      </c>
      <c r="E167">
        <v>362.28676363636299</v>
      </c>
      <c r="F167">
        <v>337.28896363636301</v>
      </c>
    </row>
    <row r="168" spans="1:6" x14ac:dyDescent="0.25">
      <c r="A168" t="s">
        <v>2</v>
      </c>
      <c r="C168">
        <v>473.795318181818</v>
      </c>
      <c r="D168">
        <v>365.600727272727</v>
      </c>
      <c r="E168">
        <v>362.28676363636299</v>
      </c>
      <c r="F168">
        <v>337.28896363636301</v>
      </c>
    </row>
    <row r="169" spans="1:6" x14ac:dyDescent="0.25">
      <c r="A169" t="s">
        <v>2</v>
      </c>
      <c r="D169">
        <v>365.600727272727</v>
      </c>
      <c r="E169">
        <v>362.28676363636299</v>
      </c>
      <c r="F169">
        <v>337.28896363636301</v>
      </c>
    </row>
    <row r="170" spans="1:6" x14ac:dyDescent="0.25">
      <c r="A170" t="s">
        <v>2</v>
      </c>
      <c r="D170">
        <v>365.600727272727</v>
      </c>
      <c r="E170">
        <v>362.28676363636299</v>
      </c>
      <c r="F170">
        <v>337.28896363636301</v>
      </c>
    </row>
    <row r="171" spans="1:6" x14ac:dyDescent="0.25">
      <c r="A171" t="s">
        <v>2</v>
      </c>
      <c r="D171">
        <v>365.600727272727</v>
      </c>
      <c r="E171">
        <v>362.28676363636299</v>
      </c>
      <c r="F171">
        <v>337.28896363636301</v>
      </c>
    </row>
    <row r="172" spans="1:6" x14ac:dyDescent="0.25">
      <c r="A172" t="s">
        <v>2</v>
      </c>
      <c r="D172">
        <v>510.668154545454</v>
      </c>
      <c r="E172">
        <v>506.40092727272702</v>
      </c>
      <c r="F172">
        <v>477.262336363636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</dc:creator>
  <cp:lastModifiedBy>Nathan Preuss</cp:lastModifiedBy>
  <dcterms:created xsi:type="dcterms:W3CDTF">2015-06-05T18:17:20Z</dcterms:created>
  <dcterms:modified xsi:type="dcterms:W3CDTF">2026-05-20T13:17:42Z</dcterms:modified>
</cp:coreProperties>
</file>