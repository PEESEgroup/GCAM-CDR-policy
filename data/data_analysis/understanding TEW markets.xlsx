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data\data_analysis\"/>
    </mc:Choice>
  </mc:AlternateContent>
  <xr:revisionPtr revIDLastSave="0" documentId="13_ncr:1_{ADFBF5DD-921A-48E9-AD3B-796B8FDF0B4D}" xr6:coauthVersionLast="47" xr6:coauthVersionMax="47" xr10:uidLastSave="{00000000-0000-0000-0000-000000000000}"/>
  <bookViews>
    <workbookView xWindow="-120" yWindow="-120" windowWidth="29040" windowHeight="17520" xr2:uid="{8111BAC2-3C26-4A41-BBD5-6F57C9F53EF0}"/>
  </bookViews>
  <sheets>
    <sheet name="Sheet1" sheetId="1" r:id="rId1"/>
    <sheet name="Sheet2" sheetId="2" r:id="rId2"/>
  </sheets>
  <definedNames>
    <definedName name="_xlnm._FilterDatabase" localSheetId="1" hidden="1">Sheet2!$A$1:$K$27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L65" i="1"/>
  <c r="L51" i="1"/>
  <c r="G83" i="1"/>
  <c r="B55" i="1" s="1"/>
  <c r="C60" i="1" s="1"/>
  <c r="L64" i="1" s="1"/>
  <c r="H84" i="1"/>
  <c r="G84" i="1"/>
  <c r="G56" i="1"/>
  <c r="G80" i="1"/>
  <c r="G79" i="1"/>
  <c r="G57" i="1"/>
  <c r="G77" i="1"/>
  <c r="L29" i="1"/>
  <c r="L28" i="1"/>
  <c r="L27" i="1"/>
  <c r="L26" i="1"/>
  <c r="L25" i="1"/>
  <c r="L66" i="1"/>
  <c r="L63" i="1"/>
  <c r="G72" i="1"/>
  <c r="G71" i="1"/>
  <c r="H66" i="1"/>
  <c r="G66" i="1"/>
  <c r="I66" i="1" s="1"/>
  <c r="H65" i="1"/>
  <c r="H64" i="1"/>
  <c r="G64" i="1"/>
  <c r="I64" i="1" s="1"/>
  <c r="C59" i="1"/>
  <c r="B59" i="1"/>
  <c r="H52" i="1"/>
  <c r="H71" i="1" s="1"/>
  <c r="C51" i="1"/>
  <c r="M50" i="1"/>
  <c r="L67" i="1" s="1"/>
  <c r="C50" i="1"/>
  <c r="H49" i="1"/>
  <c r="H47" i="1"/>
  <c r="M46" i="1"/>
  <c r="C44" i="1"/>
  <c r="H33" i="1"/>
  <c r="H31" i="1"/>
  <c r="H32" i="1"/>
  <c r="H34" i="1" s="1"/>
  <c r="G33" i="1"/>
  <c r="G32" i="1"/>
  <c r="G31" i="1"/>
  <c r="L21" i="1"/>
  <c r="M21" i="1"/>
  <c r="M16" i="1"/>
  <c r="L16" i="1"/>
  <c r="M8" i="1"/>
  <c r="M13" i="1"/>
  <c r="M12" i="1"/>
  <c r="M14" i="1" s="1"/>
  <c r="L14" i="1"/>
  <c r="L13" i="1"/>
  <c r="G36" i="1"/>
  <c r="H72" i="1" l="1"/>
  <c r="G65" i="1"/>
  <c r="I65" i="1" s="1"/>
  <c r="B60" i="1"/>
  <c r="B61" i="1" s="1"/>
  <c r="G48" i="1" s="1"/>
  <c r="H48" i="1" s="1"/>
  <c r="H70" i="1" s="1"/>
  <c r="H73" i="1" s="1"/>
  <c r="M51" i="1" s="1"/>
  <c r="M52" i="1" s="1"/>
  <c r="C61" i="1"/>
  <c r="G34" i="1"/>
  <c r="M17" i="1"/>
  <c r="L17" i="1"/>
  <c r="B23" i="1"/>
  <c r="B22" i="1"/>
  <c r="C13" i="1"/>
  <c r="C22" i="1" s="1"/>
  <c r="C23" i="1" s="1"/>
  <c r="B25" i="1"/>
  <c r="B21" i="1"/>
  <c r="H14" i="1"/>
  <c r="H10" i="1"/>
  <c r="H9" i="1"/>
  <c r="H36" i="1" s="1"/>
  <c r="H26" i="1"/>
  <c r="H27" i="1"/>
  <c r="H25" i="1"/>
  <c r="G27" i="1"/>
  <c r="G26" i="1"/>
  <c r="G25" i="1"/>
  <c r="C12" i="1"/>
  <c r="C25" i="1" s="1"/>
  <c r="C6" i="1"/>
  <c r="C21" i="1" s="1"/>
  <c r="H11" i="1"/>
  <c r="K28" i="2"/>
  <c r="K27" i="2"/>
  <c r="K26" i="2"/>
  <c r="G70" i="1" l="1"/>
  <c r="G73" i="1" s="1"/>
  <c r="L52" i="1" s="1"/>
  <c r="L59" i="1" s="1"/>
  <c r="H37" i="1"/>
  <c r="G37" i="1"/>
  <c r="I26" i="1"/>
  <c r="I25" i="1"/>
  <c r="I27" i="1"/>
  <c r="B26" i="1"/>
  <c r="C26" i="1"/>
</calcChain>
</file>

<file path=xl/sharedStrings.xml><?xml version="1.0" encoding="utf-8"?>
<sst xmlns="http://schemas.openxmlformats.org/spreadsheetml/2006/main" count="382" uniqueCount="122">
  <si>
    <t>2025 dollars</t>
  </si>
  <si>
    <t>Price of TEW credit</t>
  </si>
  <si>
    <t>Units</t>
  </si>
  <si>
    <t>1975 dollars</t>
  </si>
  <si>
    <t>Price of TEW (TX basalt)</t>
  </si>
  <si>
    <t>Yield of silicate</t>
  </si>
  <si>
    <t>Non-input cost</t>
  </si>
  <si>
    <t>Total Cost</t>
  </si>
  <si>
    <t>Yield of cropland_TEW</t>
  </si>
  <si>
    <t>Yield of crushed_silicate</t>
  </si>
  <si>
    <t>Price of TEW_cropland</t>
  </si>
  <si>
    <t>Price of trn_freight</t>
  </si>
  <si>
    <t>crushed_silicate cost</t>
  </si>
  <si>
    <t>Price-unit conversion for trn_freight</t>
  </si>
  <si>
    <t>Trn_freight cost</t>
  </si>
  <si>
    <t>Yield of trn_freight (TX)</t>
  </si>
  <si>
    <t>Demand of crushed_silicate</t>
  </si>
  <si>
    <t>Demand of trn_freight</t>
  </si>
  <si>
    <t>Input</t>
  </si>
  <si>
    <t>Yield</t>
  </si>
  <si>
    <t>Demand</t>
  </si>
  <si>
    <t>Unit</t>
  </si>
  <si>
    <t>Mha</t>
  </si>
  <si>
    <t>Million ton-km</t>
  </si>
  <si>
    <t>Supply of TEW</t>
  </si>
  <si>
    <t>Mt CO2-eq</t>
  </si>
  <si>
    <t>TEW shareweight</t>
  </si>
  <si>
    <t>Unitless</t>
  </si>
  <si>
    <t>TEW (California basalt)</t>
  </si>
  <si>
    <t>cropland_TEW</t>
  </si>
  <si>
    <t>crushed_silicate</t>
  </si>
  <si>
    <t>trn_freight</t>
  </si>
  <si>
    <t>TEW (Central Northeast basalt)</t>
  </si>
  <si>
    <t>TEW (Central Southwest basalt)</t>
  </si>
  <si>
    <t>TEW (Mid-Atlantic basalt)</t>
  </si>
  <si>
    <t>TEW (New England basalt)</t>
  </si>
  <si>
    <t>TEW (Northwest basalt)</t>
  </si>
  <si>
    <t>TEW (Southwest basalt)</t>
  </si>
  <si>
    <t>TEW (Texas basalt)</t>
  </si>
  <si>
    <t>asdf</t>
  </si>
  <si>
    <t>km</t>
  </si>
  <si>
    <t>Mt</t>
  </si>
  <si>
    <t>$/ha</t>
  </si>
  <si>
    <t>$t/ton-km</t>
  </si>
  <si>
    <t>1990 dollars</t>
  </si>
  <si>
    <t>$/kg</t>
  </si>
  <si>
    <t>Price of texas_gridcrushed_silicate</t>
  </si>
  <si>
    <t>Product</t>
  </si>
  <si>
    <t>TX TEW (GCAM)</t>
  </si>
  <si>
    <t>Crushed silicate production (TX)</t>
  </si>
  <si>
    <t>Product Prices (GCAM)</t>
  </si>
  <si>
    <t>CDR Input to TEW (Texas Basalt) (GCAM)</t>
  </si>
  <si>
    <t>TEW_cropland</t>
  </si>
  <si>
    <t>silicate production</t>
  </si>
  <si>
    <t>price of global silicate</t>
  </si>
  <si>
    <t>Price of TX_crushed_silicate</t>
  </si>
  <si>
    <t>$/kg silicate</t>
  </si>
  <si>
    <t>silicate production (TX) (GCAM)</t>
  </si>
  <si>
    <t>Crushed silicate production (TX) (GCAM)</t>
  </si>
  <si>
    <t>Crushed silicate production (config files)</t>
  </si>
  <si>
    <t>TEW (TX Basalt) (GCAM)</t>
  </si>
  <si>
    <t>TEW (TX Basalt) (config files)</t>
  </si>
  <si>
    <t>IO verification</t>
  </si>
  <si>
    <t>Supply of TEW from crushed_silicate</t>
  </si>
  <si>
    <t xml:space="preserve">Calculated </t>
  </si>
  <si>
    <t>Actual</t>
  </si>
  <si>
    <t>Difference</t>
  </si>
  <si>
    <t>Supply of TEW from cropland_TEW</t>
  </si>
  <si>
    <t>Supply of TEW from trn_freight</t>
  </si>
  <si>
    <t>Cost Verification</t>
  </si>
  <si>
    <t>TX Basalt</t>
  </si>
  <si>
    <t>Mt/Mt TEW (TX Basalt)</t>
  </si>
  <si>
    <t>Mha/Mt TEW (TX Basalt)</t>
  </si>
  <si>
    <t>million ton-km/Mt TEW (TX Basalt)</t>
  </si>
  <si>
    <t>cropland_TEW cost</t>
  </si>
  <si>
    <t>$/kg TX basalt</t>
  </si>
  <si>
    <t>$/kg crushed silicate</t>
  </si>
  <si>
    <t>Basalt Cost</t>
  </si>
  <si>
    <t>Yield of elect_td_ind</t>
  </si>
  <si>
    <t>Mt/Mt crushed silicate</t>
  </si>
  <si>
    <t>/Mt crushed silicate</t>
  </si>
  <si>
    <t>silicate cost</t>
  </si>
  <si>
    <t>elect_td_ind cost</t>
  </si>
  <si>
    <t>Crushed silicate cost</t>
  </si>
  <si>
    <t>Price of TX_elect_td_ind</t>
  </si>
  <si>
    <t>$/GJ</t>
  </si>
  <si>
    <t>CDR Input to TX_TEW (GCAM)</t>
  </si>
  <si>
    <t>$/kg C</t>
  </si>
  <si>
    <t>TEW Credit Cost</t>
  </si>
  <si>
    <t>$/kg TEW Credit</t>
  </si>
  <si>
    <t>Likely due to combination of all the different types of basalt and shareweights</t>
  </si>
  <si>
    <t>2025$/t CDR</t>
  </si>
  <si>
    <t>Fixed solution</t>
  </si>
  <si>
    <t>Cost Breakdown</t>
  </si>
  <si>
    <t>Silicate</t>
  </si>
  <si>
    <t>Electricity</t>
  </si>
  <si>
    <t>Cropland</t>
  </si>
  <si>
    <t>Freight</t>
  </si>
  <si>
    <t>Non-Input</t>
  </si>
  <si>
    <t>TEW Extraction Curve</t>
  </si>
  <si>
    <t>Limit_Land</t>
  </si>
  <si>
    <t>Contribution Analysis</t>
  </si>
  <si>
    <t>GCAM-CDR-USA default version (except for non-input cost)</t>
  </si>
  <si>
    <t>Original application rate</t>
  </si>
  <si>
    <t>Item</t>
  </si>
  <si>
    <t>Number</t>
  </si>
  <si>
    <t>t/ha</t>
  </si>
  <si>
    <t>Source</t>
  </si>
  <si>
    <t>GCAM-CDR</t>
  </si>
  <si>
    <t>https://www.nature.com/articles/s41586-024-08429-2.pdf</t>
  </si>
  <si>
    <t>Updated application rate</t>
  </si>
  <si>
    <t>Original CDR yield</t>
  </si>
  <si>
    <t>Mt crushed silicate/Mt C</t>
  </si>
  <si>
    <t>0.25 Gt CO2-eq in 2070 from 1 Gt crushed rock</t>
  </si>
  <si>
    <t>Eastern Interconnection Grinding Energy Demand</t>
  </si>
  <si>
    <t>Western Interconnection Grinding Energy Demand</t>
  </si>
  <si>
    <t>TWh/Gt Rock</t>
  </si>
  <si>
    <t xml:space="preserve">Original Energy Demand </t>
  </si>
  <si>
    <t>Updated Parameter Specification</t>
  </si>
  <si>
    <t>EJ/Mt crushed silicate</t>
  </si>
  <si>
    <t>Updated Energy Demand</t>
  </si>
  <si>
    <t>Updated CDR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</si>
</sst>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11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Sheet1!$L$62</c:f>
              <c:strCache>
                <c:ptCount val="1"/>
                <c:pt idx="0">
                  <c:v>2025 dollars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B4-4C99-B09E-55FA609803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B4-4C99-B09E-55FA609803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B4-4C99-B09E-55FA609803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B4-4C99-B09E-55FA609803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B4-4C99-B09E-55FA60980389}"/>
              </c:ext>
            </c:extLst>
          </c:dPt>
          <c:cat>
            <c:strRef>
              <c:f>Sheet1!$K$63:$K$67</c:f>
              <c:strCache>
                <c:ptCount val="5"/>
                <c:pt idx="0">
                  <c:v>Silicate</c:v>
                </c:pt>
                <c:pt idx="1">
                  <c:v>Electricity</c:v>
                </c:pt>
                <c:pt idx="2">
                  <c:v>Cropland</c:v>
                </c:pt>
                <c:pt idx="3">
                  <c:v>Freight</c:v>
                </c:pt>
                <c:pt idx="4">
                  <c:v>Non-Input</c:v>
                </c:pt>
              </c:strCache>
            </c:strRef>
          </c:cat>
          <c:val>
            <c:numRef>
              <c:f>Sheet1!$L$63:$L$67</c:f>
              <c:numCache>
                <c:formatCode>General</c:formatCode>
                <c:ptCount val="5"/>
                <c:pt idx="0">
                  <c:v>8.9466666666666653E-2</c:v>
                </c:pt>
                <c:pt idx="1">
                  <c:v>6.4554365567999997E-2</c:v>
                </c:pt>
                <c:pt idx="2">
                  <c:v>2.6839999999999999E-2</c:v>
                </c:pt>
                <c:pt idx="3">
                  <c:v>2.8826871597348834E-2</c:v>
                </c:pt>
                <c:pt idx="4">
                  <c:v>0.26839999999999997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1-4403-B0ED-B563E648D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Sheet1!$L$24</c:f>
              <c:strCache>
                <c:ptCount val="1"/>
                <c:pt idx="0">
                  <c:v>2025 dollars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5-4B21-A3BB-2AA6D062CC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5-4B21-A3BB-2AA6D062CC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05-4B21-A3BB-2AA6D062CC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05-4B21-A3BB-2AA6D062CC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05-4B21-A3BB-2AA6D062CCC6}"/>
              </c:ext>
            </c:extLst>
          </c:dPt>
          <c:cat>
            <c:strRef>
              <c:f>Sheet1!$K$25:$K$29</c:f>
              <c:strCache>
                <c:ptCount val="5"/>
                <c:pt idx="0">
                  <c:v>Silicate</c:v>
                </c:pt>
                <c:pt idx="1">
                  <c:v>Electricity</c:v>
                </c:pt>
                <c:pt idx="2">
                  <c:v>Cropland</c:v>
                </c:pt>
                <c:pt idx="3">
                  <c:v>Freight</c:v>
                </c:pt>
                <c:pt idx="4">
                  <c:v>Non-Input</c:v>
                </c:pt>
              </c:strCache>
            </c:strRef>
          </c:cat>
          <c:val>
            <c:numRef>
              <c:f>Sheet1!$L$25:$L$29</c:f>
              <c:numCache>
                <c:formatCode>General</c:formatCode>
                <c:ptCount val="5"/>
                <c:pt idx="0">
                  <c:v>7.4541999999999997E-2</c:v>
                </c:pt>
                <c:pt idx="1">
                  <c:v>4.471963673822164</c:v>
                </c:pt>
                <c:pt idx="2">
                  <c:v>1.7890080000000002</c:v>
                </c:pt>
                <c:pt idx="3">
                  <c:v>2.8826871597348834E-2</c:v>
                </c:pt>
                <c:pt idx="4">
                  <c:v>0.48033333333333328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8-4CD6-A923-1541EDB8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69</xdr:row>
      <xdr:rowOff>33337</xdr:rowOff>
    </xdr:from>
    <xdr:to>
      <xdr:col>15</xdr:col>
      <xdr:colOff>180975</xdr:colOff>
      <xdr:row>83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724A5-5F53-5938-AE87-07B6BE5A7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21</xdr:row>
      <xdr:rowOff>176212</xdr:rowOff>
    </xdr:from>
    <xdr:to>
      <xdr:col>20</xdr:col>
      <xdr:colOff>314325</xdr:colOff>
      <xdr:row>36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FD53B-3304-3AFC-D9F6-23E362A2B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66</xdr:row>
      <xdr:rowOff>0</xdr:rowOff>
    </xdr:from>
    <xdr:to>
      <xdr:col>3</xdr:col>
      <xdr:colOff>495300</xdr:colOff>
      <xdr:row>74</xdr:row>
      <xdr:rowOff>37636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6416EB-D36C-572A-92CE-0E30A6F9A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4638675" cy="156163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75</xdr:row>
      <xdr:rowOff>0</xdr:rowOff>
    </xdr:from>
    <xdr:to>
      <xdr:col>2</xdr:col>
      <xdr:colOff>781588</xdr:colOff>
      <xdr:row>87</xdr:row>
      <xdr:rowOff>319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B4F64-231D-2E10-099F-16332A3A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14287500"/>
          <a:ext cx="385816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ADC1-B46D-415F-8453-53E8EF7749F4}">
  <dimension ref="A1:N84"/>
  <sheetViews>
    <sheetView tabSelected="1" topLeftCell="A38" workbookViewId="0">
      <selection activeCell="C56" sqref="C56"/>
    </sheetView>
  </sheetViews>
  <sheetFormatPr defaultRowHeight="15" x14ac:dyDescent="0.25"/>
  <cols>
    <col min="1" max="1" width="38.140625" bestFit="1" customWidth="1"/>
    <col min="2" max="3" width="12" bestFit="1" customWidth="1"/>
    <col min="4" max="4" width="10.140625" bestFit="1" customWidth="1"/>
    <col min="5" max="5" width="10.140625" customWidth="1"/>
    <col min="6" max="6" width="38.85546875" bestFit="1" customWidth="1"/>
    <col min="7" max="7" width="12" bestFit="1" customWidth="1"/>
    <col min="8" max="8" width="21.140625" bestFit="1" customWidth="1"/>
    <col min="9" max="9" width="10.140625" bestFit="1" customWidth="1"/>
    <col min="11" max="11" width="19.85546875" bestFit="1" customWidth="1"/>
    <col min="12" max="12" width="13.7109375" bestFit="1" customWidth="1"/>
    <col min="13" max="13" width="12" bestFit="1" customWidth="1"/>
    <col min="14" max="14" width="11.85546875" bestFit="1" customWidth="1"/>
  </cols>
  <sheetData>
    <row r="1" spans="1:14" x14ac:dyDescent="0.25">
      <c r="A1" s="1" t="s">
        <v>102</v>
      </c>
    </row>
    <row r="2" spans="1:14" x14ac:dyDescent="0.25">
      <c r="A2" s="4" t="s">
        <v>57</v>
      </c>
      <c r="F2" s="4" t="s">
        <v>60</v>
      </c>
      <c r="K2" s="4" t="s">
        <v>48</v>
      </c>
    </row>
    <row r="3" spans="1:14" x14ac:dyDescent="0.25">
      <c r="A3" s="5" t="s">
        <v>18</v>
      </c>
      <c r="B3" s="5" t="s">
        <v>19</v>
      </c>
      <c r="C3" s="5" t="s">
        <v>2</v>
      </c>
      <c r="F3" s="5" t="s">
        <v>51</v>
      </c>
      <c r="G3" s="5" t="s">
        <v>20</v>
      </c>
      <c r="H3" s="5" t="s">
        <v>21</v>
      </c>
      <c r="K3" s="5" t="s">
        <v>86</v>
      </c>
      <c r="L3" s="5" t="s">
        <v>20</v>
      </c>
      <c r="M3" s="5" t="s">
        <v>21</v>
      </c>
    </row>
    <row r="4" spans="1:14" x14ac:dyDescent="0.25">
      <c r="A4" t="s">
        <v>53</v>
      </c>
      <c r="B4">
        <v>51.244999999999997</v>
      </c>
      <c r="C4" t="s">
        <v>41</v>
      </c>
      <c r="F4" t="s">
        <v>16</v>
      </c>
      <c r="G4">
        <v>7.1999999999999995E-2</v>
      </c>
      <c r="H4" t="s">
        <v>41</v>
      </c>
      <c r="K4" t="s">
        <v>24</v>
      </c>
      <c r="L4">
        <v>8.5999999999999993E-2</v>
      </c>
      <c r="M4" t="s">
        <v>25</v>
      </c>
    </row>
    <row r="5" spans="1:14" x14ac:dyDescent="0.25">
      <c r="A5" s="5" t="s">
        <v>47</v>
      </c>
      <c r="B5" s="5" t="s">
        <v>3</v>
      </c>
      <c r="C5" s="5" t="s">
        <v>0</v>
      </c>
      <c r="D5" s="5" t="s">
        <v>2</v>
      </c>
      <c r="E5" s="5"/>
      <c r="F5" t="s">
        <v>17</v>
      </c>
      <c r="G5">
        <v>3.0539999999999998</v>
      </c>
      <c r="H5" t="s">
        <v>23</v>
      </c>
      <c r="K5" t="s">
        <v>26</v>
      </c>
      <c r="L5">
        <v>4.2290000000000001E-2</v>
      </c>
      <c r="M5" t="s">
        <v>27</v>
      </c>
    </row>
    <row r="6" spans="1:14" x14ac:dyDescent="0.25">
      <c r="A6" t="s">
        <v>54</v>
      </c>
      <c r="B6">
        <v>1E-3</v>
      </c>
      <c r="C6">
        <f>B6*6.1</f>
        <v>6.0999999999999995E-3</v>
      </c>
      <c r="D6" t="s">
        <v>56</v>
      </c>
      <c r="F6" t="s">
        <v>52</v>
      </c>
      <c r="G6">
        <v>0.154</v>
      </c>
      <c r="H6" t="s">
        <v>22</v>
      </c>
    </row>
    <row r="7" spans="1:14" x14ac:dyDescent="0.25">
      <c r="K7" s="5" t="s">
        <v>50</v>
      </c>
      <c r="L7" s="5" t="s">
        <v>3</v>
      </c>
      <c r="M7" s="5" t="s">
        <v>0</v>
      </c>
      <c r="N7" s="5" t="s">
        <v>2</v>
      </c>
    </row>
    <row r="8" spans="1:14" x14ac:dyDescent="0.25">
      <c r="A8" s="4" t="s">
        <v>58</v>
      </c>
      <c r="F8" s="5" t="s">
        <v>50</v>
      </c>
      <c r="G8" s="5" t="s">
        <v>3</v>
      </c>
      <c r="H8" s="5" t="s">
        <v>0</v>
      </c>
      <c r="I8" s="5" t="s">
        <v>2</v>
      </c>
      <c r="K8" t="s">
        <v>1</v>
      </c>
      <c r="L8">
        <v>1.147</v>
      </c>
      <c r="M8">
        <f>L8*6.1</f>
        <v>6.9966999999999997</v>
      </c>
      <c r="N8" t="s">
        <v>87</v>
      </c>
    </row>
    <row r="9" spans="1:14" x14ac:dyDescent="0.25">
      <c r="A9" s="5" t="s">
        <v>18</v>
      </c>
      <c r="B9" s="5" t="s">
        <v>19</v>
      </c>
      <c r="C9" s="5" t="s">
        <v>2</v>
      </c>
      <c r="F9" t="s">
        <v>4</v>
      </c>
      <c r="G9">
        <v>1.127</v>
      </c>
      <c r="H9">
        <f>G9*6.1</f>
        <v>6.8746999999999998</v>
      </c>
      <c r="I9" t="s">
        <v>45</v>
      </c>
    </row>
    <row r="10" spans="1:14" x14ac:dyDescent="0.25">
      <c r="A10" t="s">
        <v>49</v>
      </c>
      <c r="B10">
        <v>0.38900000000000001</v>
      </c>
      <c r="C10" t="s">
        <v>41</v>
      </c>
      <c r="F10" t="s">
        <v>46</v>
      </c>
      <c r="G10">
        <v>6.0999999999999999E-2</v>
      </c>
      <c r="H10">
        <f>G10*6.1</f>
        <v>0.37209999999999999</v>
      </c>
      <c r="I10" t="s">
        <v>76</v>
      </c>
      <c r="K10" s="4" t="s">
        <v>69</v>
      </c>
    </row>
    <row r="11" spans="1:14" x14ac:dyDescent="0.25">
      <c r="A11" s="5" t="s">
        <v>47</v>
      </c>
      <c r="B11" s="5" t="s">
        <v>3</v>
      </c>
      <c r="C11" s="5" t="s">
        <v>0</v>
      </c>
      <c r="D11" s="5" t="s">
        <v>2</v>
      </c>
      <c r="F11" t="s">
        <v>10</v>
      </c>
      <c r="G11">
        <v>1.2E-2</v>
      </c>
      <c r="H11">
        <f>G11*6.1</f>
        <v>7.3200000000000001E-2</v>
      </c>
      <c r="I11" t="s">
        <v>42</v>
      </c>
      <c r="K11" s="5" t="s">
        <v>18</v>
      </c>
      <c r="L11" s="5" t="s">
        <v>3</v>
      </c>
      <c r="M11" s="5" t="s">
        <v>0</v>
      </c>
      <c r="N11" s="5" t="s">
        <v>2</v>
      </c>
    </row>
    <row r="12" spans="1:14" x14ac:dyDescent="0.25">
      <c r="A12" t="s">
        <v>55</v>
      </c>
      <c r="B12">
        <v>6.0999999999999999E-2</v>
      </c>
      <c r="C12">
        <f>B12*6.1</f>
        <v>0.37209999999999999</v>
      </c>
      <c r="D12" t="s">
        <v>56</v>
      </c>
      <c r="K12" t="s">
        <v>6</v>
      </c>
      <c r="L12">
        <v>7.8743169398907104E-2</v>
      </c>
      <c r="M12">
        <f>L12*6.1</f>
        <v>0.48033333333333328</v>
      </c>
      <c r="N12" t="s">
        <v>87</v>
      </c>
    </row>
    <row r="13" spans="1:14" x14ac:dyDescent="0.25">
      <c r="A13" t="s">
        <v>84</v>
      </c>
      <c r="B13">
        <v>10.226000000000001</v>
      </c>
      <c r="C13">
        <f>B13*6.1</f>
        <v>62.378599999999999</v>
      </c>
      <c r="D13" t="s">
        <v>85</v>
      </c>
      <c r="F13" s="5" t="s">
        <v>50</v>
      </c>
      <c r="G13" s="5" t="s">
        <v>44</v>
      </c>
      <c r="H13" s="5" t="s">
        <v>0</v>
      </c>
      <c r="I13" s="5" t="s">
        <v>2</v>
      </c>
      <c r="K13" t="s">
        <v>70</v>
      </c>
      <c r="L13">
        <f>G9</f>
        <v>1.127</v>
      </c>
      <c r="M13">
        <f>H9</f>
        <v>6.8746999999999998</v>
      </c>
      <c r="N13" t="s">
        <v>87</v>
      </c>
    </row>
    <row r="14" spans="1:14" x14ac:dyDescent="0.25">
      <c r="F14" t="s">
        <v>11</v>
      </c>
      <c r="G14">
        <v>6.2E-2</v>
      </c>
      <c r="H14">
        <f>G14*2.49</f>
        <v>0.15438000000000002</v>
      </c>
      <c r="I14" t="s">
        <v>43</v>
      </c>
      <c r="K14" s="1" t="s">
        <v>7</v>
      </c>
      <c r="L14" s="1">
        <f>SUM(L12:L13)</f>
        <v>1.2057431693989071</v>
      </c>
      <c r="M14" s="1">
        <f>SUM(M12:M13)</f>
        <v>7.3550333333333331</v>
      </c>
      <c r="N14" t="s">
        <v>87</v>
      </c>
    </row>
    <row r="15" spans="1:14" x14ac:dyDescent="0.25">
      <c r="A15" s="4" t="s">
        <v>59</v>
      </c>
    </row>
    <row r="16" spans="1:14" x14ac:dyDescent="0.25">
      <c r="A16" t="s">
        <v>5</v>
      </c>
      <c r="B16">
        <v>1</v>
      </c>
      <c r="C16" t="s">
        <v>79</v>
      </c>
      <c r="F16" s="4" t="s">
        <v>61</v>
      </c>
      <c r="K16" t="s">
        <v>88</v>
      </c>
      <c r="L16">
        <f>L8</f>
        <v>1.147</v>
      </c>
      <c r="M16">
        <f>M8</f>
        <v>6.9966999999999997</v>
      </c>
      <c r="N16" t="s">
        <v>89</v>
      </c>
    </row>
    <row r="17" spans="1:14" x14ac:dyDescent="0.25">
      <c r="A17" t="s">
        <v>78</v>
      </c>
      <c r="B17">
        <v>5.8666669999999999E-3</v>
      </c>
      <c r="C17" t="s">
        <v>119</v>
      </c>
      <c r="F17" s="5" t="s">
        <v>18</v>
      </c>
      <c r="G17" s="5" t="s">
        <v>19</v>
      </c>
      <c r="H17" s="5" t="s">
        <v>2</v>
      </c>
      <c r="K17" s="7" t="s">
        <v>66</v>
      </c>
      <c r="L17" s="7">
        <f>L16-L14</f>
        <v>-5.8743169398907114E-2</v>
      </c>
      <c r="M17" s="7">
        <f>M16-M14</f>
        <v>-0.35833333333333339</v>
      </c>
      <c r="N17" s="7" t="s">
        <v>75</v>
      </c>
    </row>
    <row r="18" spans="1:14" x14ac:dyDescent="0.25">
      <c r="F18" t="s">
        <v>9</v>
      </c>
      <c r="G18">
        <v>12.22</v>
      </c>
      <c r="H18" t="s">
        <v>71</v>
      </c>
      <c r="K18" t="s">
        <v>90</v>
      </c>
    </row>
    <row r="19" spans="1:14" x14ac:dyDescent="0.25">
      <c r="A19" s="4" t="s">
        <v>69</v>
      </c>
      <c r="F19" t="s">
        <v>8</v>
      </c>
      <c r="G19">
        <v>24.44</v>
      </c>
      <c r="H19" t="s">
        <v>72</v>
      </c>
    </row>
    <row r="20" spans="1:14" x14ac:dyDescent="0.25">
      <c r="A20" s="5" t="s">
        <v>47</v>
      </c>
      <c r="B20" s="5" t="s">
        <v>3</v>
      </c>
      <c r="C20" s="5" t="s">
        <v>0</v>
      </c>
      <c r="D20" s="5" t="s">
        <v>2</v>
      </c>
      <c r="F20" t="s">
        <v>15</v>
      </c>
      <c r="G20">
        <v>413.03911620000002</v>
      </c>
      <c r="H20" t="s">
        <v>40</v>
      </c>
      <c r="K20" s="5" t="s">
        <v>50</v>
      </c>
      <c r="L20" s="5" t="s">
        <v>3</v>
      </c>
      <c r="M20" s="5" t="s">
        <v>0</v>
      </c>
      <c r="N20" s="5" t="s">
        <v>2</v>
      </c>
    </row>
    <row r="21" spans="1:14" x14ac:dyDescent="0.25">
      <c r="A21" t="s">
        <v>81</v>
      </c>
      <c r="B21">
        <f>B6</f>
        <v>1E-3</v>
      </c>
      <c r="C21">
        <f>C6</f>
        <v>6.0999999999999995E-3</v>
      </c>
      <c r="D21" t="s">
        <v>75</v>
      </c>
      <c r="F21" t="s">
        <v>13</v>
      </c>
      <c r="G21">
        <v>4.5207999999999999E-4</v>
      </c>
      <c r="H21" t="s">
        <v>73</v>
      </c>
      <c r="K21" t="s">
        <v>7</v>
      </c>
      <c r="L21">
        <f>L14*12/44*1000</f>
        <v>328.83904619970195</v>
      </c>
      <c r="M21">
        <f>M14*12/44*1000</f>
        <v>2005.9181818181817</v>
      </c>
      <c r="N21" t="s">
        <v>91</v>
      </c>
    </row>
    <row r="22" spans="1:14" x14ac:dyDescent="0.25">
      <c r="A22" t="s">
        <v>82</v>
      </c>
      <c r="B22">
        <f>B$17*B13</f>
        <v>5.9992536742000002E-2</v>
      </c>
      <c r="C22">
        <f>B$17*C13</f>
        <v>0.36595447412619997</v>
      </c>
      <c r="D22" t="s">
        <v>75</v>
      </c>
    </row>
    <row r="23" spans="1:14" x14ac:dyDescent="0.25">
      <c r="A23" s="1" t="s">
        <v>7</v>
      </c>
      <c r="B23" s="1">
        <f>SUM(B21:B22)</f>
        <v>6.0992536742000003E-2</v>
      </c>
      <c r="C23" s="1">
        <f>SUM(C21:C22)</f>
        <v>0.37205447412619996</v>
      </c>
      <c r="D23" s="1" t="s">
        <v>75</v>
      </c>
      <c r="F23" s="4" t="s">
        <v>62</v>
      </c>
    </row>
    <row r="24" spans="1:14" x14ac:dyDescent="0.25">
      <c r="F24" s="5" t="s">
        <v>47</v>
      </c>
      <c r="G24" s="5" t="s">
        <v>64</v>
      </c>
      <c r="H24" s="5" t="s">
        <v>65</v>
      </c>
      <c r="I24" s="5" t="s">
        <v>66</v>
      </c>
      <c r="K24" s="5" t="s">
        <v>93</v>
      </c>
      <c r="L24" s="5" t="s">
        <v>0</v>
      </c>
      <c r="M24" s="5" t="s">
        <v>2</v>
      </c>
    </row>
    <row r="25" spans="1:14" x14ac:dyDescent="0.25">
      <c r="A25" t="s">
        <v>83</v>
      </c>
      <c r="B25">
        <f>B12</f>
        <v>6.0999999999999999E-2</v>
      </c>
      <c r="C25">
        <f>C12</f>
        <v>0.37209999999999999</v>
      </c>
      <c r="D25" t="s">
        <v>75</v>
      </c>
      <c r="E25" s="2"/>
      <c r="F25" t="s">
        <v>63</v>
      </c>
      <c r="G25">
        <f>G4/G18</f>
        <v>5.8919803600654659E-3</v>
      </c>
      <c r="H25">
        <f>L$4*L$5</f>
        <v>3.63694E-3</v>
      </c>
      <c r="I25">
        <f>G25-H25</f>
        <v>2.255040360065466E-3</v>
      </c>
      <c r="K25" t="s">
        <v>94</v>
      </c>
      <c r="L25">
        <f>C6*G18</f>
        <v>7.4541999999999997E-2</v>
      </c>
    </row>
    <row r="26" spans="1:14" x14ac:dyDescent="0.25">
      <c r="A26" s="6" t="s">
        <v>66</v>
      </c>
      <c r="B26" s="6">
        <f>B25-B23</f>
        <v>7.4632579999955873E-6</v>
      </c>
      <c r="C26" s="6">
        <f>C25-C23</f>
        <v>4.5525873800023042E-5</v>
      </c>
      <c r="D26" s="6" t="s">
        <v>75</v>
      </c>
      <c r="F26" t="s">
        <v>67</v>
      </c>
      <c r="G26">
        <f>G6/G19</f>
        <v>6.3011456628477899E-3</v>
      </c>
      <c r="H26">
        <f>L$4*L$5</f>
        <v>3.63694E-3</v>
      </c>
      <c r="I26">
        <f t="shared" ref="I26:I27" si="0">G26-H26</f>
        <v>2.6642056628477899E-3</v>
      </c>
      <c r="K26" t="s">
        <v>95</v>
      </c>
      <c r="L26">
        <f>C22*G18</f>
        <v>4.471963673822164</v>
      </c>
    </row>
    <row r="27" spans="1:14" x14ac:dyDescent="0.25">
      <c r="F27" t="s">
        <v>68</v>
      </c>
      <c r="G27">
        <f>G5*G21</f>
        <v>1.3806523199999998E-3</v>
      </c>
      <c r="H27">
        <f>L$4*L$5</f>
        <v>3.63694E-3</v>
      </c>
      <c r="I27">
        <f t="shared" si="0"/>
        <v>-2.2562876799999999E-3</v>
      </c>
      <c r="K27" t="s">
        <v>96</v>
      </c>
      <c r="L27">
        <f>H11*G19</f>
        <v>1.7890080000000002</v>
      </c>
    </row>
    <row r="28" spans="1:14" x14ac:dyDescent="0.25">
      <c r="K28" t="s">
        <v>97</v>
      </c>
      <c r="L28">
        <f>H14*G20*G21</f>
        <v>2.8826871597348834E-2</v>
      </c>
    </row>
    <row r="29" spans="1:14" x14ac:dyDescent="0.25">
      <c r="F29" s="4" t="s">
        <v>69</v>
      </c>
      <c r="K29" t="s">
        <v>98</v>
      </c>
      <c r="L29">
        <f>M12</f>
        <v>0.48033333333333328</v>
      </c>
    </row>
    <row r="30" spans="1:14" x14ac:dyDescent="0.25">
      <c r="F30" s="5" t="s">
        <v>47</v>
      </c>
      <c r="G30" s="5" t="s">
        <v>3</v>
      </c>
      <c r="H30" s="5" t="s">
        <v>0</v>
      </c>
      <c r="I30" s="5" t="s">
        <v>2</v>
      </c>
    </row>
    <row r="31" spans="1:14" x14ac:dyDescent="0.25">
      <c r="F31" t="s">
        <v>12</v>
      </c>
      <c r="G31">
        <f>$G18*G10</f>
        <v>0.74541999999999997</v>
      </c>
      <c r="H31">
        <f>$G18*H10</f>
        <v>4.5470620000000004</v>
      </c>
      <c r="I31" t="s">
        <v>75</v>
      </c>
    </row>
    <row r="32" spans="1:14" x14ac:dyDescent="0.25">
      <c r="F32" t="s">
        <v>14</v>
      </c>
      <c r="G32">
        <f>$G20*G14*$G21</f>
        <v>1.1577056866405151E-2</v>
      </c>
      <c r="H32">
        <f>$G20*H14*$G21</f>
        <v>2.8826871597348834E-2</v>
      </c>
      <c r="I32" t="s">
        <v>75</v>
      </c>
    </row>
    <row r="33" spans="1:14" x14ac:dyDescent="0.25">
      <c r="F33" t="s">
        <v>74</v>
      </c>
      <c r="G33">
        <f>$G11*G19</f>
        <v>0.29328000000000004</v>
      </c>
      <c r="H33">
        <f>$H11*G19</f>
        <v>1.7890080000000002</v>
      </c>
      <c r="I33" t="s">
        <v>75</v>
      </c>
    </row>
    <row r="34" spans="1:14" x14ac:dyDescent="0.25">
      <c r="F34" s="1" t="s">
        <v>7</v>
      </c>
      <c r="G34" s="1">
        <f>SUM(G31:G33)</f>
        <v>1.0502770568664053</v>
      </c>
      <c r="H34" s="1">
        <f>SUM(H31:H33)</f>
        <v>6.3648968715973488</v>
      </c>
      <c r="I34" s="1" t="s">
        <v>75</v>
      </c>
    </row>
    <row r="36" spans="1:14" x14ac:dyDescent="0.25">
      <c r="F36" t="s">
        <v>77</v>
      </c>
      <c r="G36">
        <f>G9</f>
        <v>1.127</v>
      </c>
      <c r="H36">
        <f>H9</f>
        <v>6.8746999999999998</v>
      </c>
      <c r="I36" t="s">
        <v>75</v>
      </c>
    </row>
    <row r="37" spans="1:14" x14ac:dyDescent="0.25">
      <c r="F37" s="7" t="s">
        <v>66</v>
      </c>
      <c r="G37" s="7">
        <f>G36-G34</f>
        <v>7.6722943133594734E-2</v>
      </c>
      <c r="H37" s="7">
        <f>H36-H34</f>
        <v>0.50980312840265096</v>
      </c>
      <c r="I37" s="7" t="s">
        <v>75</v>
      </c>
    </row>
    <row r="39" spans="1:14" x14ac:dyDescent="0.25">
      <c r="A39" s="1" t="s">
        <v>92</v>
      </c>
    </row>
    <row r="40" spans="1:14" x14ac:dyDescent="0.25">
      <c r="A40" s="4" t="s">
        <v>57</v>
      </c>
      <c r="F40" s="4" t="s">
        <v>60</v>
      </c>
      <c r="K40" s="4" t="s">
        <v>48</v>
      </c>
    </row>
    <row r="41" spans="1:14" x14ac:dyDescent="0.25">
      <c r="A41" s="5" t="s">
        <v>18</v>
      </c>
      <c r="B41" s="5" t="s">
        <v>19</v>
      </c>
      <c r="C41" s="5" t="s">
        <v>2</v>
      </c>
      <c r="F41" s="5" t="s">
        <v>51</v>
      </c>
      <c r="G41" s="5" t="s">
        <v>20</v>
      </c>
      <c r="H41" s="5" t="s">
        <v>21</v>
      </c>
      <c r="K41" s="5" t="s">
        <v>86</v>
      </c>
      <c r="L41" s="5" t="s">
        <v>20</v>
      </c>
      <c r="M41" s="5" t="s">
        <v>21</v>
      </c>
    </row>
    <row r="42" spans="1:14" x14ac:dyDescent="0.25">
      <c r="A42" t="s">
        <v>53</v>
      </c>
      <c r="B42">
        <v>51.244999999999997</v>
      </c>
      <c r="C42" t="s">
        <v>41</v>
      </c>
      <c r="F42" t="s">
        <v>16</v>
      </c>
      <c r="G42">
        <v>7.1999999999999995E-2</v>
      </c>
      <c r="H42" t="s">
        <v>41</v>
      </c>
      <c r="K42" t="s">
        <v>24</v>
      </c>
      <c r="L42">
        <v>8.5999999999999993E-2</v>
      </c>
      <c r="M42" t="s">
        <v>25</v>
      </c>
    </row>
    <row r="43" spans="1:14" x14ac:dyDescent="0.25">
      <c r="A43" s="5" t="s">
        <v>47</v>
      </c>
      <c r="B43" s="5" t="s">
        <v>3</v>
      </c>
      <c r="C43" s="5" t="s">
        <v>0</v>
      </c>
      <c r="D43" s="5" t="s">
        <v>2</v>
      </c>
      <c r="E43" s="5"/>
      <c r="F43" t="s">
        <v>17</v>
      </c>
      <c r="G43">
        <v>3.0539999999999998</v>
      </c>
      <c r="H43" t="s">
        <v>23</v>
      </c>
      <c r="K43" t="s">
        <v>26</v>
      </c>
      <c r="L43">
        <v>4.2290000000000001E-2</v>
      </c>
      <c r="M43" t="s">
        <v>27</v>
      </c>
    </row>
    <row r="44" spans="1:14" x14ac:dyDescent="0.25">
      <c r="A44" t="s">
        <v>54</v>
      </c>
      <c r="B44">
        <v>1E-3</v>
      </c>
      <c r="C44">
        <f>B44*6.1</f>
        <v>6.0999999999999995E-3</v>
      </c>
      <c r="D44" t="s">
        <v>56</v>
      </c>
      <c r="F44" t="s">
        <v>52</v>
      </c>
      <c r="G44">
        <v>0.154</v>
      </c>
      <c r="H44" t="s">
        <v>22</v>
      </c>
    </row>
    <row r="45" spans="1:14" x14ac:dyDescent="0.25">
      <c r="K45" s="5" t="s">
        <v>50</v>
      </c>
      <c r="L45" s="5" t="s">
        <v>3</v>
      </c>
      <c r="M45" s="5" t="s">
        <v>0</v>
      </c>
      <c r="N45" s="5" t="s">
        <v>2</v>
      </c>
    </row>
    <row r="46" spans="1:14" x14ac:dyDescent="0.25">
      <c r="A46" s="4" t="s">
        <v>58</v>
      </c>
      <c r="F46" s="5" t="s">
        <v>50</v>
      </c>
      <c r="G46" s="5" t="s">
        <v>3</v>
      </c>
      <c r="H46" s="5" t="s">
        <v>0</v>
      </c>
      <c r="I46" s="5" t="s">
        <v>2</v>
      </c>
      <c r="K46" t="s">
        <v>1</v>
      </c>
      <c r="L46">
        <v>1.147</v>
      </c>
      <c r="M46">
        <f>L46*6.1</f>
        <v>6.9966999999999997</v>
      </c>
      <c r="N46" t="s">
        <v>87</v>
      </c>
    </row>
    <row r="47" spans="1:14" x14ac:dyDescent="0.25">
      <c r="A47" s="5" t="s">
        <v>18</v>
      </c>
      <c r="B47" s="5" t="s">
        <v>19</v>
      </c>
      <c r="C47" s="5" t="s">
        <v>2</v>
      </c>
      <c r="F47" t="s">
        <v>4</v>
      </c>
      <c r="G47">
        <v>1.127</v>
      </c>
      <c r="H47">
        <f>G47*6.1</f>
        <v>6.8746999999999998</v>
      </c>
      <c r="I47" t="s">
        <v>45</v>
      </c>
    </row>
    <row r="48" spans="1:14" x14ac:dyDescent="0.25">
      <c r="A48" t="s">
        <v>49</v>
      </c>
      <c r="B48">
        <v>0.38900000000000001</v>
      </c>
      <c r="C48" t="s">
        <v>41</v>
      </c>
      <c r="F48" t="s">
        <v>46</v>
      </c>
      <c r="G48">
        <f>B61</f>
        <v>1.7215465599999999E-3</v>
      </c>
      <c r="H48">
        <f>G48*6.1</f>
        <v>1.0501434015999999E-2</v>
      </c>
      <c r="I48" t="s">
        <v>76</v>
      </c>
      <c r="K48" s="4" t="s">
        <v>69</v>
      </c>
    </row>
    <row r="49" spans="1:14" x14ac:dyDescent="0.25">
      <c r="A49" s="5" t="s">
        <v>47</v>
      </c>
      <c r="B49" s="5" t="s">
        <v>3</v>
      </c>
      <c r="C49" s="5" t="s">
        <v>0</v>
      </c>
      <c r="D49" s="5" t="s">
        <v>2</v>
      </c>
      <c r="F49" t="s">
        <v>10</v>
      </c>
      <c r="G49">
        <v>1.2E-2</v>
      </c>
      <c r="H49">
        <f>G49*6.1</f>
        <v>7.3200000000000001E-2</v>
      </c>
      <c r="I49" t="s">
        <v>42</v>
      </c>
      <c r="K49" s="5" t="s">
        <v>18</v>
      </c>
      <c r="L49" s="5" t="s">
        <v>3</v>
      </c>
      <c r="M49" s="5" t="s">
        <v>0</v>
      </c>
      <c r="N49" s="5" t="s">
        <v>2</v>
      </c>
    </row>
    <row r="50" spans="1:14" x14ac:dyDescent="0.25">
      <c r="A50" t="s">
        <v>55</v>
      </c>
      <c r="B50">
        <v>6.0999999999999999E-2</v>
      </c>
      <c r="C50">
        <f>B50*6.1</f>
        <v>0.37209999999999999</v>
      </c>
      <c r="D50" t="s">
        <v>56</v>
      </c>
      <c r="K50" t="s">
        <v>6</v>
      </c>
      <c r="L50" s="6">
        <v>4.3999999999999997E-2</v>
      </c>
      <c r="M50">
        <f>L50*6.1</f>
        <v>0.26839999999999997</v>
      </c>
      <c r="N50" t="s">
        <v>87</v>
      </c>
    </row>
    <row r="51" spans="1:14" x14ac:dyDescent="0.25">
      <c r="A51" t="s">
        <v>84</v>
      </c>
      <c r="B51">
        <v>10.226000000000001</v>
      </c>
      <c r="C51">
        <f>B51*6.1</f>
        <v>62.378599999999999</v>
      </c>
      <c r="D51" t="s">
        <v>85</v>
      </c>
      <c r="F51" s="5" t="s">
        <v>50</v>
      </c>
      <c r="G51" s="5" t="s">
        <v>44</v>
      </c>
      <c r="H51" s="5" t="s">
        <v>0</v>
      </c>
      <c r="I51" s="5" t="s">
        <v>2</v>
      </c>
      <c r="K51" t="s">
        <v>70</v>
      </c>
      <c r="L51">
        <f>G73</f>
        <v>4.122640641307182E-2</v>
      </c>
      <c r="M51">
        <f>H73</f>
        <v>0.20968790383201549</v>
      </c>
      <c r="N51" t="s">
        <v>87</v>
      </c>
    </row>
    <row r="52" spans="1:14" x14ac:dyDescent="0.25">
      <c r="F52" t="s">
        <v>11</v>
      </c>
      <c r="G52">
        <v>6.2E-2</v>
      </c>
      <c r="H52">
        <f>G52*2.49</f>
        <v>0.15438000000000002</v>
      </c>
      <c r="I52" t="s">
        <v>43</v>
      </c>
      <c r="K52" s="1" t="s">
        <v>7</v>
      </c>
      <c r="L52" s="1">
        <f>SUM(L50:L51)</f>
        <v>8.5226406413071817E-2</v>
      </c>
      <c r="M52" s="1">
        <f>SUM(M50:M51)</f>
        <v>0.47808790383201549</v>
      </c>
      <c r="N52" t="s">
        <v>87</v>
      </c>
    </row>
    <row r="53" spans="1:14" x14ac:dyDescent="0.25">
      <c r="A53" s="4" t="s">
        <v>59</v>
      </c>
    </row>
    <row r="54" spans="1:14" x14ac:dyDescent="0.25">
      <c r="A54" t="s">
        <v>5</v>
      </c>
      <c r="B54">
        <v>1</v>
      </c>
      <c r="C54" t="s">
        <v>79</v>
      </c>
      <c r="F54" s="4" t="s">
        <v>61</v>
      </c>
      <c r="L54">
        <v>4.3999999999999997E-2</v>
      </c>
    </row>
    <row r="55" spans="1:14" x14ac:dyDescent="0.25">
      <c r="A55" t="s">
        <v>78</v>
      </c>
      <c r="B55" s="6">
        <f>G83</f>
        <v>7.0560000000000002E-5</v>
      </c>
      <c r="C55" t="s">
        <v>80</v>
      </c>
      <c r="F55" s="5" t="s">
        <v>18</v>
      </c>
      <c r="G55" s="5" t="s">
        <v>19</v>
      </c>
      <c r="H55" s="5" t="s">
        <v>2</v>
      </c>
    </row>
    <row r="56" spans="1:14" x14ac:dyDescent="0.25">
      <c r="F56" t="s">
        <v>9</v>
      </c>
      <c r="G56" s="6">
        <f>G80</f>
        <v>14.666666666666666</v>
      </c>
      <c r="H56" t="s">
        <v>71</v>
      </c>
    </row>
    <row r="57" spans="1:14" x14ac:dyDescent="0.25">
      <c r="A57" s="4" t="s">
        <v>69</v>
      </c>
      <c r="F57" t="s">
        <v>8</v>
      </c>
      <c r="G57" s="6">
        <f>G56/40</f>
        <v>0.36666666666666664</v>
      </c>
      <c r="H57" t="s">
        <v>72</v>
      </c>
      <c r="K57" s="4" t="s">
        <v>101</v>
      </c>
    </row>
    <row r="58" spans="1:14" x14ac:dyDescent="0.25">
      <c r="A58" s="5" t="s">
        <v>47</v>
      </c>
      <c r="B58" s="5" t="s">
        <v>3</v>
      </c>
      <c r="C58" s="5" t="s">
        <v>0</v>
      </c>
      <c r="D58" s="5" t="s">
        <v>2</v>
      </c>
      <c r="F58" t="s">
        <v>15</v>
      </c>
      <c r="G58">
        <v>413.03911620000002</v>
      </c>
      <c r="H58" t="s">
        <v>40</v>
      </c>
      <c r="K58" s="5" t="s">
        <v>50</v>
      </c>
      <c r="L58" s="5" t="s">
        <v>3</v>
      </c>
      <c r="M58" s="5" t="s">
        <v>0</v>
      </c>
      <c r="N58" s="5" t="s">
        <v>2</v>
      </c>
    </row>
    <row r="59" spans="1:14" x14ac:dyDescent="0.25">
      <c r="A59" t="s">
        <v>81</v>
      </c>
      <c r="B59">
        <f>B44</f>
        <v>1E-3</v>
      </c>
      <c r="C59">
        <f>C44</f>
        <v>6.0999999999999995E-3</v>
      </c>
      <c r="D59" t="s">
        <v>75</v>
      </c>
      <c r="F59" t="s">
        <v>13</v>
      </c>
      <c r="G59">
        <v>4.5207999999999999E-4</v>
      </c>
      <c r="H59" t="s">
        <v>73</v>
      </c>
      <c r="K59" t="s">
        <v>7</v>
      </c>
      <c r="L59">
        <f>L52*12/44*1000</f>
        <v>23.243565385383224</v>
      </c>
      <c r="M59">
        <f>M52*12/44*1000</f>
        <v>130.38761013600421</v>
      </c>
      <c r="N59" t="s">
        <v>91</v>
      </c>
    </row>
    <row r="60" spans="1:14" x14ac:dyDescent="0.25">
      <c r="A60" t="s">
        <v>82</v>
      </c>
      <c r="B60">
        <f>B$55*B51</f>
        <v>7.2154656000000003E-4</v>
      </c>
      <c r="C60">
        <f>B$55*C51</f>
        <v>4.401434016E-3</v>
      </c>
      <c r="D60" t="s">
        <v>75</v>
      </c>
      <c r="F60" t="s">
        <v>99</v>
      </c>
      <c r="G60" t="s">
        <v>100</v>
      </c>
    </row>
    <row r="61" spans="1:14" x14ac:dyDescent="0.25">
      <c r="A61" s="1" t="s">
        <v>7</v>
      </c>
      <c r="B61" s="1">
        <f>SUM(B59:B60)</f>
        <v>1.7215465599999999E-3</v>
      </c>
      <c r="C61" s="1">
        <f>SUM(C59:C60)</f>
        <v>1.0501434016E-2</v>
      </c>
      <c r="D61" s="1" t="s">
        <v>75</v>
      </c>
    </row>
    <row r="62" spans="1:14" x14ac:dyDescent="0.25">
      <c r="F62" s="4" t="s">
        <v>62</v>
      </c>
      <c r="K62" s="5" t="s">
        <v>93</v>
      </c>
      <c r="L62" s="5" t="s">
        <v>0</v>
      </c>
      <c r="M62" s="5" t="s">
        <v>2</v>
      </c>
    </row>
    <row r="63" spans="1:14" x14ac:dyDescent="0.25">
      <c r="E63" s="2"/>
      <c r="F63" s="5" t="s">
        <v>47</v>
      </c>
      <c r="G63" s="5" t="s">
        <v>64</v>
      </c>
      <c r="H63" s="5" t="s">
        <v>65</v>
      </c>
      <c r="I63" s="5" t="s">
        <v>66</v>
      </c>
      <c r="K63" t="s">
        <v>94</v>
      </c>
      <c r="L63">
        <f>C44*G56</f>
        <v>8.9466666666666653E-2</v>
      </c>
    </row>
    <row r="64" spans="1:14" x14ac:dyDescent="0.25">
      <c r="F64" t="s">
        <v>63</v>
      </c>
      <c r="G64">
        <f>G42/G56</f>
        <v>4.909090909090909E-3</v>
      </c>
      <c r="H64">
        <f>L$4*L$5</f>
        <v>3.63694E-3</v>
      </c>
      <c r="I64">
        <f>G64-H64</f>
        <v>1.272150909090909E-3</v>
      </c>
      <c r="K64" t="s">
        <v>95</v>
      </c>
      <c r="L64">
        <f>C60*G56</f>
        <v>6.4554365567999997E-2</v>
      </c>
    </row>
    <row r="65" spans="6:12" x14ac:dyDescent="0.25">
      <c r="F65" t="s">
        <v>67</v>
      </c>
      <c r="G65">
        <f>G44/G57</f>
        <v>0.42000000000000004</v>
      </c>
      <c r="H65">
        <f>L$4*L$5</f>
        <v>3.63694E-3</v>
      </c>
      <c r="I65">
        <f t="shared" ref="I65:I66" si="1">G65-H65</f>
        <v>0.41636306000000006</v>
      </c>
      <c r="K65" t="s">
        <v>96</v>
      </c>
      <c r="L65">
        <f>H49*G57</f>
        <v>2.6839999999999999E-2</v>
      </c>
    </row>
    <row r="66" spans="6:12" x14ac:dyDescent="0.25">
      <c r="F66" t="s">
        <v>68</v>
      </c>
      <c r="G66">
        <f>G43*G59</f>
        <v>1.3806523199999998E-3</v>
      </c>
      <c r="H66">
        <f>L$4*L$5</f>
        <v>3.63694E-3</v>
      </c>
      <c r="I66">
        <f t="shared" si="1"/>
        <v>-2.2562876799999999E-3</v>
      </c>
      <c r="K66" t="s">
        <v>97</v>
      </c>
      <c r="L66">
        <f>H52*G58*G59</f>
        <v>2.8826871597348834E-2</v>
      </c>
    </row>
    <row r="67" spans="6:12" x14ac:dyDescent="0.25">
      <c r="K67" t="s">
        <v>98</v>
      </c>
      <c r="L67">
        <f>M50</f>
        <v>0.26839999999999997</v>
      </c>
    </row>
    <row r="68" spans="6:12" x14ac:dyDescent="0.25">
      <c r="F68" s="4" t="s">
        <v>69</v>
      </c>
    </row>
    <row r="69" spans="6:12" x14ac:dyDescent="0.25">
      <c r="F69" s="5" t="s">
        <v>47</v>
      </c>
      <c r="G69" s="5" t="s">
        <v>3</v>
      </c>
      <c r="H69" s="5" t="s">
        <v>0</v>
      </c>
      <c r="I69" s="5" t="s">
        <v>2</v>
      </c>
    </row>
    <row r="70" spans="6:12" x14ac:dyDescent="0.25">
      <c r="F70" t="s">
        <v>12</v>
      </c>
      <c r="G70">
        <f>$G56*G48</f>
        <v>2.5249349546666664E-2</v>
      </c>
      <c r="H70">
        <f>$G56*H48</f>
        <v>0.15402103223466665</v>
      </c>
      <c r="I70" t="s">
        <v>75</v>
      </c>
    </row>
    <row r="71" spans="6:12" x14ac:dyDescent="0.25">
      <c r="F71" t="s">
        <v>14</v>
      </c>
      <c r="G71">
        <f>$G58*G52*$G59</f>
        <v>1.1577056866405151E-2</v>
      </c>
      <c r="H71">
        <f>$G58*H52*$G59</f>
        <v>2.8826871597348834E-2</v>
      </c>
      <c r="I71" t="s">
        <v>75</v>
      </c>
    </row>
    <row r="72" spans="6:12" x14ac:dyDescent="0.25">
      <c r="F72" t="s">
        <v>74</v>
      </c>
      <c r="G72">
        <f>$G49*G57</f>
        <v>4.3999999999999994E-3</v>
      </c>
      <c r="H72">
        <f>$H49*G57</f>
        <v>2.6839999999999999E-2</v>
      </c>
      <c r="I72" t="s">
        <v>75</v>
      </c>
    </row>
    <row r="73" spans="6:12" x14ac:dyDescent="0.25">
      <c r="F73" s="1" t="s">
        <v>7</v>
      </c>
      <c r="G73" s="1">
        <f>SUM(G70:G72)</f>
        <v>4.122640641307182E-2</v>
      </c>
      <c r="H73" s="1">
        <f>SUM(H70:H72)</f>
        <v>0.20968790383201549</v>
      </c>
      <c r="I73" s="1" t="s">
        <v>75</v>
      </c>
    </row>
    <row r="75" spans="6:12" x14ac:dyDescent="0.25">
      <c r="F75" s="4" t="s">
        <v>118</v>
      </c>
    </row>
    <row r="76" spans="6:12" x14ac:dyDescent="0.25">
      <c r="F76" s="5" t="s">
        <v>104</v>
      </c>
      <c r="G76" s="5" t="s">
        <v>105</v>
      </c>
      <c r="H76" s="5" t="s">
        <v>2</v>
      </c>
      <c r="I76" s="5" t="s">
        <v>107</v>
      </c>
    </row>
    <row r="77" spans="6:12" x14ac:dyDescent="0.25">
      <c r="F77" t="s">
        <v>103</v>
      </c>
      <c r="G77">
        <f>G18/G19</f>
        <v>0.5</v>
      </c>
      <c r="H77" t="s">
        <v>106</v>
      </c>
      <c r="I77" t="s">
        <v>108</v>
      </c>
    </row>
    <row r="78" spans="6:12" x14ac:dyDescent="0.25">
      <c r="F78" t="s">
        <v>110</v>
      </c>
      <c r="G78">
        <v>40</v>
      </c>
      <c r="H78" t="s">
        <v>106</v>
      </c>
      <c r="I78" t="s">
        <v>109</v>
      </c>
    </row>
    <row r="79" spans="6:12" x14ac:dyDescent="0.25">
      <c r="F79" t="s">
        <v>111</v>
      </c>
      <c r="G79">
        <f>G18</f>
        <v>12.22</v>
      </c>
      <c r="H79" t="s">
        <v>112</v>
      </c>
      <c r="I79" t="s">
        <v>108</v>
      </c>
    </row>
    <row r="80" spans="6:12" x14ac:dyDescent="0.25">
      <c r="F80" t="s">
        <v>121</v>
      </c>
      <c r="G80">
        <f>4*44/12</f>
        <v>14.666666666666666</v>
      </c>
      <c r="H80" t="s">
        <v>112</v>
      </c>
      <c r="I80" t="s">
        <v>109</v>
      </c>
      <c r="J80" t="s">
        <v>113</v>
      </c>
    </row>
    <row r="81" spans="6:8" x14ac:dyDescent="0.25">
      <c r="F81" t="s">
        <v>114</v>
      </c>
      <c r="G81">
        <v>18</v>
      </c>
      <c r="H81" t="s">
        <v>116</v>
      </c>
    </row>
    <row r="82" spans="6:8" x14ac:dyDescent="0.25">
      <c r="F82" t="s">
        <v>115</v>
      </c>
      <c r="G82">
        <v>1.6</v>
      </c>
      <c r="H82" t="s">
        <v>116</v>
      </c>
    </row>
    <row r="83" spans="6:8" x14ac:dyDescent="0.25">
      <c r="F83" t="s">
        <v>120</v>
      </c>
      <c r="G83">
        <f>(G81+G82)*0.0036/1000</f>
        <v>7.0560000000000002E-5</v>
      </c>
      <c r="H83" t="s">
        <v>119</v>
      </c>
    </row>
    <row r="84" spans="6:8" x14ac:dyDescent="0.25">
      <c r="F84" t="s">
        <v>117</v>
      </c>
      <c r="G84">
        <f>B17</f>
        <v>5.8666669999999999E-3</v>
      </c>
      <c r="H84" t="str">
        <f>C17</f>
        <v>EJ/Mt crushed silicate</v>
      </c>
    </row>
  </sheetData>
  <conditionalFormatting sqref="K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17DE-DE40-4265-8E22-3B90A363D2F7}">
  <sheetPr filterMode="1"/>
  <dimension ref="A1:K28"/>
  <sheetViews>
    <sheetView workbookViewId="0">
      <selection activeCell="K29" sqref="K29"/>
    </sheetView>
  </sheetViews>
  <sheetFormatPr defaultRowHeight="15" x14ac:dyDescent="0.25"/>
  <cols>
    <col min="2" max="2" width="15.7109375" customWidth="1"/>
  </cols>
  <sheetData>
    <row r="1" spans="1:11" x14ac:dyDescent="0.25">
      <c r="A1" t="s">
        <v>39</v>
      </c>
      <c r="B1" t="s">
        <v>39</v>
      </c>
      <c r="C1" t="s">
        <v>39</v>
      </c>
      <c r="D1" t="s">
        <v>39</v>
      </c>
      <c r="E1" t="s">
        <v>39</v>
      </c>
      <c r="F1" t="s">
        <v>39</v>
      </c>
      <c r="G1" t="s">
        <v>39</v>
      </c>
      <c r="H1" t="s">
        <v>39</v>
      </c>
      <c r="I1" t="s">
        <v>39</v>
      </c>
      <c r="J1" t="s">
        <v>39</v>
      </c>
      <c r="K1" t="s">
        <v>39</v>
      </c>
    </row>
    <row r="2" spans="1:11" hidden="1" x14ac:dyDescent="0.25">
      <c r="A2" t="s">
        <v>28</v>
      </c>
      <c r="B2" t="s">
        <v>29</v>
      </c>
      <c r="C2">
        <v>0</v>
      </c>
      <c r="D2">
        <v>0</v>
      </c>
      <c r="E2">
        <v>0</v>
      </c>
      <c r="F2" s="3">
        <v>5.4706500000000001E-4</v>
      </c>
      <c r="G2">
        <v>1.7601100000000001E-3</v>
      </c>
      <c r="H2">
        <v>6.6850900000000003E-3</v>
      </c>
      <c r="I2">
        <v>2.5965599999999998E-2</v>
      </c>
      <c r="J2">
        <v>0.113345</v>
      </c>
      <c r="K2">
        <v>0.28210800000000003</v>
      </c>
    </row>
    <row r="3" spans="1:11" hidden="1" x14ac:dyDescent="0.25">
      <c r="A3" t="s">
        <v>28</v>
      </c>
      <c r="B3" t="s">
        <v>30</v>
      </c>
      <c r="C3">
        <v>0</v>
      </c>
      <c r="D3">
        <v>0</v>
      </c>
      <c r="E3">
        <v>0</v>
      </c>
      <c r="F3" s="3">
        <v>2.7353300000000001E-4</v>
      </c>
      <c r="G3" s="3">
        <v>8.8005500000000003E-4</v>
      </c>
      <c r="H3">
        <v>3.3425400000000002E-3</v>
      </c>
      <c r="I3">
        <v>1.2982799999999999E-2</v>
      </c>
      <c r="J3">
        <v>5.6672500000000001E-2</v>
      </c>
      <c r="K3">
        <v>0.14105400000000001</v>
      </c>
    </row>
    <row r="4" spans="1:11" x14ac:dyDescent="0.25">
      <c r="A4" t="s">
        <v>28</v>
      </c>
      <c r="B4" t="s">
        <v>31</v>
      </c>
      <c r="C4">
        <v>0</v>
      </c>
      <c r="D4">
        <v>0</v>
      </c>
      <c r="E4">
        <v>0</v>
      </c>
      <c r="F4">
        <v>4.3086699999999999E-2</v>
      </c>
      <c r="G4">
        <v>0.138626</v>
      </c>
      <c r="H4">
        <v>0.52651499999999996</v>
      </c>
      <c r="I4">
        <v>2.0450400000000002</v>
      </c>
      <c r="J4">
        <v>8.9270200000000006</v>
      </c>
      <c r="K4">
        <v>22.218699999999998</v>
      </c>
    </row>
    <row r="5" spans="1:11" hidden="1" x14ac:dyDescent="0.25">
      <c r="A5" t="s">
        <v>32</v>
      </c>
      <c r="B5" t="s">
        <v>29</v>
      </c>
      <c r="C5">
        <v>0</v>
      </c>
      <c r="D5">
        <v>0</v>
      </c>
      <c r="E5">
        <v>0</v>
      </c>
      <c r="F5" s="3">
        <v>1.61211E-4</v>
      </c>
      <c r="G5" s="3">
        <v>4.8624600000000002E-4</v>
      </c>
      <c r="H5" s="3">
        <v>9.9816100000000001E-4</v>
      </c>
      <c r="I5">
        <v>3.6083600000000001E-3</v>
      </c>
      <c r="J5">
        <v>1.21712E-2</v>
      </c>
      <c r="K5">
        <v>3.8302999999999997E-2</v>
      </c>
    </row>
    <row r="6" spans="1:11" hidden="1" x14ac:dyDescent="0.25">
      <c r="A6" t="s">
        <v>32</v>
      </c>
      <c r="B6" t="s">
        <v>30</v>
      </c>
      <c r="C6">
        <v>0</v>
      </c>
      <c r="D6">
        <v>0</v>
      </c>
      <c r="E6">
        <v>0</v>
      </c>
      <c r="F6" s="3">
        <v>8.0605299999999999E-5</v>
      </c>
      <c r="G6" s="3">
        <v>2.4312300000000001E-4</v>
      </c>
      <c r="H6" s="3">
        <v>4.9908099999999996E-4</v>
      </c>
      <c r="I6">
        <v>1.8041800000000001E-3</v>
      </c>
      <c r="J6">
        <v>6.0856E-3</v>
      </c>
      <c r="K6">
        <v>1.9151499999999998E-2</v>
      </c>
    </row>
    <row r="7" spans="1:11" x14ac:dyDescent="0.25">
      <c r="A7" t="s">
        <v>32</v>
      </c>
      <c r="B7" t="s">
        <v>31</v>
      </c>
      <c r="C7">
        <v>0</v>
      </c>
      <c r="D7">
        <v>0</v>
      </c>
      <c r="E7">
        <v>0</v>
      </c>
      <c r="F7">
        <v>1.0324699999999999E-2</v>
      </c>
      <c r="G7">
        <v>3.1141599999999998E-2</v>
      </c>
      <c r="H7">
        <v>6.3927200000000003E-2</v>
      </c>
      <c r="I7">
        <v>0.231097</v>
      </c>
      <c r="J7">
        <v>0.779505</v>
      </c>
      <c r="K7">
        <v>2.4531200000000002</v>
      </c>
    </row>
    <row r="8" spans="1:11" hidden="1" x14ac:dyDescent="0.25">
      <c r="A8" t="s">
        <v>33</v>
      </c>
      <c r="B8" t="s">
        <v>29</v>
      </c>
      <c r="C8">
        <v>0</v>
      </c>
      <c r="D8">
        <v>0</v>
      </c>
      <c r="E8">
        <v>0</v>
      </c>
      <c r="F8" s="3">
        <v>7.3956399999999995E-5</v>
      </c>
      <c r="G8" s="3">
        <v>3.21634E-4</v>
      </c>
      <c r="H8" s="3">
        <v>7.5248000000000003E-4</v>
      </c>
      <c r="I8">
        <v>2.7865400000000001E-3</v>
      </c>
      <c r="J8">
        <v>7.70326E-3</v>
      </c>
      <c r="K8">
        <v>1.72748E-2</v>
      </c>
    </row>
    <row r="9" spans="1:11" hidden="1" x14ac:dyDescent="0.25">
      <c r="A9" t="s">
        <v>33</v>
      </c>
      <c r="B9" t="s">
        <v>30</v>
      </c>
      <c r="C9">
        <v>0</v>
      </c>
      <c r="D9">
        <v>0</v>
      </c>
      <c r="E9">
        <v>0</v>
      </c>
      <c r="F9" s="3">
        <v>3.6978199999999998E-5</v>
      </c>
      <c r="G9" s="3">
        <v>1.60817E-4</v>
      </c>
      <c r="H9" s="3">
        <v>3.7624000000000002E-4</v>
      </c>
      <c r="I9">
        <v>1.3932700000000001E-3</v>
      </c>
      <c r="J9">
        <v>3.85163E-3</v>
      </c>
      <c r="K9">
        <v>8.6373999999999999E-3</v>
      </c>
    </row>
    <row r="10" spans="1:11" x14ac:dyDescent="0.25">
      <c r="A10" t="s">
        <v>33</v>
      </c>
      <c r="B10" t="s">
        <v>31</v>
      </c>
      <c r="C10">
        <v>0</v>
      </c>
      <c r="D10">
        <v>0</v>
      </c>
      <c r="E10">
        <v>0</v>
      </c>
      <c r="F10" s="3">
        <v>8.3861999999999999E-4</v>
      </c>
      <c r="G10">
        <v>3.6471400000000001E-3</v>
      </c>
      <c r="H10">
        <v>8.5326699999999991E-3</v>
      </c>
      <c r="I10">
        <v>3.1597600000000003E-2</v>
      </c>
      <c r="J10">
        <v>8.7350300000000006E-2</v>
      </c>
      <c r="K10">
        <v>0.195886</v>
      </c>
    </row>
    <row r="11" spans="1:11" hidden="1" x14ac:dyDescent="0.25">
      <c r="A11" t="s">
        <v>34</v>
      </c>
      <c r="B11" t="s">
        <v>29</v>
      </c>
      <c r="C11">
        <v>0</v>
      </c>
      <c r="D11">
        <v>0</v>
      </c>
      <c r="E11">
        <v>0</v>
      </c>
      <c r="F11">
        <v>1.4137500000000001E-3</v>
      </c>
      <c r="G11">
        <v>4.35025E-3</v>
      </c>
      <c r="H11">
        <v>8.4520700000000008E-3</v>
      </c>
      <c r="I11">
        <v>2.7590099999999999E-2</v>
      </c>
      <c r="J11">
        <v>0.107784</v>
      </c>
      <c r="K11">
        <v>0.27088699999999999</v>
      </c>
    </row>
    <row r="12" spans="1:11" hidden="1" x14ac:dyDescent="0.25">
      <c r="A12" t="s">
        <v>34</v>
      </c>
      <c r="B12" t="s">
        <v>30</v>
      </c>
      <c r="C12">
        <v>0</v>
      </c>
      <c r="D12">
        <v>0</v>
      </c>
      <c r="E12">
        <v>0</v>
      </c>
      <c r="F12" s="3">
        <v>7.0687600000000005E-4</v>
      </c>
      <c r="G12">
        <v>2.1751299999999999E-3</v>
      </c>
      <c r="H12">
        <v>4.2260300000000004E-3</v>
      </c>
      <c r="I12">
        <v>1.3795E-2</v>
      </c>
      <c r="J12">
        <v>5.3892099999999998E-2</v>
      </c>
      <c r="K12">
        <v>0.13544400000000001</v>
      </c>
    </row>
    <row r="13" spans="1:11" x14ac:dyDescent="0.25">
      <c r="A13" t="s">
        <v>34</v>
      </c>
      <c r="B13" t="s">
        <v>31</v>
      </c>
      <c r="C13">
        <v>0</v>
      </c>
      <c r="D13">
        <v>0</v>
      </c>
      <c r="E13">
        <v>0</v>
      </c>
      <c r="F13">
        <v>0.12744</v>
      </c>
      <c r="G13">
        <v>0.39214700000000002</v>
      </c>
      <c r="H13">
        <v>0.76189799999999996</v>
      </c>
      <c r="I13">
        <v>2.48706</v>
      </c>
      <c r="J13">
        <v>9.7160399999999996</v>
      </c>
      <c r="K13">
        <v>24.418700000000001</v>
      </c>
    </row>
    <row r="14" spans="1:11" hidden="1" x14ac:dyDescent="0.25">
      <c r="A14" t="s">
        <v>35</v>
      </c>
      <c r="B14" t="s">
        <v>29</v>
      </c>
      <c r="C14">
        <v>0</v>
      </c>
      <c r="D14">
        <v>0</v>
      </c>
      <c r="E14">
        <v>0</v>
      </c>
      <c r="F14" s="3">
        <v>9.5332200000000002E-6</v>
      </c>
      <c r="G14" s="3">
        <v>2.89474E-5</v>
      </c>
      <c r="H14" s="3">
        <v>8.1944800000000002E-5</v>
      </c>
      <c r="I14" s="3">
        <v>2.6379600000000001E-4</v>
      </c>
      <c r="J14">
        <v>1.0082800000000001E-3</v>
      </c>
      <c r="K14">
        <v>3.0547600000000001E-3</v>
      </c>
    </row>
    <row r="15" spans="1:11" hidden="1" x14ac:dyDescent="0.25">
      <c r="A15" t="s">
        <v>35</v>
      </c>
      <c r="B15" t="s">
        <v>30</v>
      </c>
      <c r="C15">
        <v>0</v>
      </c>
      <c r="D15">
        <v>0</v>
      </c>
      <c r="E15">
        <v>0</v>
      </c>
      <c r="F15" s="3">
        <v>4.7666100000000001E-6</v>
      </c>
      <c r="G15" s="3">
        <v>1.44737E-5</v>
      </c>
      <c r="H15" s="3">
        <v>4.0972400000000001E-5</v>
      </c>
      <c r="I15" s="3">
        <v>1.31898E-4</v>
      </c>
      <c r="J15" s="3">
        <v>5.0414000000000004E-4</v>
      </c>
      <c r="K15">
        <v>1.5273800000000001E-3</v>
      </c>
    </row>
    <row r="16" spans="1:11" x14ac:dyDescent="0.25">
      <c r="A16" t="s">
        <v>35</v>
      </c>
      <c r="B16" t="s">
        <v>31</v>
      </c>
      <c r="C16">
        <v>0</v>
      </c>
      <c r="D16">
        <v>0</v>
      </c>
      <c r="E16">
        <v>0</v>
      </c>
      <c r="F16">
        <v>1.1676099999999999E-3</v>
      </c>
      <c r="G16">
        <v>3.54543E-3</v>
      </c>
      <c r="H16">
        <v>1.0036399999999999E-2</v>
      </c>
      <c r="I16">
        <v>3.2309299999999999E-2</v>
      </c>
      <c r="J16">
        <v>0.123492</v>
      </c>
      <c r="K16">
        <v>0.374141</v>
      </c>
    </row>
    <row r="17" spans="1:11" hidden="1" x14ac:dyDescent="0.25">
      <c r="A17" t="s">
        <v>36</v>
      </c>
      <c r="B17" t="s">
        <v>29</v>
      </c>
      <c r="C17">
        <v>0</v>
      </c>
      <c r="D17">
        <v>0</v>
      </c>
      <c r="E17">
        <v>0</v>
      </c>
      <c r="F17">
        <v>2.0070399999999999E-3</v>
      </c>
      <c r="G17">
        <v>7.36983E-3</v>
      </c>
      <c r="H17">
        <v>3.5480100000000001E-2</v>
      </c>
      <c r="I17">
        <v>0.13656199999999999</v>
      </c>
      <c r="J17">
        <v>0.45596300000000001</v>
      </c>
      <c r="K17">
        <v>1.1733199999999999</v>
      </c>
    </row>
    <row r="18" spans="1:11" hidden="1" x14ac:dyDescent="0.25">
      <c r="A18" t="s">
        <v>36</v>
      </c>
      <c r="B18" t="s">
        <v>30</v>
      </c>
      <c r="C18">
        <v>0</v>
      </c>
      <c r="D18">
        <v>0</v>
      </c>
      <c r="E18">
        <v>0</v>
      </c>
      <c r="F18">
        <v>1.0035199999999999E-3</v>
      </c>
      <c r="G18">
        <v>3.6849199999999999E-3</v>
      </c>
      <c r="H18">
        <v>1.7739999999999999E-2</v>
      </c>
      <c r="I18">
        <v>6.8280999999999994E-2</v>
      </c>
      <c r="J18">
        <v>0.22798099999999999</v>
      </c>
      <c r="K18">
        <v>0.58665800000000001</v>
      </c>
    </row>
    <row r="19" spans="1:11" x14ac:dyDescent="0.25">
      <c r="A19" t="s">
        <v>36</v>
      </c>
      <c r="B19" t="s">
        <v>31</v>
      </c>
      <c r="C19">
        <v>0</v>
      </c>
      <c r="D19">
        <v>0</v>
      </c>
      <c r="E19">
        <v>0</v>
      </c>
      <c r="F19">
        <v>0.164378</v>
      </c>
      <c r="G19">
        <v>0.60359399999999996</v>
      </c>
      <c r="H19">
        <v>2.90584</v>
      </c>
      <c r="I19">
        <v>11.1845</v>
      </c>
      <c r="J19">
        <v>37.343699999999998</v>
      </c>
      <c r="K19">
        <v>96.095299999999995</v>
      </c>
    </row>
    <row r="20" spans="1:11" hidden="1" x14ac:dyDescent="0.25">
      <c r="A20" t="s">
        <v>37</v>
      </c>
      <c r="B20" t="s">
        <v>29</v>
      </c>
      <c r="C20">
        <v>0</v>
      </c>
      <c r="D20">
        <v>0</v>
      </c>
      <c r="E20">
        <v>0</v>
      </c>
      <c r="F20" s="3">
        <v>5.8229600000000005E-4</v>
      </c>
      <c r="G20">
        <v>2.19696E-3</v>
      </c>
      <c r="H20">
        <v>6.0834299999999999E-3</v>
      </c>
      <c r="I20">
        <v>2.3268E-2</v>
      </c>
      <c r="J20">
        <v>8.3554799999999999E-2</v>
      </c>
      <c r="K20">
        <v>0.18271499999999999</v>
      </c>
    </row>
    <row r="21" spans="1:11" hidden="1" x14ac:dyDescent="0.25">
      <c r="A21" t="s">
        <v>37</v>
      </c>
      <c r="B21" t="s">
        <v>30</v>
      </c>
      <c r="C21">
        <v>0</v>
      </c>
      <c r="D21">
        <v>0</v>
      </c>
      <c r="E21">
        <v>0</v>
      </c>
      <c r="F21" s="3">
        <v>2.9114800000000003E-4</v>
      </c>
      <c r="G21">
        <v>1.09848E-3</v>
      </c>
      <c r="H21">
        <v>3.0417199999999999E-3</v>
      </c>
      <c r="I21">
        <v>1.1634E-2</v>
      </c>
      <c r="J21">
        <v>4.1777399999999999E-2</v>
      </c>
      <c r="K21">
        <v>9.1357599999999997E-2</v>
      </c>
    </row>
    <row r="22" spans="1:11" x14ac:dyDescent="0.25">
      <c r="A22" t="s">
        <v>37</v>
      </c>
      <c r="B22" t="s">
        <v>31</v>
      </c>
      <c r="C22">
        <v>0</v>
      </c>
      <c r="D22">
        <v>0</v>
      </c>
      <c r="E22">
        <v>0</v>
      </c>
      <c r="F22">
        <v>2.5119099999999998E-2</v>
      </c>
      <c r="G22">
        <v>9.4772499999999996E-2</v>
      </c>
      <c r="H22">
        <v>0.26242700000000002</v>
      </c>
      <c r="I22">
        <v>1.0037400000000001</v>
      </c>
      <c r="J22">
        <v>3.6043799999999999</v>
      </c>
      <c r="K22">
        <v>7.8819699999999999</v>
      </c>
    </row>
    <row r="23" spans="1:11" hidden="1" x14ac:dyDescent="0.25">
      <c r="A23" t="s">
        <v>38</v>
      </c>
      <c r="B23" t="s">
        <v>29</v>
      </c>
      <c r="C23">
        <v>0</v>
      </c>
      <c r="D23">
        <v>0</v>
      </c>
      <c r="E23">
        <v>0</v>
      </c>
      <c r="F23" s="3">
        <v>9.0150099999999997E-4</v>
      </c>
      <c r="G23">
        <v>3.3950299999999998E-3</v>
      </c>
      <c r="H23">
        <v>6.3522800000000001E-3</v>
      </c>
      <c r="I23">
        <v>2.25454E-2</v>
      </c>
      <c r="J23">
        <v>5.9578100000000002E-2</v>
      </c>
      <c r="K23">
        <v>0.14457200000000001</v>
      </c>
    </row>
    <row r="24" spans="1:11" hidden="1" x14ac:dyDescent="0.25">
      <c r="A24" t="s">
        <v>38</v>
      </c>
      <c r="B24" t="s">
        <v>30</v>
      </c>
      <c r="C24">
        <v>0</v>
      </c>
      <c r="D24">
        <v>0</v>
      </c>
      <c r="E24">
        <v>0</v>
      </c>
      <c r="F24" s="3">
        <v>4.5074999999999998E-4</v>
      </c>
      <c r="G24">
        <v>1.6975099999999999E-3</v>
      </c>
      <c r="H24">
        <v>3.17614E-3</v>
      </c>
      <c r="I24">
        <v>1.12727E-2</v>
      </c>
      <c r="J24">
        <v>2.9789099999999999E-2</v>
      </c>
      <c r="K24">
        <v>7.2286199999999995E-2</v>
      </c>
    </row>
    <row r="25" spans="1:11" x14ac:dyDescent="0.25">
      <c r="A25" t="s">
        <v>38</v>
      </c>
      <c r="B25" t="s">
        <v>31</v>
      </c>
      <c r="C25">
        <v>0</v>
      </c>
      <c r="D25">
        <v>0</v>
      </c>
      <c r="E25">
        <v>0</v>
      </c>
      <c r="F25">
        <v>1.90443E-2</v>
      </c>
      <c r="G25">
        <v>7.1720500000000006E-2</v>
      </c>
      <c r="H25">
        <v>0.13419300000000001</v>
      </c>
      <c r="I25">
        <v>0.47627599999999998</v>
      </c>
      <c r="J25">
        <v>1.2585999999999999</v>
      </c>
      <c r="K25">
        <v>3.0541200000000002</v>
      </c>
    </row>
    <row r="26" spans="1:11" hidden="1" x14ac:dyDescent="0.25">
      <c r="K26">
        <f>K24/SUM(K3:K24)</f>
        <v>4.6182165327334201E-4</v>
      </c>
    </row>
    <row r="27" spans="1:11" hidden="1" x14ac:dyDescent="0.25">
      <c r="K27">
        <f>K23/SUM(K2:K23)</f>
        <v>9.2240426046836762E-4</v>
      </c>
    </row>
    <row r="28" spans="1:11" x14ac:dyDescent="0.25">
      <c r="K28">
        <f>K25/SUM(K4:K25)</f>
        <v>1.9155638862281232E-2</v>
      </c>
    </row>
  </sheetData>
  <autoFilter ref="A1:K27" xr:uid="{233E17DE-DE40-4265-8E22-3B90A363D2F7}">
    <filterColumn colId="1">
      <filters>
        <filter val="trn_freigh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2025-09-19T13:23:59Z</dcterms:created>
  <dcterms:modified xsi:type="dcterms:W3CDTF">2025-09-22T17:12:56Z</dcterms:modified>
</cp:coreProperties>
</file>