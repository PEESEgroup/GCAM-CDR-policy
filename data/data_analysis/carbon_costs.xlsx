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630CC95-41D0-4E8F-B1A7-87BFFEC1971E}" xr6:coauthVersionLast="47" xr6:coauthVersionMax="47" xr10:uidLastSave="{00000000-0000-0000-0000-000000000000}"/>
  <bookViews>
    <workbookView xWindow="-120" yWindow="-120" windowWidth="29040" windowHeight="17520" activeTab="1" xr2:uid="{402A6D60-5D67-40F0-A8D8-2C5C69F3BFA7}"/>
  </bookViews>
  <sheets>
    <sheet name="Carbon Price" sheetId="1" r:id="rId1"/>
    <sheet name="Total_Cost_Carbon" sheetId="2" r:id="rId2"/>
  </sheets>
  <definedNames>
    <definedName name="_xlchart.v1.0" hidden="1">Total_Cost_Carbon!$A$10</definedName>
    <definedName name="_xlchart.v1.1" hidden="1">Total_Cost_Carbon!$A$9</definedName>
    <definedName name="_xlchart.v1.2" hidden="1">Total_Cost_Carbon!$B$9:$X$9</definedName>
    <definedName name="_xlchart.v1.3" hidden="1">Total_Cost_Carbon!$B$9:$Y$9</definedName>
    <definedName name="_xlchart.v1.4" hidden="1">Total_Cost_Carbon!$C$9:$X$9</definedName>
    <definedName name="_xlchart.v1.5" hidden="1">Total_Cost_Carbon!$C$9:$Y$9</definedName>
    <definedName name="_xlchart.v1.6" hidden="1">Total_Cost_Carbon!$A$9</definedName>
    <definedName name="_xlchart.v1.7" hidden="1">Total_Cost_Carbon!$B$9:$Y$9</definedName>
    <definedName name="_xlchart.v1.8" hidden="1">Total_Cost_Carbon!$C$9:$Y$9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E9" i="2"/>
  <c r="F9" i="2"/>
  <c r="H9" i="2"/>
  <c r="I9" i="2"/>
  <c r="J9" i="2"/>
  <c r="K9" i="2"/>
  <c r="L9" i="2"/>
  <c r="M9" i="2"/>
  <c r="N9" i="2"/>
  <c r="P9" i="2"/>
  <c r="Q9" i="2"/>
  <c r="R9" i="2"/>
  <c r="S9" i="2"/>
  <c r="T9" i="2"/>
  <c r="U9" i="2"/>
  <c r="V9" i="2"/>
  <c r="W9" i="2"/>
  <c r="X9" i="2"/>
  <c r="Y9" i="2"/>
  <c r="B9" i="2"/>
  <c r="C8" i="2"/>
  <c r="E8" i="2"/>
  <c r="F8" i="2"/>
  <c r="H8" i="2"/>
  <c r="I8" i="2"/>
  <c r="J8" i="2"/>
  <c r="K8" i="2"/>
  <c r="L8" i="2"/>
  <c r="M8" i="2"/>
  <c r="N8" i="2"/>
  <c r="P8" i="2"/>
  <c r="Q8" i="2"/>
  <c r="R8" i="2"/>
  <c r="S8" i="2"/>
  <c r="T8" i="2"/>
  <c r="U8" i="2"/>
  <c r="V8" i="2"/>
  <c r="W8" i="2"/>
  <c r="X8" i="2"/>
  <c r="Y8" i="2"/>
  <c r="B8" i="2"/>
  <c r="AC4" i="2" l="1"/>
  <c r="AD4" i="2"/>
  <c r="AE4" i="2"/>
  <c r="AE6" i="2" s="1"/>
  <c r="AF4" i="2"/>
  <c r="AF6" i="2" s="1"/>
  <c r="AG4" i="2"/>
  <c r="AH4" i="2"/>
  <c r="AH6" i="2" s="1"/>
  <c r="AD6" i="2"/>
  <c r="AG6" i="2"/>
  <c r="C6" i="2"/>
  <c r="E6" i="2"/>
  <c r="F6" i="2"/>
  <c r="G6" i="2"/>
  <c r="H6" i="2"/>
  <c r="I6" i="2"/>
  <c r="J6" i="2"/>
  <c r="K6" i="2"/>
  <c r="L6" i="2"/>
  <c r="M6" i="2"/>
  <c r="N6" i="2"/>
  <c r="P6" i="2"/>
  <c r="Q6" i="2"/>
  <c r="R6" i="2"/>
  <c r="S6" i="2"/>
  <c r="T6" i="2"/>
  <c r="U6" i="2"/>
  <c r="V6" i="2"/>
  <c r="W6" i="2"/>
  <c r="X6" i="2"/>
  <c r="Y6" i="2"/>
  <c r="C7" i="2"/>
  <c r="E7" i="2"/>
  <c r="F7" i="2"/>
  <c r="G7" i="2"/>
  <c r="H7" i="2"/>
  <c r="I7" i="2"/>
  <c r="J7" i="2"/>
  <c r="K7" i="2"/>
  <c r="L7" i="2"/>
  <c r="M7" i="2"/>
  <c r="N7" i="2"/>
  <c r="P7" i="2"/>
  <c r="Q7" i="2"/>
  <c r="R7" i="2"/>
  <c r="S7" i="2"/>
  <c r="T7" i="2"/>
  <c r="U7" i="2"/>
  <c r="V7" i="2"/>
  <c r="W7" i="2"/>
  <c r="X7" i="2"/>
  <c r="Y7" i="2"/>
  <c r="B7" i="2"/>
  <c r="B6" i="2"/>
  <c r="A7" i="2"/>
  <c r="A6" i="2"/>
  <c r="AB4" i="2"/>
  <c r="G8" i="2" l="1"/>
  <c r="G9" i="2" s="1"/>
  <c r="AC6" i="2"/>
</calcChain>
</file>

<file path=xl/sharedStrings.xml><?xml version="1.0" encoding="utf-8"?>
<sst xmlns="http://schemas.openxmlformats.org/spreadsheetml/2006/main" count="164" uniqueCount="72">
  <si>
    <t>High Baseline</t>
  </si>
  <si>
    <t>high</t>
  </si>
  <si>
    <t>USA</t>
  </si>
  <si>
    <t>missing</t>
  </si>
  <si>
    <t>CO2</t>
  </si>
  <si>
    <t>1990$/tC</t>
  </si>
  <si>
    <t>Low Baseline</t>
  </si>
  <si>
    <t>Nothing Baseline</t>
  </si>
  <si>
    <t>S1 High</t>
  </si>
  <si>
    <t>S2 High</t>
  </si>
  <si>
    <t>S1 Low</t>
  </si>
  <si>
    <t>S2 Low</t>
  </si>
  <si>
    <t>S1 Nothing</t>
  </si>
  <si>
    <t>S2 Nothing</t>
  </si>
  <si>
    <t>low</t>
  </si>
  <si>
    <t>scenario</t>
  </si>
  <si>
    <t>baseline</t>
  </si>
  <si>
    <t>GCAM</t>
  </si>
  <si>
    <t>sector</t>
  </si>
  <si>
    <t>subsector</t>
  </si>
  <si>
    <t>technology</t>
  </si>
  <si>
    <t>output</t>
  </si>
  <si>
    <t>concentration</t>
  </si>
  <si>
    <t>input</t>
  </si>
  <si>
    <t>product</t>
  </si>
  <si>
    <t>fuel</t>
  </si>
  <si>
    <t>LandLeaf</t>
  </si>
  <si>
    <t>GHG</t>
  </si>
  <si>
    <t>Units</t>
  </si>
  <si>
    <t>s1h</t>
  </si>
  <si>
    <t>s1l</t>
  </si>
  <si>
    <t>s2</t>
  </si>
  <si>
    <t>Excess</t>
  </si>
  <si>
    <t>excess</t>
  </si>
  <si>
    <t>CO3</t>
  </si>
  <si>
    <t>CDR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</si>
  <si>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tax</t>
    </r>
  </si>
  <si>
    <t>100 Mt CDR</t>
  </si>
  <si>
    <t>500 Mt CDR</t>
  </si>
  <si>
    <t>1500 Mt CDR</t>
  </si>
  <si>
    <t>2400 Mt CDR</t>
  </si>
  <si>
    <t>4000 Mt CDR</t>
  </si>
  <si>
    <t>Positive CO2 emissions</t>
  </si>
  <si>
    <t>Positive C emissions</t>
  </si>
  <si>
    <t>Marginal Effectiveness</t>
  </si>
  <si>
    <t>nzn</t>
  </si>
  <si>
    <t>innovation-DACSHubs-low</t>
  </si>
  <si>
    <t>innovation-maintain - low</t>
  </si>
  <si>
    <t>innovation-rhodium6B-low</t>
  </si>
  <si>
    <t>innovation-rhodium18b-low</t>
  </si>
  <si>
    <t>innovation-triple-low</t>
  </si>
  <si>
    <t>procurement-3B-low</t>
  </si>
  <si>
    <t>procurement-rhodium-low</t>
  </si>
  <si>
    <t>procurement-scaling-low</t>
  </si>
  <si>
    <t>itc-low</t>
  </si>
  <si>
    <t>itc-noBECCS - low</t>
  </si>
  <si>
    <t>innovation-DACSHubs-high</t>
  </si>
  <si>
    <t>innovation-maintain - high</t>
  </si>
  <si>
    <t>innovation-rhodium6B-high</t>
  </si>
  <si>
    <t>innovation-rhodium18b-high</t>
  </si>
  <si>
    <t>innovation-triple-high</t>
  </si>
  <si>
    <t>procurement-3B-high</t>
  </si>
  <si>
    <t>procurement-rhodium-high</t>
  </si>
  <si>
    <t>procurement-scaling-high</t>
  </si>
  <si>
    <t>itc-high</t>
  </si>
  <si>
    <t>4gt</t>
  </si>
  <si>
    <t>Trillion USD</t>
  </si>
  <si>
    <t>Million USD</t>
  </si>
  <si>
    <t>500 Mt CDR + Rhodium Procurement</t>
  </si>
  <si>
    <t>1500 Mt CDR + Rhodium Procurement</t>
  </si>
  <si>
    <t>Total</t>
  </si>
  <si>
    <t>% Reduction in CDR prices to make financial 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</si>
</sst>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 Carbon Price By 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Price'!$A$2</c:f>
              <c:strCache>
                <c:ptCount val="1"/>
                <c:pt idx="0">
                  <c:v>High Baseline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Price'!$B$2:$J$2</c15:sqref>
                  </c15:fullRef>
                </c:ext>
              </c:extLst>
              <c:f>'Carbon Price'!$F$2:$J$2</c:f>
              <c:numCache>
                <c:formatCode>General</c:formatCode>
                <c:ptCount val="5"/>
                <c:pt idx="0">
                  <c:v>284.12400000000002</c:v>
                </c:pt>
                <c:pt idx="1">
                  <c:v>323.64</c:v>
                </c:pt>
                <c:pt idx="2">
                  <c:v>337.00799999999998</c:v>
                </c:pt>
                <c:pt idx="3">
                  <c:v>493.50900000000001</c:v>
                </c:pt>
                <c:pt idx="4">
                  <c:v>510.60199999999998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4592-9CCC-4E678AB239E2}"/>
            </c:ext>
          </c:extLst>
        </c:ser>
        <c:ser>
          <c:idx val="1"/>
          <c:order val="1"/>
          <c:tx>
            <c:strRef>
              <c:f>'Carbon Price'!$A$3</c:f>
              <c:strCache>
                <c:ptCount val="1"/>
                <c:pt idx="0">
                  <c:v>S1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Price'!$B$3:$J$3</c15:sqref>
                  </c15:fullRef>
                </c:ext>
              </c:extLst>
              <c:f>'Carbon Price'!$F$3:$J$3</c:f>
              <c:numCache>
                <c:formatCode>General</c:formatCode>
                <c:ptCount val="5"/>
                <c:pt idx="0">
                  <c:v>286.16800000000001</c:v>
                </c:pt>
                <c:pt idx="1">
                  <c:v>322.35199999999998</c:v>
                </c:pt>
                <c:pt idx="2">
                  <c:v>335.15300000000002</c:v>
                </c:pt>
                <c:pt idx="3">
                  <c:v>491.548</c:v>
                </c:pt>
                <c:pt idx="4">
                  <c:v>508.85300000000001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1-4592-9CCC-4E678AB239E2}"/>
            </c:ext>
          </c:extLst>
        </c:ser>
        <c:ser>
          <c:idx val="2"/>
          <c:order val="2"/>
          <c:tx>
            <c:strRef>
              <c:f>'Carbon Price'!$A$4</c:f>
              <c:strCache>
                <c:ptCount val="1"/>
                <c:pt idx="0">
                  <c:v>S2 High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Price'!$B$4:$J$4</c15:sqref>
                  </c15:fullRef>
                </c:ext>
              </c:extLst>
              <c:f>'Carbon Price'!$F$4:$J$4</c:f>
              <c:numCache>
                <c:formatCode>General</c:formatCode>
                <c:ptCount val="5"/>
                <c:pt idx="0">
                  <c:v>291.25099999999998</c:v>
                </c:pt>
                <c:pt idx="2">
                  <c:v>366.08499999999998</c:v>
                </c:pt>
                <c:pt idx="3">
                  <c:v>491.44799999999998</c:v>
                </c:pt>
                <c:pt idx="4">
                  <c:v>504.84399999999999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1-4592-9CCC-4E678AB239E2}"/>
            </c:ext>
          </c:extLst>
        </c:ser>
        <c:ser>
          <c:idx val="3"/>
          <c:order val="3"/>
          <c:tx>
            <c:strRef>
              <c:f>'Carbon Price'!$A$5</c:f>
              <c:strCache>
                <c:ptCount val="1"/>
                <c:pt idx="0">
                  <c:v>Low Baseline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  <a:prstDash val="solid"/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Price'!$B$5:$J$5</c15:sqref>
                  </c15:fullRef>
                </c:ext>
              </c:extLst>
              <c:f>'Carbon Price'!$F$5:$J$5</c:f>
              <c:numCache>
                <c:formatCode>General</c:formatCode>
                <c:ptCount val="5"/>
                <c:pt idx="0">
                  <c:v>285.08699999999999</c:v>
                </c:pt>
                <c:pt idx="1">
                  <c:v>326.25799999999998</c:v>
                </c:pt>
                <c:pt idx="2">
                  <c:v>350.73899999999998</c:v>
                </c:pt>
                <c:pt idx="3">
                  <c:v>510.91199999999998</c:v>
                </c:pt>
                <c:pt idx="4">
                  <c:v>569.78200000000004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F1-4592-9CCC-4E678AB239E2}"/>
            </c:ext>
          </c:extLst>
        </c:ser>
        <c:ser>
          <c:idx val="4"/>
          <c:order val="4"/>
          <c:tx>
            <c:strRef>
              <c:f>'Carbon Price'!$A$6</c:f>
              <c:strCache>
                <c:ptCount val="1"/>
                <c:pt idx="0">
                  <c:v>S1 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Price'!$B$6:$J$6</c15:sqref>
                  </c15:fullRef>
                </c:ext>
              </c:extLst>
              <c:f>'Carbon Price'!$F$6:$J$6</c:f>
              <c:numCache>
                <c:formatCode>General</c:formatCode>
                <c:ptCount val="5"/>
                <c:pt idx="0">
                  <c:v>285.93599999999998</c:v>
                </c:pt>
                <c:pt idx="1">
                  <c:v>325.113</c:v>
                </c:pt>
                <c:pt idx="2">
                  <c:v>348.89400000000001</c:v>
                </c:pt>
                <c:pt idx="3">
                  <c:v>508.76600000000002</c:v>
                </c:pt>
                <c:pt idx="4">
                  <c:v>567.64300000000003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F1-4592-9CCC-4E678AB239E2}"/>
            </c:ext>
          </c:extLst>
        </c:ser>
        <c:ser>
          <c:idx val="5"/>
          <c:order val="5"/>
          <c:tx>
            <c:strRef>
              <c:f>'Carbon Price'!$A$7</c:f>
              <c:strCache>
                <c:ptCount val="1"/>
                <c:pt idx="0">
                  <c:v>S2 Low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Price'!$B$7:$J$7</c15:sqref>
                  </c15:fullRef>
                </c:ext>
              </c:extLst>
              <c:f>'Carbon Price'!$F$7:$J$7</c:f>
              <c:numCache>
                <c:formatCode>General</c:formatCode>
                <c:ptCount val="5"/>
                <c:pt idx="0">
                  <c:v>292.25599999999997</c:v>
                </c:pt>
                <c:pt idx="1">
                  <c:v>339.48</c:v>
                </c:pt>
                <c:pt idx="2">
                  <c:v>361.43599999999998</c:v>
                </c:pt>
                <c:pt idx="3">
                  <c:v>508.36700000000002</c:v>
                </c:pt>
                <c:pt idx="4">
                  <c:v>563.23299999999995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DF1-4592-9CCC-4E678AB239E2}"/>
            </c:ext>
          </c:extLst>
        </c:ser>
        <c:ser>
          <c:idx val="6"/>
          <c:order val="6"/>
          <c:tx>
            <c:strRef>
              <c:f>'Carbon Price'!$A$8</c:f>
              <c:strCache>
                <c:ptCount val="1"/>
                <c:pt idx="0">
                  <c:v>Excess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'Carbon Price'!$B$1:$J$1</c15:sqref>
                  </c15:fullRef>
                </c:ext>
              </c:extLst>
              <c:f>'Carbon Price'!$F$1:$J$1</c:f>
              <c:numCache>
                <c:formatCode>General</c:formatCode>
                <c:ptCount val="5"/>
                <c:pt idx="0">
                  <c:v>2030</c:v>
                </c:pt>
                <c:pt idx="1">
                  <c:v>2035</c:v>
                </c:pt>
                <c:pt idx="2">
                  <c:v>2040</c:v>
                </c:pt>
                <c:pt idx="3">
                  <c:v>2045</c:v>
                </c:pt>
                <c:pt idx="4">
                  <c:v>2050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'Carbon Price'!$B$8:$J$8</c15:sqref>
                  </c15:fullRef>
                </c:ext>
              </c:extLst>
              <c:f>'Carbon Price'!$F$8:$J$8</c:f>
              <c:numCache>
                <c:formatCode>General</c:formatCode>
                <c:ptCount val="5"/>
                <c:pt idx="1">
                  <c:v>337.38600000000002</c:v>
                </c:pt>
                <c:pt idx="2">
                  <c:v>330.88400000000001</c:v>
                </c:pt>
                <c:pt idx="3">
                  <c:v>469.67700000000002</c:v>
                </c:pt>
                <c:pt idx="4">
                  <c:v>321.99099999999999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057-B6A0-086342806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4148175"/>
        <c:axId val="1034145775"/>
      </c:lineChart>
      <c:catAx>
        <c:axId val="10341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5775"/>
        <c:crosses val="autoZero"/>
        <c:auto val="1"/>
        <c:lblAlgn val="ctr"/>
        <c:lblOffset val="100"/>
        <c:noMultiLvlLbl val="0"/>
      </c:catAx>
      <c:valAx>
        <c:axId val="1034145775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1990USD/t</a:t>
                </a:r>
                <a:r>
                  <a:rPr lang="en-US" baseline="0"/>
                  <a:t> C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4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Increasing CDR Increases CO2 Emissions in 2050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13648293963256"/>
          <c:y val="8.305736396855061E-2"/>
          <c:w val="0.83286351706036732"/>
          <c:h val="0.82245485258413076"/>
        </c:manualLayout>
      </c:layout>
      <c:scatterChart>
        <c:scatterStyle val="lineMarker"/>
        <c:varyColors val="0"/>
        <c:ser>
          <c:idx val="0"/>
          <c:order val="0"/>
          <c:tx>
            <c:strRef>
              <c:f>Total_Cost_Carbon!$AA$4</c:f>
              <c:strCache>
                <c:ptCount val="1"/>
                <c:pt idx="0">
                  <c:v>Positive CO2 emissions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Total_Cost_Carbon!$AB$3:$AH$3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974</c:v>
                </c:pt>
                <c:pt idx="3">
                  <c:v>1500</c:v>
                </c:pt>
                <c:pt idx="4">
                  <c:v>2091</c:v>
                </c:pt>
                <c:pt idx="5">
                  <c:v>2400</c:v>
                </c:pt>
                <c:pt idx="6">
                  <c:v>4000</c:v>
                </c:pt>
              </c:numCache>
            </c:numRef>
          </c:xVal>
          <c:yVal>
            <c:numRef>
              <c:f>Total_Cost_Carbon!$AB$4:$AH$4</c:f>
              <c:numCache>
                <c:formatCode>General</c:formatCode>
                <c:ptCount val="7"/>
                <c:pt idx="0">
                  <c:v>3277.6882923332319</c:v>
                </c:pt>
                <c:pt idx="1">
                  <c:v>3286.8508796772803</c:v>
                </c:pt>
                <c:pt idx="2">
                  <c:v>3327.1672459720971</c:v>
                </c:pt>
                <c:pt idx="3">
                  <c:v>3462.8793427374962</c:v>
                </c:pt>
                <c:pt idx="4">
                  <c:v>3808.8705610718766</c:v>
                </c:pt>
                <c:pt idx="5">
                  <c:v>3865.0223008479497</c:v>
                </c:pt>
                <c:pt idx="6">
                  <c:v>4637.7985885067828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FF-4D81-A351-67A8B5225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522208"/>
        <c:axId val="1043512608"/>
      </c:scatterChart>
      <c:valAx>
        <c:axId val="104352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CDR/yr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12608"/>
        <c:crosses val="autoZero"/>
        <c:crossBetween val="midCat"/>
      </c:valAx>
      <c:valAx>
        <c:axId val="10435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</a:t>
                </a:r>
                <a:r>
                  <a:rPr lang="en-US" baseline="0"/>
                  <a:t> CO2 Emissions/yr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52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chemeClr val="tx1"/>
                </a:solidFill>
              </a:rPr>
              <a:t>Cost of Achieving</a:t>
            </a:r>
            <a:r>
              <a:rPr lang="en-US" sz="1800" baseline="0">
                <a:solidFill>
                  <a:schemeClr val="tx1"/>
                </a:solidFill>
              </a:rPr>
              <a:t> a 2050 Net-Zero Mandate</a:t>
            </a:r>
            <a:endParaRPr lang="en-US" sz="180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54094700846461E-2"/>
          <c:y val="0.11105196380081646"/>
          <c:w val="0.88243504356484392"/>
          <c:h val="0.599688094385351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Total_Cost_Carbon!$A$7</c:f>
              <c:strCache>
                <c:ptCount val="1"/>
                <c:pt idx="0">
                  <c:v>CO2 tax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Total_Cost_Carbon!$B$1:$Y$1</c:f>
              <c:strCache>
                <c:ptCount val="24"/>
                <c:pt idx="0">
                  <c:v>nzn</c:v>
                </c:pt>
                <c:pt idx="1">
                  <c:v>low</c:v>
                </c:pt>
                <c:pt idx="2">
                  <c:v>innovation-DACSHubs-low</c:v>
                </c:pt>
                <c:pt idx="3">
                  <c:v>innovation-maintain - low</c:v>
                </c:pt>
                <c:pt idx="4">
                  <c:v>innovation-rhodium6B-low</c:v>
                </c:pt>
                <c:pt idx="5">
                  <c:v>innovation-rhodium18b-low</c:v>
                </c:pt>
                <c:pt idx="6">
                  <c:v>innovation-triple-low</c:v>
                </c:pt>
                <c:pt idx="7">
                  <c:v>procurement-3B-low</c:v>
                </c:pt>
                <c:pt idx="8">
                  <c:v>procurement-rhodium-low</c:v>
                </c:pt>
                <c:pt idx="9">
                  <c:v>procurement-scaling-low</c:v>
                </c:pt>
                <c:pt idx="10">
                  <c:v>itc-low</c:v>
                </c:pt>
                <c:pt idx="11">
                  <c:v>itc-noBECCS - low</c:v>
                </c:pt>
                <c:pt idx="12">
                  <c:v>high</c:v>
                </c:pt>
                <c:pt idx="13">
                  <c:v>innovation-DACSHubs-high</c:v>
                </c:pt>
                <c:pt idx="14">
                  <c:v>innovation-maintain - high</c:v>
                </c:pt>
                <c:pt idx="15">
                  <c:v>innovation-rhodium6B-high</c:v>
                </c:pt>
                <c:pt idx="16">
                  <c:v>innovation-rhodium18b-high</c:v>
                </c:pt>
                <c:pt idx="17">
                  <c:v>innovation-triple-high</c:v>
                </c:pt>
                <c:pt idx="18">
                  <c:v>procurement-3B-high</c:v>
                </c:pt>
                <c:pt idx="19">
                  <c:v>procurement-rhodium-high</c:v>
                </c:pt>
                <c:pt idx="20">
                  <c:v>procurement-scaling-high</c:v>
                </c:pt>
                <c:pt idx="21">
                  <c:v>itc-high</c:v>
                </c:pt>
                <c:pt idx="22">
                  <c:v>excess</c:v>
                </c:pt>
                <c:pt idx="23">
                  <c:v>4gt</c:v>
                </c:pt>
              </c:strCache>
            </c:strRef>
          </c:cat>
          <c:val>
            <c:numRef>
              <c:f>Total_Cost_Carbon!$B$7:$Y$7</c:f>
              <c:numCache>
                <c:formatCode>General</c:formatCode>
                <c:ptCount val="24"/>
                <c:pt idx="0">
                  <c:v>1.27860438742933</c:v>
                </c:pt>
                <c:pt idx="1">
                  <c:v>1.2629693925521099</c:v>
                </c:pt>
                <c:pt idx="3">
                  <c:v>1.2569927519422499</c:v>
                </c:pt>
                <c:pt idx="4">
                  <c:v>1.2572171142989801</c:v>
                </c:pt>
                <c:pt idx="5">
                  <c:v>1.25691714204483</c:v>
                </c:pt>
                <c:pt idx="6">
                  <c:v>1.2567435927077599</c:v>
                </c:pt>
                <c:pt idx="7">
                  <c:v>1.25816516656799</c:v>
                </c:pt>
                <c:pt idx="8">
                  <c:v>1.23577853344143</c:v>
                </c:pt>
                <c:pt idx="9">
                  <c:v>1.25811115831135</c:v>
                </c:pt>
                <c:pt idx="10">
                  <c:v>1.25811297887675</c:v>
                </c:pt>
                <c:pt idx="11">
                  <c:v>1.2581495617949101</c:v>
                </c:pt>
                <c:pt idx="12">
                  <c:v>1.18952237741678</c:v>
                </c:pt>
                <c:pt idx="14">
                  <c:v>1.1812324612886902</c:v>
                </c:pt>
                <c:pt idx="15">
                  <c:v>1.1807415073891798</c:v>
                </c:pt>
                <c:pt idx="16">
                  <c:v>1.1772908024397299</c:v>
                </c:pt>
                <c:pt idx="17">
                  <c:v>1.1797489205829101</c:v>
                </c:pt>
                <c:pt idx="18">
                  <c:v>1.1838738617750999</c:v>
                </c:pt>
                <c:pt idx="19">
                  <c:v>1.1378770598829702</c:v>
                </c:pt>
                <c:pt idx="20">
                  <c:v>1.18285992639822</c:v>
                </c:pt>
                <c:pt idx="21">
                  <c:v>1.1838484778690002</c:v>
                </c:pt>
                <c:pt idx="22">
                  <c:v>0.85628120400736396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C2-407A-8AA6-2C044006A0F6}"/>
            </c:ext>
          </c:extLst>
        </c:ser>
        <c:ser>
          <c:idx val="1"/>
          <c:order val="1"/>
          <c:tx>
            <c:strRef>
              <c:f>Total_Cost_Carbon!$A$6</c:f>
              <c:strCache>
                <c:ptCount val="1"/>
                <c:pt idx="0">
                  <c:v>CDR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Total_Cost_Carbon!$B$1:$Y$1</c:f>
              <c:strCache>
                <c:ptCount val="24"/>
                <c:pt idx="0">
                  <c:v>nzn</c:v>
                </c:pt>
                <c:pt idx="1">
                  <c:v>low</c:v>
                </c:pt>
                <c:pt idx="2">
                  <c:v>innovation-DACSHubs-low</c:v>
                </c:pt>
                <c:pt idx="3">
                  <c:v>innovation-maintain - low</c:v>
                </c:pt>
                <c:pt idx="4">
                  <c:v>innovation-rhodium6B-low</c:v>
                </c:pt>
                <c:pt idx="5">
                  <c:v>innovation-rhodium18b-low</c:v>
                </c:pt>
                <c:pt idx="6">
                  <c:v>innovation-triple-low</c:v>
                </c:pt>
                <c:pt idx="7">
                  <c:v>procurement-3B-low</c:v>
                </c:pt>
                <c:pt idx="8">
                  <c:v>procurement-rhodium-low</c:v>
                </c:pt>
                <c:pt idx="9">
                  <c:v>procurement-scaling-low</c:v>
                </c:pt>
                <c:pt idx="10">
                  <c:v>itc-low</c:v>
                </c:pt>
                <c:pt idx="11">
                  <c:v>itc-noBECCS - low</c:v>
                </c:pt>
                <c:pt idx="12">
                  <c:v>high</c:v>
                </c:pt>
                <c:pt idx="13">
                  <c:v>innovation-DACSHubs-high</c:v>
                </c:pt>
                <c:pt idx="14">
                  <c:v>innovation-maintain - high</c:v>
                </c:pt>
                <c:pt idx="15">
                  <c:v>innovation-rhodium6B-high</c:v>
                </c:pt>
                <c:pt idx="16">
                  <c:v>innovation-rhodium18b-high</c:v>
                </c:pt>
                <c:pt idx="17">
                  <c:v>innovation-triple-high</c:v>
                </c:pt>
                <c:pt idx="18">
                  <c:v>procurement-3B-high</c:v>
                </c:pt>
                <c:pt idx="19">
                  <c:v>procurement-rhodium-high</c:v>
                </c:pt>
                <c:pt idx="20">
                  <c:v>procurement-scaling-high</c:v>
                </c:pt>
                <c:pt idx="21">
                  <c:v>itc-high</c:v>
                </c:pt>
                <c:pt idx="22">
                  <c:v>excess</c:v>
                </c:pt>
                <c:pt idx="23">
                  <c:v>4gt</c:v>
                </c:pt>
              </c:strCache>
            </c:strRef>
          </c:cat>
          <c:val>
            <c:numRef>
              <c:f>Total_Cost_Carbon!$B$6:$Y$6</c:f>
              <c:numCache>
                <c:formatCode>General</c:formatCode>
                <c:ptCount val="24"/>
                <c:pt idx="0">
                  <c:v>1.80015467729845E-2</c:v>
                </c:pt>
                <c:pt idx="1">
                  <c:v>8.6435333069538905E-2</c:v>
                </c:pt>
                <c:pt idx="3">
                  <c:v>8.0543139220406193E-2</c:v>
                </c:pt>
                <c:pt idx="4">
                  <c:v>7.9191665210007506E-2</c:v>
                </c:pt>
                <c:pt idx="5">
                  <c:v>7.1784198481042408E-2</c:v>
                </c:pt>
                <c:pt idx="6">
                  <c:v>7.7449393544863201E-2</c:v>
                </c:pt>
                <c:pt idx="7">
                  <c:v>8.5043634601615806E-2</c:v>
                </c:pt>
                <c:pt idx="8">
                  <c:v>0.18412221682811603</c:v>
                </c:pt>
                <c:pt idx="9">
                  <c:v>8.5039787194114494E-2</c:v>
                </c:pt>
                <c:pt idx="10">
                  <c:v>8.5039599125083798E-2</c:v>
                </c:pt>
                <c:pt idx="11">
                  <c:v>8.5043120568175312E-2</c:v>
                </c:pt>
                <c:pt idx="12">
                  <c:v>0.31633111004002901</c:v>
                </c:pt>
                <c:pt idx="14">
                  <c:v>0.29730050001937802</c:v>
                </c:pt>
                <c:pt idx="15">
                  <c:v>0.29394780178260499</c:v>
                </c:pt>
                <c:pt idx="16">
                  <c:v>0.273786617657857</c:v>
                </c:pt>
                <c:pt idx="17">
                  <c:v>0.28960338611407599</c:v>
                </c:pt>
                <c:pt idx="18">
                  <c:v>0.30825365680427597</c:v>
                </c:pt>
                <c:pt idx="19">
                  <c:v>0.42715683625427098</c:v>
                </c:pt>
                <c:pt idx="20">
                  <c:v>0.30811729543225003</c:v>
                </c:pt>
                <c:pt idx="21">
                  <c:v>0.30821074006138605</c:v>
                </c:pt>
                <c:pt idx="22">
                  <c:v>0.555685658074067</c:v>
                </c:pt>
                <c:pt idx="23">
                  <c:v>0.93580300000000005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C2-407A-8AA6-2C044006A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9697999"/>
        <c:axId val="959698479"/>
      </c:barChart>
      <c:catAx>
        <c:axId val="959697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</a:rPr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698479"/>
        <c:crosses val="autoZero"/>
        <c:auto val="1"/>
        <c:lblAlgn val="ctr"/>
        <c:lblOffset val="100"/>
        <c:noMultiLvlLbl val="0"/>
      </c:catAx>
      <c:valAx>
        <c:axId val="95969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</a:rPr>
                  <a:t>Trillion 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69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7623968225095129E-2"/>
          <c:y val="0.12296574601772681"/>
          <c:w val="0.22430528921840426"/>
          <c:h val="5.06059036048221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val">
        <cx:f dir="row">_xlchart.v1.5</cx:f>
      </cx:numDim>
    </cx:data>
  </cx:chartData>
  <cx:chart>
    <cx:title pos="t" align="ctr" overlay="0">
      <cx:tx>
        <cx:txData>
          <cx:v>Further % Reduction in CDR Prices to Achieve Cost Parity with C Tax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Further % Reduction in CDR Prices to Achieve Cost Parity with C Tax</a:t>
          </a:r>
        </a:p>
      </cx:txPr>
    </cx:title>
    <cx:plotArea>
      <cx:plotAreaRegion>
        <cx:series layoutId="boxWhisker" uniqueId="{5402BA9F-4984-4EB2-B2F1-7A55FABDC951}">
          <cx:tx>
            <cx:txData>
              <cx:f>_xlchart.v1.1</cx:f>
              <cx:v>% Reduction in CDR prices to make financial sense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8</xdr:row>
      <xdr:rowOff>14287</xdr:rowOff>
    </xdr:from>
    <xdr:to>
      <xdr:col>8</xdr:col>
      <xdr:colOff>257175</xdr:colOff>
      <xdr:row>39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DB815-1833-CC3F-B47B-791955AE3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66675</xdr:colOff>
      <xdr:row>10</xdr:row>
      <xdr:rowOff>80960</xdr:rowOff>
    </xdr:from>
    <xdr:to>
      <xdr:col>31</xdr:col>
      <xdr:colOff>371475</xdr:colOff>
      <xdr:row>34</xdr:row>
      <xdr:rowOff>80960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9B2AFFF-92F9-99AB-0948-53C3F333B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508905</xdr:colOff>
      <xdr:row>11</xdr:row>
      <xdr:rowOff>163285</xdr:rowOff>
    </xdr:from>
    <xdr:to>
      <xdr:col>15</xdr:col>
      <xdr:colOff>38100</xdr:colOff>
      <xdr:row>42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CB86E6-B5A8-2550-32F4-838065C6E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528636</xdr:colOff>
      <xdr:row>13</xdr:row>
      <xdr:rowOff>138111</xdr:rowOff>
    </xdr:from>
    <xdr:to>
      <xdr:col>19</xdr:col>
      <xdr:colOff>419099</xdr:colOff>
      <xdr:row>32</xdr:row>
      <xdr:rowOff>123824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2D0E6869-FB4E-C43E-7F66-68B3B65F02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72636" y="2652711"/>
              <a:ext cx="2328863" cy="36052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C602F-D2DA-4FAD-A834-421B3FC08562}">
  <dimension ref="A1:X11"/>
  <sheetViews>
    <sheetView workbookViewId="0">
      <selection activeCell="J36" sqref="J36"/>
    </sheetView>
  </sheetViews>
  <sheetFormatPr defaultRowHeight="15" x14ac:dyDescent="0.25"/>
  <sheetData>
    <row r="1" spans="1:24" x14ac:dyDescent="0.25">
      <c r="B1">
        <v>1990</v>
      </c>
      <c r="C1">
        <v>2005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</row>
    <row r="2" spans="1:24" x14ac:dyDescent="0.25">
      <c r="A2" t="s">
        <v>0</v>
      </c>
      <c r="B2">
        <v>0</v>
      </c>
      <c r="C2">
        <v>0</v>
      </c>
      <c r="D2">
        <v>0</v>
      </c>
      <c r="E2">
        <v>0</v>
      </c>
      <c r="F2">
        <v>284.12400000000002</v>
      </c>
      <c r="G2">
        <v>323.64</v>
      </c>
      <c r="H2">
        <v>337.00799999999998</v>
      </c>
      <c r="I2">
        <v>493.50900000000001</v>
      </c>
      <c r="J2">
        <v>510.60199999999998</v>
      </c>
      <c r="K2" t="s">
        <v>1</v>
      </c>
      <c r="L2" t="s">
        <v>1</v>
      </c>
      <c r="M2" t="s">
        <v>2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4</v>
      </c>
      <c r="U2" t="s">
        <v>3</v>
      </c>
      <c r="V2" t="s">
        <v>3</v>
      </c>
      <c r="W2" t="s">
        <v>3</v>
      </c>
      <c r="X2" t="s">
        <v>5</v>
      </c>
    </row>
    <row r="3" spans="1:24" x14ac:dyDescent="0.25">
      <c r="A3" t="s">
        <v>8</v>
      </c>
      <c r="B3">
        <v>0</v>
      </c>
      <c r="C3">
        <v>0</v>
      </c>
      <c r="D3">
        <v>0</v>
      </c>
      <c r="E3">
        <v>0</v>
      </c>
      <c r="F3">
        <v>286.16800000000001</v>
      </c>
      <c r="G3">
        <v>322.35199999999998</v>
      </c>
      <c r="H3">
        <v>335.15300000000002</v>
      </c>
      <c r="I3">
        <v>491.548</v>
      </c>
      <c r="J3">
        <v>508.85300000000001</v>
      </c>
      <c r="K3" t="s">
        <v>29</v>
      </c>
      <c r="L3" t="s">
        <v>1</v>
      </c>
      <c r="M3" t="s">
        <v>2</v>
      </c>
      <c r="N3" t="s">
        <v>3</v>
      </c>
      <c r="O3" t="s">
        <v>3</v>
      </c>
      <c r="P3" t="s">
        <v>3</v>
      </c>
      <c r="Q3" t="s">
        <v>3</v>
      </c>
      <c r="R3" t="s">
        <v>3</v>
      </c>
      <c r="S3" t="s">
        <v>3</v>
      </c>
      <c r="T3" t="s">
        <v>4</v>
      </c>
      <c r="U3" t="s">
        <v>3</v>
      </c>
      <c r="V3" t="s">
        <v>3</v>
      </c>
      <c r="W3" t="s">
        <v>3</v>
      </c>
      <c r="X3" t="s">
        <v>5</v>
      </c>
    </row>
    <row r="4" spans="1:24" x14ac:dyDescent="0.25">
      <c r="A4" t="s">
        <v>9</v>
      </c>
      <c r="B4">
        <v>0</v>
      </c>
      <c r="C4">
        <v>0</v>
      </c>
      <c r="D4">
        <v>0</v>
      </c>
      <c r="E4">
        <v>0</v>
      </c>
      <c r="F4">
        <v>291.25099999999998</v>
      </c>
      <c r="H4">
        <v>366.08499999999998</v>
      </c>
      <c r="I4">
        <v>491.44799999999998</v>
      </c>
      <c r="J4">
        <v>504.84399999999999</v>
      </c>
      <c r="K4" t="s">
        <v>31</v>
      </c>
      <c r="L4" t="s">
        <v>1</v>
      </c>
      <c r="M4" t="s">
        <v>2</v>
      </c>
      <c r="N4" t="s">
        <v>3</v>
      </c>
      <c r="O4" t="s">
        <v>3</v>
      </c>
      <c r="P4" t="s">
        <v>3</v>
      </c>
      <c r="Q4" t="s">
        <v>3</v>
      </c>
      <c r="R4" t="s">
        <v>3</v>
      </c>
      <c r="S4" t="s">
        <v>3</v>
      </c>
      <c r="T4" t="s">
        <v>4</v>
      </c>
      <c r="U4" t="s">
        <v>3</v>
      </c>
      <c r="V4" t="s">
        <v>3</v>
      </c>
      <c r="W4" t="s">
        <v>3</v>
      </c>
      <c r="X4" t="s">
        <v>5</v>
      </c>
    </row>
    <row r="5" spans="1:24" x14ac:dyDescent="0.25">
      <c r="A5" t="s">
        <v>6</v>
      </c>
      <c r="B5">
        <v>0</v>
      </c>
      <c r="C5">
        <v>0</v>
      </c>
      <c r="D5">
        <v>0</v>
      </c>
      <c r="E5">
        <v>0</v>
      </c>
      <c r="F5">
        <v>285.08699999999999</v>
      </c>
      <c r="G5">
        <v>326.25799999999998</v>
      </c>
      <c r="H5">
        <v>350.73899999999998</v>
      </c>
      <c r="I5">
        <v>510.91199999999998</v>
      </c>
      <c r="J5">
        <v>569.78200000000004</v>
      </c>
      <c r="K5" t="s">
        <v>14</v>
      </c>
      <c r="L5" t="s">
        <v>14</v>
      </c>
      <c r="M5" t="s">
        <v>2</v>
      </c>
      <c r="N5" t="s">
        <v>3</v>
      </c>
      <c r="O5" t="s">
        <v>3</v>
      </c>
      <c r="P5" t="s">
        <v>3</v>
      </c>
      <c r="Q5" t="s">
        <v>3</v>
      </c>
      <c r="R5" t="s">
        <v>3</v>
      </c>
      <c r="S5" t="s">
        <v>3</v>
      </c>
      <c r="T5" t="s">
        <v>4</v>
      </c>
      <c r="U5" t="s">
        <v>3</v>
      </c>
      <c r="V5" t="s">
        <v>3</v>
      </c>
      <c r="W5" t="s">
        <v>3</v>
      </c>
      <c r="X5" t="s">
        <v>5</v>
      </c>
    </row>
    <row r="6" spans="1:24" x14ac:dyDescent="0.25">
      <c r="A6" t="s">
        <v>10</v>
      </c>
      <c r="B6">
        <v>0</v>
      </c>
      <c r="C6">
        <v>0</v>
      </c>
      <c r="D6">
        <v>0</v>
      </c>
      <c r="E6">
        <v>0</v>
      </c>
      <c r="F6">
        <v>285.93599999999998</v>
      </c>
      <c r="G6">
        <v>325.113</v>
      </c>
      <c r="H6">
        <v>348.89400000000001</v>
      </c>
      <c r="I6">
        <v>508.76600000000002</v>
      </c>
      <c r="J6">
        <v>567.64300000000003</v>
      </c>
      <c r="K6" t="s">
        <v>30</v>
      </c>
      <c r="L6" t="s">
        <v>14</v>
      </c>
      <c r="M6" t="s">
        <v>2</v>
      </c>
      <c r="N6" t="s">
        <v>3</v>
      </c>
      <c r="O6" t="s">
        <v>3</v>
      </c>
      <c r="P6" t="s">
        <v>3</v>
      </c>
      <c r="Q6" t="s">
        <v>3</v>
      </c>
      <c r="R6" t="s">
        <v>3</v>
      </c>
      <c r="S6" t="s">
        <v>3</v>
      </c>
      <c r="T6" t="s">
        <v>4</v>
      </c>
      <c r="U6" t="s">
        <v>3</v>
      </c>
      <c r="V6" t="s">
        <v>3</v>
      </c>
      <c r="W6" t="s">
        <v>3</v>
      </c>
      <c r="X6" t="s">
        <v>5</v>
      </c>
    </row>
    <row r="7" spans="1:24" x14ac:dyDescent="0.25">
      <c r="A7" t="s">
        <v>11</v>
      </c>
      <c r="B7">
        <v>0</v>
      </c>
      <c r="C7">
        <v>0</v>
      </c>
      <c r="D7">
        <v>0</v>
      </c>
      <c r="E7">
        <v>0</v>
      </c>
      <c r="F7">
        <v>292.25599999999997</v>
      </c>
      <c r="G7">
        <v>339.48</v>
      </c>
      <c r="H7">
        <v>361.43599999999998</v>
      </c>
      <c r="I7">
        <v>508.36700000000002</v>
      </c>
      <c r="J7">
        <v>563.23299999999995</v>
      </c>
      <c r="K7" t="s">
        <v>31</v>
      </c>
      <c r="L7" t="s">
        <v>14</v>
      </c>
      <c r="M7" t="s">
        <v>2</v>
      </c>
      <c r="N7" t="s">
        <v>3</v>
      </c>
      <c r="O7" t="s">
        <v>3</v>
      </c>
      <c r="P7" t="s">
        <v>3</v>
      </c>
      <c r="Q7" t="s">
        <v>3</v>
      </c>
      <c r="R7" t="s">
        <v>3</v>
      </c>
      <c r="S7" t="s">
        <v>3</v>
      </c>
      <c r="T7" t="s">
        <v>4</v>
      </c>
      <c r="U7" t="s">
        <v>3</v>
      </c>
      <c r="V7" t="s">
        <v>3</v>
      </c>
      <c r="W7" t="s">
        <v>3</v>
      </c>
      <c r="X7" t="s">
        <v>5</v>
      </c>
    </row>
    <row r="8" spans="1:24" x14ac:dyDescent="0.25">
      <c r="A8" t="s">
        <v>32</v>
      </c>
      <c r="B8">
        <v>0</v>
      </c>
      <c r="C8">
        <v>0</v>
      </c>
      <c r="D8">
        <v>0</v>
      </c>
      <c r="E8">
        <v>0</v>
      </c>
      <c r="G8">
        <v>337.38600000000002</v>
      </c>
      <c r="H8">
        <v>330.88400000000001</v>
      </c>
      <c r="I8">
        <v>469.67700000000002</v>
      </c>
      <c r="J8">
        <v>321.99099999999999</v>
      </c>
      <c r="K8" t="s">
        <v>33</v>
      </c>
      <c r="L8" t="s">
        <v>33</v>
      </c>
      <c r="M8" t="s">
        <v>2</v>
      </c>
      <c r="N8" t="s">
        <v>3</v>
      </c>
      <c r="O8" t="s">
        <v>3</v>
      </c>
      <c r="P8" t="s">
        <v>3</v>
      </c>
      <c r="Q8" t="s">
        <v>3</v>
      </c>
      <c r="R8" t="s">
        <v>3</v>
      </c>
      <c r="S8" t="s">
        <v>3</v>
      </c>
      <c r="T8" t="s">
        <v>34</v>
      </c>
      <c r="U8" t="s">
        <v>3</v>
      </c>
      <c r="V8" t="s">
        <v>3</v>
      </c>
      <c r="W8" t="s">
        <v>3</v>
      </c>
      <c r="X8" t="s">
        <v>5</v>
      </c>
    </row>
    <row r="9" spans="1:24" x14ac:dyDescent="0.25">
      <c r="A9" t="s">
        <v>7</v>
      </c>
    </row>
    <row r="10" spans="1:24" x14ac:dyDescent="0.25">
      <c r="A10" t="s">
        <v>12</v>
      </c>
    </row>
    <row r="11" spans="1:24" x14ac:dyDescent="0.25">
      <c r="A11" t="s">
        <v>13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DB2A-9C4C-46E9-980E-CFE273FA9402}">
  <dimension ref="A1:AH65"/>
  <sheetViews>
    <sheetView tabSelected="1" zoomScaleNormal="100" workbookViewId="0">
      <selection activeCell="W20" sqref="W20"/>
    </sheetView>
  </sheetViews>
  <sheetFormatPr defaultRowHeight="15" x14ac:dyDescent="0.25"/>
  <sheetData>
    <row r="1" spans="1:34" x14ac:dyDescent="0.25">
      <c r="A1" t="s">
        <v>67</v>
      </c>
      <c r="B1" t="s">
        <v>45</v>
      </c>
      <c r="C1" t="s">
        <v>14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1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33</v>
      </c>
      <c r="Y1" t="s">
        <v>65</v>
      </c>
    </row>
    <row r="2" spans="1:34" x14ac:dyDescent="0.25">
      <c r="A2" t="s">
        <v>35</v>
      </c>
      <c r="B2">
        <v>18001.5467729845</v>
      </c>
      <c r="C2">
        <v>86435.333069538901</v>
      </c>
      <c r="E2">
        <v>80543.139220406199</v>
      </c>
      <c r="F2">
        <v>79191.665210007501</v>
      </c>
      <c r="G2">
        <v>71784.198481042404</v>
      </c>
      <c r="H2">
        <v>77449.393544863196</v>
      </c>
      <c r="I2">
        <v>85043.634601615806</v>
      </c>
      <c r="J2">
        <v>184122.21682811601</v>
      </c>
      <c r="K2">
        <v>85039.787194114499</v>
      </c>
      <c r="L2">
        <v>85039.599125083798</v>
      </c>
      <c r="M2">
        <v>85043.120568175305</v>
      </c>
      <c r="N2">
        <v>316331.11004002899</v>
      </c>
      <c r="P2">
        <v>297300.50001937803</v>
      </c>
      <c r="Q2">
        <v>293947.80178260501</v>
      </c>
      <c r="R2">
        <v>273786.61765785702</v>
      </c>
      <c r="S2">
        <v>289603.38611407601</v>
      </c>
      <c r="T2">
        <v>308253.65680427599</v>
      </c>
      <c r="U2">
        <v>427156.83625427098</v>
      </c>
      <c r="V2">
        <v>308117.29543225002</v>
      </c>
      <c r="W2">
        <v>308210.74006138602</v>
      </c>
      <c r="X2">
        <v>555685.65807406697</v>
      </c>
      <c r="Y2">
        <v>935803</v>
      </c>
      <c r="AA2">
        <v>2050</v>
      </c>
      <c r="AB2" t="s">
        <v>37</v>
      </c>
      <c r="AC2" t="s">
        <v>38</v>
      </c>
      <c r="AD2" t="s">
        <v>68</v>
      </c>
      <c r="AE2" t="s">
        <v>39</v>
      </c>
      <c r="AF2" t="s">
        <v>69</v>
      </c>
      <c r="AG2" t="s">
        <v>40</v>
      </c>
      <c r="AH2" t="s">
        <v>41</v>
      </c>
    </row>
    <row r="3" spans="1:34" ht="18" x14ac:dyDescent="0.35">
      <c r="A3" t="s">
        <v>36</v>
      </c>
      <c r="B3">
        <v>1278604.38742933</v>
      </c>
      <c r="C3">
        <v>1262969.3925521099</v>
      </c>
      <c r="E3">
        <v>1256992.7519422499</v>
      </c>
      <c r="F3">
        <v>1257217.11429898</v>
      </c>
      <c r="G3">
        <v>1256917.1420448299</v>
      </c>
      <c r="H3">
        <v>1256743.5927077599</v>
      </c>
      <c r="I3">
        <v>1258165.1665679901</v>
      </c>
      <c r="J3">
        <v>1235778.53344143</v>
      </c>
      <c r="K3">
        <v>1258111.15831135</v>
      </c>
      <c r="L3">
        <v>1258112.97887675</v>
      </c>
      <c r="M3">
        <v>1258149.5617949101</v>
      </c>
      <c r="N3">
        <v>1189522.37741678</v>
      </c>
      <c r="P3">
        <v>1181232.4612886901</v>
      </c>
      <c r="Q3">
        <v>1180741.5073891799</v>
      </c>
      <c r="R3">
        <v>1177290.8024397299</v>
      </c>
      <c r="S3">
        <v>1179748.9205829101</v>
      </c>
      <c r="T3">
        <v>1183873.8617751</v>
      </c>
      <c r="U3">
        <v>1137877.0598829701</v>
      </c>
      <c r="V3">
        <v>1182859.92639822</v>
      </c>
      <c r="W3">
        <v>1183848.4778690001</v>
      </c>
      <c r="X3">
        <v>856281.20400736399</v>
      </c>
      <c r="Y3">
        <v>0</v>
      </c>
      <c r="AA3" t="s">
        <v>35</v>
      </c>
      <c r="AB3">
        <v>100</v>
      </c>
      <c r="AC3">
        <v>500</v>
      </c>
      <c r="AD3">
        <v>974</v>
      </c>
      <c r="AE3">
        <v>1500</v>
      </c>
      <c r="AF3">
        <v>2091</v>
      </c>
      <c r="AG3">
        <v>2400</v>
      </c>
      <c r="AH3">
        <v>4000</v>
      </c>
    </row>
    <row r="4" spans="1:34" x14ac:dyDescent="0.25">
      <c r="AA4" t="s">
        <v>42</v>
      </c>
      <c r="AB4">
        <f t="shared" ref="AB4:AH4" si="0">AB5*44/12</f>
        <v>3277.6882923332319</v>
      </c>
      <c r="AC4">
        <f t="shared" si="0"/>
        <v>3286.8508796772803</v>
      </c>
      <c r="AD4">
        <f t="shared" si="0"/>
        <v>3327.1672459720971</v>
      </c>
      <c r="AE4">
        <f t="shared" si="0"/>
        <v>3462.8793427374962</v>
      </c>
      <c r="AF4">
        <f t="shared" si="0"/>
        <v>3808.8705610718766</v>
      </c>
      <c r="AG4">
        <f t="shared" si="0"/>
        <v>3865.0223008479497</v>
      </c>
      <c r="AH4">
        <f t="shared" si="0"/>
        <v>4637.7985885067828</v>
      </c>
    </row>
    <row r="5" spans="1:34" x14ac:dyDescent="0.25">
      <c r="A5" t="s">
        <v>66</v>
      </c>
      <c r="AA5" t="s">
        <v>43</v>
      </c>
      <c r="AB5">
        <v>893.91498881815403</v>
      </c>
      <c r="AC5">
        <v>896.41387627562199</v>
      </c>
      <c r="AD5">
        <v>907.40924890148096</v>
      </c>
      <c r="AE5">
        <v>944.42163892840802</v>
      </c>
      <c r="AF5">
        <v>1038.78288029233</v>
      </c>
      <c r="AG5">
        <v>1054.0969911403499</v>
      </c>
      <c r="AH5">
        <v>1264.8541605018499</v>
      </c>
    </row>
    <row r="6" spans="1:34" x14ac:dyDescent="0.25">
      <c r="A6" t="str">
        <f>A2</f>
        <v>CDR</v>
      </c>
      <c r="B6">
        <f>B2/1000000</f>
        <v>1.80015467729845E-2</v>
      </c>
      <c r="C6">
        <f t="shared" ref="C6:Y6" si="1">C2/1000000</f>
        <v>8.6435333069538905E-2</v>
      </c>
      <c r="E6">
        <f t="shared" si="1"/>
        <v>8.0543139220406193E-2</v>
      </c>
      <c r="F6">
        <f t="shared" si="1"/>
        <v>7.9191665210007506E-2</v>
      </c>
      <c r="G6">
        <f t="shared" si="1"/>
        <v>7.1784198481042408E-2</v>
      </c>
      <c r="H6">
        <f t="shared" si="1"/>
        <v>7.7449393544863201E-2</v>
      </c>
      <c r="I6">
        <f t="shared" si="1"/>
        <v>8.5043634601615806E-2</v>
      </c>
      <c r="J6">
        <f t="shared" si="1"/>
        <v>0.18412221682811603</v>
      </c>
      <c r="K6">
        <f t="shared" si="1"/>
        <v>8.5039787194114494E-2</v>
      </c>
      <c r="L6">
        <f t="shared" si="1"/>
        <v>8.5039599125083798E-2</v>
      </c>
      <c r="M6">
        <f t="shared" si="1"/>
        <v>8.5043120568175312E-2</v>
      </c>
      <c r="N6">
        <f t="shared" si="1"/>
        <v>0.31633111004002901</v>
      </c>
      <c r="P6">
        <f t="shared" si="1"/>
        <v>0.29730050001937802</v>
      </c>
      <c r="Q6">
        <f t="shared" si="1"/>
        <v>0.29394780178260499</v>
      </c>
      <c r="R6">
        <f t="shared" si="1"/>
        <v>0.273786617657857</v>
      </c>
      <c r="S6">
        <f t="shared" si="1"/>
        <v>0.28960338611407599</v>
      </c>
      <c r="T6">
        <f t="shared" si="1"/>
        <v>0.30825365680427597</v>
      </c>
      <c r="U6">
        <f t="shared" si="1"/>
        <v>0.42715683625427098</v>
      </c>
      <c r="V6">
        <f t="shared" si="1"/>
        <v>0.30811729543225003</v>
      </c>
      <c r="W6">
        <f t="shared" si="1"/>
        <v>0.30821074006138605</v>
      </c>
      <c r="X6">
        <f t="shared" si="1"/>
        <v>0.555685658074067</v>
      </c>
      <c r="Y6">
        <f t="shared" si="1"/>
        <v>0.93580300000000005</v>
      </c>
      <c r="AA6" t="s">
        <v>44</v>
      </c>
      <c r="AC6">
        <f>(AC4-AB4)/(AC3-AB3)</f>
        <v>2.2906468360121154E-2</v>
      </c>
      <c r="AD6">
        <f>(AD4-AC4)/(AD3-AC3)</f>
        <v>8.5055625094550252E-2</v>
      </c>
      <c r="AE6">
        <f t="shared" ref="AD6:AH6" si="2">(AE4-AD4)/(AE3-AD3)</f>
        <v>0.25800778852737472</v>
      </c>
      <c r="AF6">
        <f t="shared" si="2"/>
        <v>0.58543353356071137</v>
      </c>
      <c r="AG6">
        <f t="shared" si="2"/>
        <v>0.1817208406992657</v>
      </c>
      <c r="AH6">
        <f t="shared" si="2"/>
        <v>0.48298517978677069</v>
      </c>
    </row>
    <row r="7" spans="1:34" x14ac:dyDescent="0.25">
      <c r="A7" t="str">
        <f>A3</f>
        <v>CO2 tax</v>
      </c>
      <c r="B7">
        <f>B3/1000000</f>
        <v>1.27860438742933</v>
      </c>
      <c r="C7">
        <f t="shared" ref="C7:Y7" si="3">C3/1000000</f>
        <v>1.2629693925521099</v>
      </c>
      <c r="E7">
        <f t="shared" si="3"/>
        <v>1.2569927519422499</v>
      </c>
      <c r="F7">
        <f t="shared" si="3"/>
        <v>1.2572171142989801</v>
      </c>
      <c r="G7">
        <f t="shared" si="3"/>
        <v>1.25691714204483</v>
      </c>
      <c r="H7">
        <f t="shared" si="3"/>
        <v>1.2567435927077599</v>
      </c>
      <c r="I7">
        <f t="shared" si="3"/>
        <v>1.25816516656799</v>
      </c>
      <c r="J7">
        <f t="shared" si="3"/>
        <v>1.23577853344143</v>
      </c>
      <c r="K7">
        <f t="shared" si="3"/>
        <v>1.25811115831135</v>
      </c>
      <c r="L7">
        <f t="shared" si="3"/>
        <v>1.25811297887675</v>
      </c>
      <c r="M7">
        <f t="shared" si="3"/>
        <v>1.2581495617949101</v>
      </c>
      <c r="N7">
        <f t="shared" si="3"/>
        <v>1.18952237741678</v>
      </c>
      <c r="P7">
        <f t="shared" si="3"/>
        <v>1.1812324612886902</v>
      </c>
      <c r="Q7">
        <f t="shared" si="3"/>
        <v>1.1807415073891798</v>
      </c>
      <c r="R7">
        <f t="shared" si="3"/>
        <v>1.1772908024397299</v>
      </c>
      <c r="S7">
        <f t="shared" si="3"/>
        <v>1.1797489205829101</v>
      </c>
      <c r="T7">
        <f t="shared" si="3"/>
        <v>1.1838738617750999</v>
      </c>
      <c r="U7">
        <f t="shared" si="3"/>
        <v>1.1378770598829702</v>
      </c>
      <c r="V7">
        <f t="shared" si="3"/>
        <v>1.18285992639822</v>
      </c>
      <c r="W7">
        <f t="shared" si="3"/>
        <v>1.1838484778690002</v>
      </c>
      <c r="X7">
        <f t="shared" si="3"/>
        <v>0.85628120400736396</v>
      </c>
      <c r="Y7">
        <f t="shared" si="3"/>
        <v>0</v>
      </c>
    </row>
    <row r="8" spans="1:34" x14ac:dyDescent="0.25">
      <c r="A8" t="s">
        <v>70</v>
      </c>
      <c r="B8">
        <f>SUM(B6:B7)</f>
        <v>1.2966059342023146</v>
      </c>
      <c r="C8">
        <f t="shared" ref="C8:Y8" si="4">SUM(C6:C7)</f>
        <v>1.3494047256216488</v>
      </c>
      <c r="E8">
        <f t="shared" si="4"/>
        <v>1.337535891162656</v>
      </c>
      <c r="F8">
        <f t="shared" si="4"/>
        <v>1.3364087795089876</v>
      </c>
      <c r="G8">
        <f t="shared" si="4"/>
        <v>1.3287013405258723</v>
      </c>
      <c r="H8">
        <f t="shared" si="4"/>
        <v>1.3341929862526232</v>
      </c>
      <c r="I8">
        <f t="shared" si="4"/>
        <v>1.3432088011696059</v>
      </c>
      <c r="J8">
        <f t="shared" si="4"/>
        <v>1.419900750269546</v>
      </c>
      <c r="K8">
        <f t="shared" si="4"/>
        <v>1.3431509455054644</v>
      </c>
      <c r="L8">
        <f t="shared" si="4"/>
        <v>1.3431525780018339</v>
      </c>
      <c r="M8">
        <f t="shared" si="4"/>
        <v>1.3431926823630853</v>
      </c>
      <c r="N8">
        <f t="shared" si="4"/>
        <v>1.505853487456809</v>
      </c>
      <c r="P8">
        <f t="shared" si="4"/>
        <v>1.4785329613080682</v>
      </c>
      <c r="Q8">
        <f t="shared" si="4"/>
        <v>1.4746893091717848</v>
      </c>
      <c r="R8">
        <f t="shared" si="4"/>
        <v>1.4510774200975869</v>
      </c>
      <c r="S8">
        <f t="shared" si="4"/>
        <v>1.4693523066969862</v>
      </c>
      <c r="T8">
        <f t="shared" si="4"/>
        <v>1.4921275185793759</v>
      </c>
      <c r="U8">
        <f t="shared" si="4"/>
        <v>1.5650338961372412</v>
      </c>
      <c r="V8">
        <f t="shared" si="4"/>
        <v>1.49097722183047</v>
      </c>
      <c r="W8">
        <f t="shared" si="4"/>
        <v>1.4920592179303862</v>
      </c>
      <c r="X8">
        <f t="shared" si="4"/>
        <v>1.411966862081431</v>
      </c>
      <c r="Y8">
        <f t="shared" si="4"/>
        <v>0.93580300000000005</v>
      </c>
    </row>
    <row r="9" spans="1:34" x14ac:dyDescent="0.25">
      <c r="A9" t="s">
        <v>71</v>
      </c>
      <c r="B9" s="1">
        <f>(B8-$B$8)/B6</f>
        <v>0</v>
      </c>
      <c r="C9" s="1">
        <f t="shared" ref="C9:Y9" si="5">(C8-$B$8)/C6</f>
        <v>0.61084731838606487</v>
      </c>
      <c r="D9" s="1"/>
      <c r="E9" s="1">
        <f t="shared" si="5"/>
        <v>0.50817434428942032</v>
      </c>
      <c r="F9" s="1">
        <f t="shared" si="5"/>
        <v>0.50261407183597251</v>
      </c>
      <c r="G9" s="1">
        <f t="shared" si="5"/>
        <v>0.44710962861880804</v>
      </c>
      <c r="H9" s="1">
        <f t="shared" si="5"/>
        <v>0.48531112162338541</v>
      </c>
      <c r="I9" s="1">
        <f t="shared" si="5"/>
        <v>0.54798771460793005</v>
      </c>
      <c r="J9" s="1">
        <f t="shared" si="5"/>
        <v>0.66963573538945065</v>
      </c>
      <c r="K9" s="1">
        <f t="shared" si="5"/>
        <v>0.54733217049220384</v>
      </c>
      <c r="L9" s="1">
        <f t="shared" si="5"/>
        <v>0.54735257783911107</v>
      </c>
      <c r="M9" s="1">
        <f t="shared" si="5"/>
        <v>0.54780148999147027</v>
      </c>
      <c r="N9" s="1">
        <f t="shared" si="5"/>
        <v>0.66148268890788486</v>
      </c>
      <c r="O9" s="1"/>
      <c r="P9" s="1">
        <f t="shared" si="5"/>
        <v>0.61192977170874452</v>
      </c>
      <c r="Q9" s="1">
        <f t="shared" si="5"/>
        <v>0.60583332785449873</v>
      </c>
      <c r="R9" s="1">
        <f t="shared" si="5"/>
        <v>0.56420393084482567</v>
      </c>
      <c r="S9" s="1">
        <f t="shared" si="5"/>
        <v>0.59649293059932007</v>
      </c>
      <c r="T9" s="1">
        <f t="shared" si="5"/>
        <v>0.63428796402310528</v>
      </c>
      <c r="U9" s="1">
        <f t="shared" si="5"/>
        <v>0.62840610088033599</v>
      </c>
      <c r="V9" s="1">
        <f t="shared" si="5"/>
        <v>0.63083536857441502</v>
      </c>
      <c r="W9" s="1">
        <f t="shared" si="5"/>
        <v>0.63415468159592148</v>
      </c>
      <c r="X9" s="1">
        <f t="shared" si="5"/>
        <v>0.20760105322664266</v>
      </c>
      <c r="Y9" s="1">
        <f t="shared" si="5"/>
        <v>-0.3855543679623965</v>
      </c>
    </row>
    <row r="65" spans="1:1" ht="18" x14ac:dyDescent="0.35">
      <c r="A65" t="s">
        <v>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Carbon Price</vt:lpstr>
      <vt:lpstr>Total_Cost_Carbon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2025-09-05T13:20:21Z</dcterms:created>
  <dcterms:modified xsi:type="dcterms:W3CDTF">2025-10-27T12:41:48Z</dcterms:modified>
</cp:coreProperties>
</file>