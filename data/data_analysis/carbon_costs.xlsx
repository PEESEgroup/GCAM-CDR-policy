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GCAM-CDR-policy\data\data_analysis\"/>
    </mc:Choice>
  </mc:AlternateContent>
  <xr:revisionPtr revIDLastSave="0" documentId="13_ncr:1_{E25491D4-C3E1-49EA-AC4B-401F88D58DC0}" xr6:coauthVersionLast="47" xr6:coauthVersionMax="47" xr10:uidLastSave="{00000000-0000-0000-0000-000000000000}"/>
  <bookViews>
    <workbookView xWindow="-120" yWindow="-120" windowWidth="29040" windowHeight="17520" activeTab="1" xr2:uid="{402A6D60-5D67-40F0-A8D8-2C5C69F3BFA7}"/>
  </bookViews>
  <sheets>
    <sheet name="Carbon Price" sheetId="1" r:id="rId1"/>
    <sheet name="Total_Cost_Carbon" sheetId="2" r:id="rId2"/>
  </sheets>
  <definedNames>
    <definedName name="_xlchart.v1.0" hidden="1">Total_Cost_Carbon!$A$11</definedName>
    <definedName name="_xlchart.v1.1" hidden="1">Total_Cost_Carbon!$A$12</definedName>
    <definedName name="_xlchart.v1.2" hidden="1">Total_Cost_Carbon!$C$11:$Y$11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E7" i="2"/>
  <c r="E10" i="2" s="1"/>
  <c r="E11" i="2" s="1"/>
  <c r="F7" i="2"/>
  <c r="F10" i="2" s="1"/>
  <c r="F11" i="2" s="1"/>
  <c r="G7" i="2"/>
  <c r="H7" i="2"/>
  <c r="H10" i="2" s="1"/>
  <c r="H11" i="2" s="1"/>
  <c r="I7" i="2"/>
  <c r="J7" i="2"/>
  <c r="J10" i="2" s="1"/>
  <c r="J11" i="2" s="1"/>
  <c r="K7" i="2"/>
  <c r="L7" i="2"/>
  <c r="M7" i="2"/>
  <c r="N7" i="2"/>
  <c r="O7" i="2"/>
  <c r="P7" i="2"/>
  <c r="P10" i="2" s="1"/>
  <c r="P11" i="2" s="1"/>
  <c r="Q7" i="2"/>
  <c r="R7" i="2"/>
  <c r="R10" i="2" s="1"/>
  <c r="R11" i="2" s="1"/>
  <c r="S7" i="2"/>
  <c r="T7" i="2"/>
  <c r="T10" i="2" s="1"/>
  <c r="T11" i="2" s="1"/>
  <c r="U7" i="2"/>
  <c r="V7" i="2"/>
  <c r="W7" i="2"/>
  <c r="W10" i="2" s="1"/>
  <c r="W11" i="2" s="1"/>
  <c r="X7" i="2"/>
  <c r="X10" i="2" s="1"/>
  <c r="X11" i="2" s="1"/>
  <c r="Y7" i="2"/>
  <c r="D8" i="2"/>
  <c r="E8" i="2"/>
  <c r="F8" i="2"/>
  <c r="G8" i="2"/>
  <c r="H8" i="2"/>
  <c r="I8" i="2"/>
  <c r="J8" i="2"/>
  <c r="K8" i="2"/>
  <c r="L8" i="2"/>
  <c r="L10" i="2" s="1"/>
  <c r="L11" i="2" s="1"/>
  <c r="M8" i="2"/>
  <c r="N8" i="2"/>
  <c r="N10" i="2" s="1"/>
  <c r="N11" i="2" s="1"/>
  <c r="O8" i="2"/>
  <c r="P8" i="2"/>
  <c r="Q8" i="2"/>
  <c r="Q10" i="2" s="1"/>
  <c r="Q11" i="2" s="1"/>
  <c r="R8" i="2"/>
  <c r="S8" i="2"/>
  <c r="T8" i="2"/>
  <c r="U8" i="2"/>
  <c r="V8" i="2"/>
  <c r="W8" i="2"/>
  <c r="X8" i="2"/>
  <c r="Y8" i="2"/>
  <c r="D9" i="2"/>
  <c r="E9" i="2"/>
  <c r="F9" i="2"/>
  <c r="G9" i="2"/>
  <c r="H9" i="2"/>
  <c r="I9" i="2"/>
  <c r="J9" i="2"/>
  <c r="K9" i="2"/>
  <c r="L9" i="2"/>
  <c r="M9" i="2"/>
  <c r="M10" i="2" s="1"/>
  <c r="M11" i="2" s="1"/>
  <c r="N9" i="2"/>
  <c r="O9" i="2"/>
  <c r="P9" i="2"/>
  <c r="Q9" i="2"/>
  <c r="R9" i="2"/>
  <c r="S9" i="2"/>
  <c r="T9" i="2"/>
  <c r="U9" i="2"/>
  <c r="V9" i="2"/>
  <c r="W9" i="2"/>
  <c r="X9" i="2"/>
  <c r="Y9" i="2"/>
  <c r="D10" i="2"/>
  <c r="G10" i="2"/>
  <c r="I10" i="2"/>
  <c r="I11" i="2" s="1"/>
  <c r="K10" i="2"/>
  <c r="K11" i="2" s="1"/>
  <c r="O10" i="2"/>
  <c r="Y10" i="2"/>
  <c r="D11" i="2"/>
  <c r="G11" i="2"/>
  <c r="O11" i="2"/>
  <c r="Y11" i="2"/>
  <c r="C10" i="2"/>
  <c r="B10" i="2"/>
  <c r="C9" i="2"/>
  <c r="B9" i="2"/>
  <c r="A9" i="2"/>
  <c r="V10" i="2" l="1"/>
  <c r="V11" i="2" s="1"/>
  <c r="U10" i="2"/>
  <c r="U11" i="2" s="1"/>
  <c r="S10" i="2"/>
  <c r="S11" i="2" s="1"/>
  <c r="AC4" i="2"/>
  <c r="AD4" i="2"/>
  <c r="AE4" i="2"/>
  <c r="AF4" i="2"/>
  <c r="AG4" i="2"/>
  <c r="AH4" i="2"/>
  <c r="AH7" i="2" s="1"/>
  <c r="AD7" i="2"/>
  <c r="AG7" i="2"/>
  <c r="C7" i="2"/>
  <c r="C8" i="2"/>
  <c r="B8" i="2"/>
  <c r="B7" i="2"/>
  <c r="B11" i="2" s="1"/>
  <c r="A8" i="2"/>
  <c r="A7" i="2"/>
  <c r="AB4" i="2"/>
  <c r="AF7" i="2" l="1"/>
  <c r="AE7" i="2"/>
  <c r="C11" i="2"/>
  <c r="AC7" i="2"/>
</calcChain>
</file>

<file path=xl/sharedStrings.xml><?xml version="1.0" encoding="utf-8"?>
<sst xmlns="http://schemas.openxmlformats.org/spreadsheetml/2006/main" count="165" uniqueCount="75">
  <si>
    <t>High Baseline</t>
  </si>
  <si>
    <t>high</t>
  </si>
  <si>
    <t>USA</t>
  </si>
  <si>
    <t>missing</t>
  </si>
  <si>
    <t>CO2</t>
  </si>
  <si>
    <t>1990$/tC</t>
  </si>
  <si>
    <t>Low Baseline</t>
  </si>
  <si>
    <t>Nothing Baseline</t>
  </si>
  <si>
    <t>S1 High</t>
  </si>
  <si>
    <t>S2 High</t>
  </si>
  <si>
    <t>S1 Low</t>
  </si>
  <si>
    <t>S2 Low</t>
  </si>
  <si>
    <t>S1 Nothing</t>
  </si>
  <si>
    <t>S2 Nothing</t>
  </si>
  <si>
    <t>low</t>
  </si>
  <si>
    <t>scenario</t>
  </si>
  <si>
    <t>baseline</t>
  </si>
  <si>
    <t>GCAM</t>
  </si>
  <si>
    <t>sector</t>
  </si>
  <si>
    <t>subsector</t>
  </si>
  <si>
    <t>technology</t>
  </si>
  <si>
    <t>output</t>
  </si>
  <si>
    <t>concentration</t>
  </si>
  <si>
    <t>input</t>
  </si>
  <si>
    <t>product</t>
  </si>
  <si>
    <t>fuel</t>
  </si>
  <si>
    <t>LandLeaf</t>
  </si>
  <si>
    <t>GHG</t>
  </si>
  <si>
    <t>Units</t>
  </si>
  <si>
    <t>s1h</t>
  </si>
  <si>
    <t>s1l</t>
  </si>
  <si>
    <t>s2</t>
  </si>
  <si>
    <t>Excess</t>
  </si>
  <si>
    <t>excess</t>
  </si>
  <si>
    <t>CO3</t>
  </si>
  <si>
    <t>CDR</t>
  </si>
  <si>
    <r>
      <t>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tax</t>
    </r>
  </si>
  <si>
    <t>100 Mt CDR</t>
  </si>
  <si>
    <t>500 Mt CDR</t>
  </si>
  <si>
    <t>1500 Mt CDR</t>
  </si>
  <si>
    <t>2400 Mt CDR</t>
  </si>
  <si>
    <t>4000 Mt CDR</t>
  </si>
  <si>
    <t>Positive CO2 emissions</t>
  </si>
  <si>
    <t>Positive C emissions</t>
  </si>
  <si>
    <t>Marginal Effectiveness</t>
  </si>
  <si>
    <t>nzn</t>
  </si>
  <si>
    <t>innovation-DACSHubs-low</t>
  </si>
  <si>
    <t>innovation-maintain - low</t>
  </si>
  <si>
    <t>innovation-rhodium6B-low</t>
  </si>
  <si>
    <t>innovation-rhodium18b-low</t>
  </si>
  <si>
    <t>innovation-triple-low</t>
  </si>
  <si>
    <t>procurement-3B-low</t>
  </si>
  <si>
    <t>procurement-rhodium-low</t>
  </si>
  <si>
    <t>procurement-scaling-low</t>
  </si>
  <si>
    <t>itc-low</t>
  </si>
  <si>
    <t>itc-noBECCS - low</t>
  </si>
  <si>
    <t>innovation-DACSHubs-high</t>
  </si>
  <si>
    <t>innovation-maintain - high</t>
  </si>
  <si>
    <t>innovation-rhodium6B-high</t>
  </si>
  <si>
    <t>innovation-rhodium18b-high</t>
  </si>
  <si>
    <t>innovation-triple-high</t>
  </si>
  <si>
    <t>procurement-3B-high</t>
  </si>
  <si>
    <t>procurement-rhodium-high</t>
  </si>
  <si>
    <t>procurement-scaling-high</t>
  </si>
  <si>
    <t>itc-high</t>
  </si>
  <si>
    <t>4gt</t>
  </si>
  <si>
    <t>Trillion USD</t>
  </si>
  <si>
    <t>Million USD</t>
  </si>
  <si>
    <t>500 Mt CDR + Rhodium Procurement</t>
  </si>
  <si>
    <t>1500 Mt CDR + Rhodium Procurement</t>
  </si>
  <si>
    <t>Total</t>
  </si>
  <si>
    <t>% Reduction in CDR prices to make financial sense</t>
  </si>
  <si>
    <t>CDR Market</t>
  </si>
  <si>
    <t>C Tax Revenue</t>
  </si>
  <si>
    <t>Deadweight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</si>
</sst>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 Carbon Price By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'Carbon Price'!$A$2</c:f>
              <c:strCache>
                <c:ptCount val="1"/>
                <c:pt idx="0">
                  <c:v>High Baseline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Price'!$B$2:$J$2</c15:sqref>
                  </c15:fullRef>
                </c:ext>
              </c:extLst>
              <c:f>'Carbon Price'!$F$2:$J$2</c:f>
              <c:numCache>
                <c:formatCode>General</c:formatCode>
                <c:ptCount val="5"/>
                <c:pt idx="0">
                  <c:v>284.12400000000002</c:v>
                </c:pt>
                <c:pt idx="1">
                  <c:v>323.64</c:v>
                </c:pt>
                <c:pt idx="2">
                  <c:v>337.00799999999998</c:v>
                </c:pt>
                <c:pt idx="3">
                  <c:v>493.50900000000001</c:v>
                </c:pt>
                <c:pt idx="4">
                  <c:v>510.60199999999998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1-4592-9CCC-4E678AB239E2}"/>
            </c:ext>
          </c:extLst>
        </c:ser>
        <c:ser>
          <c:idx val="1"/>
          <c:order val="1"/>
          <c:tx>
            <c:strRef>
              <c:f>'Carbon Price'!$A$3</c:f>
              <c:strCache>
                <c:ptCount val="1"/>
                <c:pt idx="0">
                  <c:v>S1 High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Price'!$B$3:$J$3</c15:sqref>
                  </c15:fullRef>
                </c:ext>
              </c:extLst>
              <c:f>'Carbon Price'!$F$3:$J$3</c:f>
              <c:numCache>
                <c:formatCode>General</c:formatCode>
                <c:ptCount val="5"/>
                <c:pt idx="0">
                  <c:v>286.16800000000001</c:v>
                </c:pt>
                <c:pt idx="1">
                  <c:v>322.35199999999998</c:v>
                </c:pt>
                <c:pt idx="2">
                  <c:v>335.15300000000002</c:v>
                </c:pt>
                <c:pt idx="3">
                  <c:v>491.548</c:v>
                </c:pt>
                <c:pt idx="4">
                  <c:v>508.85300000000001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1-4592-9CCC-4E678AB239E2}"/>
            </c:ext>
          </c:extLst>
        </c:ser>
        <c:ser>
          <c:idx val="2"/>
          <c:order val="2"/>
          <c:tx>
            <c:strRef>
              <c:f>'Carbon Price'!$A$4</c:f>
              <c:strCache>
                <c:ptCount val="1"/>
                <c:pt idx="0">
                  <c:v>S2 High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Price'!$B$4:$J$4</c15:sqref>
                  </c15:fullRef>
                </c:ext>
              </c:extLst>
              <c:f>'Carbon Price'!$F$4:$J$4</c:f>
              <c:numCache>
                <c:formatCode>General</c:formatCode>
                <c:ptCount val="5"/>
                <c:pt idx="0">
                  <c:v>291.25099999999998</c:v>
                </c:pt>
                <c:pt idx="2">
                  <c:v>366.08499999999998</c:v>
                </c:pt>
                <c:pt idx="3">
                  <c:v>491.44799999999998</c:v>
                </c:pt>
                <c:pt idx="4">
                  <c:v>504.84399999999999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1-4592-9CCC-4E678AB239E2}"/>
            </c:ext>
          </c:extLst>
        </c:ser>
        <c:ser>
          <c:idx val="3"/>
          <c:order val="3"/>
          <c:tx>
            <c:strRef>
              <c:f>'Carbon Price'!$A$5</c:f>
              <c:strCache>
                <c:ptCount val="1"/>
                <c:pt idx="0">
                  <c:v>Low Baseline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  <a:prstDash val="solid"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Price'!$B$5:$J$5</c15:sqref>
                  </c15:fullRef>
                </c:ext>
              </c:extLst>
              <c:f>'Carbon Price'!$F$5:$J$5</c:f>
              <c:numCache>
                <c:formatCode>General</c:formatCode>
                <c:ptCount val="5"/>
                <c:pt idx="0">
                  <c:v>285.08699999999999</c:v>
                </c:pt>
                <c:pt idx="1">
                  <c:v>326.25799999999998</c:v>
                </c:pt>
                <c:pt idx="2">
                  <c:v>350.73899999999998</c:v>
                </c:pt>
                <c:pt idx="3">
                  <c:v>510.91199999999998</c:v>
                </c:pt>
                <c:pt idx="4">
                  <c:v>569.78200000000004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1-4592-9CCC-4E678AB239E2}"/>
            </c:ext>
          </c:extLst>
        </c:ser>
        <c:ser>
          <c:idx val="4"/>
          <c:order val="4"/>
          <c:tx>
            <c:strRef>
              <c:f>'Carbon Price'!$A$6</c:f>
              <c:strCache>
                <c:ptCount val="1"/>
                <c:pt idx="0">
                  <c:v>S1 Low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Price'!$B$6:$J$6</c15:sqref>
                  </c15:fullRef>
                </c:ext>
              </c:extLst>
              <c:f>'Carbon Price'!$F$6:$J$6</c:f>
              <c:numCache>
                <c:formatCode>General</c:formatCode>
                <c:ptCount val="5"/>
                <c:pt idx="0">
                  <c:v>285.93599999999998</c:v>
                </c:pt>
                <c:pt idx="1">
                  <c:v>325.113</c:v>
                </c:pt>
                <c:pt idx="2">
                  <c:v>348.89400000000001</c:v>
                </c:pt>
                <c:pt idx="3">
                  <c:v>508.76600000000002</c:v>
                </c:pt>
                <c:pt idx="4">
                  <c:v>567.64300000000003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F1-4592-9CCC-4E678AB239E2}"/>
            </c:ext>
          </c:extLst>
        </c:ser>
        <c:ser>
          <c:idx val="5"/>
          <c:order val="5"/>
          <c:tx>
            <c:strRef>
              <c:f>'Carbon Price'!$A$7</c:f>
              <c:strCache>
                <c:ptCount val="1"/>
                <c:pt idx="0">
                  <c:v>S2 Low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Price'!$B$7:$J$7</c15:sqref>
                  </c15:fullRef>
                </c:ext>
              </c:extLst>
              <c:f>'Carbon Price'!$F$7:$J$7</c:f>
              <c:numCache>
                <c:formatCode>General</c:formatCode>
                <c:ptCount val="5"/>
                <c:pt idx="0">
                  <c:v>292.25599999999997</c:v>
                </c:pt>
                <c:pt idx="1">
                  <c:v>339.48</c:v>
                </c:pt>
                <c:pt idx="2">
                  <c:v>361.43599999999998</c:v>
                </c:pt>
                <c:pt idx="3">
                  <c:v>508.36700000000002</c:v>
                </c:pt>
                <c:pt idx="4">
                  <c:v>563.23299999999995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F1-4592-9CCC-4E678AB239E2}"/>
            </c:ext>
          </c:extLst>
        </c:ser>
        <c:ser>
          <c:idx val="6"/>
          <c:order val="6"/>
          <c:tx>
            <c:strRef>
              <c:f>'Carbon Price'!$A$8</c:f>
              <c:strCache>
                <c:ptCount val="1"/>
                <c:pt idx="0">
                  <c:v>Excess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'Carbon Price'!$B$1:$J$1</c15:sqref>
                  </c15:fullRef>
                </c:ext>
              </c:extLst>
              <c:f>'Carbon Price'!$F$1:$J$1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'Carbon Price'!$B$8:$J$8</c15:sqref>
                  </c15:fullRef>
                </c:ext>
              </c:extLst>
              <c:f>'Carbon Price'!$F$8:$J$8</c:f>
              <c:numCache>
                <c:formatCode>General</c:formatCode>
                <c:ptCount val="5"/>
                <c:pt idx="1">
                  <c:v>337.38600000000002</c:v>
                </c:pt>
                <c:pt idx="2">
                  <c:v>330.88400000000001</c:v>
                </c:pt>
                <c:pt idx="3">
                  <c:v>469.67700000000002</c:v>
                </c:pt>
                <c:pt idx="4">
                  <c:v>321.99099999999999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1-4057-B6A0-086342806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148175"/>
        <c:axId val="1034145775"/>
      </c:lineChart>
      <c:catAx>
        <c:axId val="10341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45775"/>
        <c:crosses val="autoZero"/>
        <c:auto val="1"/>
        <c:lblAlgn val="ctr"/>
        <c:lblOffset val="100"/>
        <c:noMultiLvlLbl val="0"/>
      </c:catAx>
      <c:valAx>
        <c:axId val="1034145775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1990USD/t</a:t>
                </a:r>
                <a:r>
                  <a:rPr lang="en-US" baseline="0"/>
                  <a:t> 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Increasing CDR Increases CO2 Emissions in 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13648293963256"/>
          <c:y val="8.305736396855061E-2"/>
          <c:w val="0.83286351706036732"/>
          <c:h val="0.82245485258413076"/>
        </c:manualLayout>
      </c:layout>
      <c:scatterChart>
        <c:scatterStyle val="lineMarker"/>
        <c:varyColors val="0"/>
        <c:ser>
          <c:idx val="0"/>
          <c:order val="0"/>
          <c:tx>
            <c:strRef>
              <c:f>Total_Cost_Carbon!$AA$4</c:f>
              <c:strCache>
                <c:ptCount val="1"/>
                <c:pt idx="0">
                  <c:v>Positive CO2 emissions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Total_Cost_Carbon!$AB$3:$AH$3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974</c:v>
                </c:pt>
                <c:pt idx="3">
                  <c:v>1500</c:v>
                </c:pt>
                <c:pt idx="4">
                  <c:v>2091</c:v>
                </c:pt>
                <c:pt idx="5">
                  <c:v>2400</c:v>
                </c:pt>
                <c:pt idx="6">
                  <c:v>4000</c:v>
                </c:pt>
              </c:numCache>
            </c:numRef>
          </c:xVal>
          <c:yVal>
            <c:numRef>
              <c:f>Total_Cost_Carbon!$AB$4:$AH$4</c:f>
              <c:numCache>
                <c:formatCode>General</c:formatCode>
                <c:ptCount val="7"/>
                <c:pt idx="0">
                  <c:v>3277.6882923332319</c:v>
                </c:pt>
                <c:pt idx="1">
                  <c:v>3286.8508796772803</c:v>
                </c:pt>
                <c:pt idx="2">
                  <c:v>3327.1672459720971</c:v>
                </c:pt>
                <c:pt idx="3">
                  <c:v>3462.8793427374962</c:v>
                </c:pt>
                <c:pt idx="4">
                  <c:v>3808.8705610718766</c:v>
                </c:pt>
                <c:pt idx="5">
                  <c:v>3865.0223008479497</c:v>
                </c:pt>
                <c:pt idx="6">
                  <c:v>4637.7985885067828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F-4D81-A351-67A8B522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522208"/>
        <c:axId val="1043512608"/>
      </c:scatterChart>
      <c:valAx>
        <c:axId val="104352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 CDR/yr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12608"/>
        <c:crosses val="autoZero"/>
        <c:crossBetween val="midCat"/>
      </c:valAx>
      <c:valAx>
        <c:axId val="104351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Mt</a:t>
                </a:r>
                <a:r>
                  <a:rPr lang="en-US" baseline="0"/>
                  <a:t> CO2 Emissions/yr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52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Cost of Achieving</a:t>
            </a:r>
            <a:r>
              <a:rPr lang="en-US" sz="1800" baseline="0">
                <a:solidFill>
                  <a:schemeClr val="tx1"/>
                </a:solidFill>
              </a:rPr>
              <a:t> a 2050 Net-Zero Mandate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54094700846461E-2"/>
          <c:y val="0.11105196380081646"/>
          <c:w val="0.88243504356484392"/>
          <c:h val="0.5996880943853512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Total_Cost_Carbon!$A$9</c:f>
              <c:strCache>
                <c:ptCount val="1"/>
                <c:pt idx="0">
                  <c:v>Deadweight Loss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Total_Cost_Carbon!$B$1:$Y$1</c:f>
              <c:strCache>
                <c:ptCount val="24"/>
                <c:pt idx="0">
                  <c:v>nzn</c:v>
                </c:pt>
                <c:pt idx="1">
                  <c:v>low</c:v>
                </c:pt>
                <c:pt idx="2">
                  <c:v>innovation-DACSHubs-low</c:v>
                </c:pt>
                <c:pt idx="3">
                  <c:v>innovation-maintain - low</c:v>
                </c:pt>
                <c:pt idx="4">
                  <c:v>innovation-rhodium6B-low</c:v>
                </c:pt>
                <c:pt idx="5">
                  <c:v>innovation-rhodium18b-low</c:v>
                </c:pt>
                <c:pt idx="6">
                  <c:v>innovation-triple-low</c:v>
                </c:pt>
                <c:pt idx="7">
                  <c:v>procurement-3B-low</c:v>
                </c:pt>
                <c:pt idx="8">
                  <c:v>procurement-rhodium-low</c:v>
                </c:pt>
                <c:pt idx="9">
                  <c:v>procurement-scaling-low</c:v>
                </c:pt>
                <c:pt idx="10">
                  <c:v>itc-low</c:v>
                </c:pt>
                <c:pt idx="11">
                  <c:v>itc-noBECCS - low</c:v>
                </c:pt>
                <c:pt idx="12">
                  <c:v>high</c:v>
                </c:pt>
                <c:pt idx="13">
                  <c:v>innovation-DACSHubs-high</c:v>
                </c:pt>
                <c:pt idx="14">
                  <c:v>innovation-maintain - high</c:v>
                </c:pt>
                <c:pt idx="15">
                  <c:v>innovation-rhodium6B-high</c:v>
                </c:pt>
                <c:pt idx="16">
                  <c:v>innovation-rhodium18b-high</c:v>
                </c:pt>
                <c:pt idx="17">
                  <c:v>innovation-triple-high</c:v>
                </c:pt>
                <c:pt idx="18">
                  <c:v>procurement-3B-high</c:v>
                </c:pt>
                <c:pt idx="19">
                  <c:v>procurement-rhodium-high</c:v>
                </c:pt>
                <c:pt idx="20">
                  <c:v>procurement-scaling-high</c:v>
                </c:pt>
                <c:pt idx="21">
                  <c:v>itc-high</c:v>
                </c:pt>
                <c:pt idx="22">
                  <c:v>excess</c:v>
                </c:pt>
                <c:pt idx="23">
                  <c:v>4gt</c:v>
                </c:pt>
              </c:strCache>
            </c:strRef>
          </c:cat>
          <c:val>
            <c:numRef>
              <c:f>Total_Cost_Carbon!$B$9:$Y$9</c:f>
              <c:numCache>
                <c:formatCode>General</c:formatCode>
                <c:ptCount val="24"/>
                <c:pt idx="0">
                  <c:v>0.80540653315664501</c:v>
                </c:pt>
                <c:pt idx="1">
                  <c:v>0.76559265041325797</c:v>
                </c:pt>
                <c:pt idx="2">
                  <c:v>0.75698165001094508</c:v>
                </c:pt>
                <c:pt idx="3">
                  <c:v>0.76091263338566595</c:v>
                </c:pt>
                <c:pt idx="4">
                  <c:v>0.76036516565217604</c:v>
                </c:pt>
                <c:pt idx="5">
                  <c:v>0.75848304958090806</c:v>
                </c:pt>
                <c:pt idx="6">
                  <c:v>0.76069234447099809</c:v>
                </c:pt>
                <c:pt idx="7">
                  <c:v>0.76095363317406706</c:v>
                </c:pt>
                <c:pt idx="8">
                  <c:v>0.66886775892514594</c:v>
                </c:pt>
                <c:pt idx="9">
                  <c:v>0.76093135692297798</c:v>
                </c:pt>
                <c:pt idx="10">
                  <c:v>0.76091465243740908</c:v>
                </c:pt>
                <c:pt idx="11">
                  <c:v>0.76094737747709895</c:v>
                </c:pt>
                <c:pt idx="12">
                  <c:v>0.546578194077596</c:v>
                </c:pt>
                <c:pt idx="13">
                  <c:v>0</c:v>
                </c:pt>
                <c:pt idx="14">
                  <c:v>0.53980462528722506</c:v>
                </c:pt>
                <c:pt idx="15">
                  <c:v>0.53783980929351904</c:v>
                </c:pt>
                <c:pt idx="16">
                  <c:v>0.53009090975417106</c:v>
                </c:pt>
                <c:pt idx="17">
                  <c:v>0.53695648322714506</c:v>
                </c:pt>
                <c:pt idx="18">
                  <c:v>0.54328262985981701</c:v>
                </c:pt>
                <c:pt idx="19">
                  <c:v>0.44039384256177905</c:v>
                </c:pt>
                <c:pt idx="20">
                  <c:v>0.54253783512312803</c:v>
                </c:pt>
                <c:pt idx="21">
                  <c:v>0.543356259561663</c:v>
                </c:pt>
                <c:pt idx="22">
                  <c:v>0.25289689749009103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48ED-BB1E-978F7C867961}"/>
            </c:ext>
          </c:extLst>
        </c:ser>
        <c:ser>
          <c:idx val="1"/>
          <c:order val="1"/>
          <c:tx>
            <c:strRef>
              <c:f>Total_Cost_Carbon!$A$8</c:f>
              <c:strCache>
                <c:ptCount val="1"/>
                <c:pt idx="0">
                  <c:v>C Tax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Total_Cost_Carbon!$B$1:$Y$1</c:f>
              <c:strCache>
                <c:ptCount val="24"/>
                <c:pt idx="0">
                  <c:v>nzn</c:v>
                </c:pt>
                <c:pt idx="1">
                  <c:v>low</c:v>
                </c:pt>
                <c:pt idx="2">
                  <c:v>innovation-DACSHubs-low</c:v>
                </c:pt>
                <c:pt idx="3">
                  <c:v>innovation-maintain - low</c:v>
                </c:pt>
                <c:pt idx="4">
                  <c:v>innovation-rhodium6B-low</c:v>
                </c:pt>
                <c:pt idx="5">
                  <c:v>innovation-rhodium18b-low</c:v>
                </c:pt>
                <c:pt idx="6">
                  <c:v>innovation-triple-low</c:v>
                </c:pt>
                <c:pt idx="7">
                  <c:v>procurement-3B-low</c:v>
                </c:pt>
                <c:pt idx="8">
                  <c:v>procurement-rhodium-low</c:v>
                </c:pt>
                <c:pt idx="9">
                  <c:v>procurement-scaling-low</c:v>
                </c:pt>
                <c:pt idx="10">
                  <c:v>itc-low</c:v>
                </c:pt>
                <c:pt idx="11">
                  <c:v>itc-noBECCS - low</c:v>
                </c:pt>
                <c:pt idx="12">
                  <c:v>high</c:v>
                </c:pt>
                <c:pt idx="13">
                  <c:v>innovation-DACSHubs-high</c:v>
                </c:pt>
                <c:pt idx="14">
                  <c:v>innovation-maintain - high</c:v>
                </c:pt>
                <c:pt idx="15">
                  <c:v>innovation-rhodium6B-high</c:v>
                </c:pt>
                <c:pt idx="16">
                  <c:v>innovation-rhodium18b-high</c:v>
                </c:pt>
                <c:pt idx="17">
                  <c:v>innovation-triple-high</c:v>
                </c:pt>
                <c:pt idx="18">
                  <c:v>procurement-3B-high</c:v>
                </c:pt>
                <c:pt idx="19">
                  <c:v>procurement-rhodium-high</c:v>
                </c:pt>
                <c:pt idx="20">
                  <c:v>procurement-scaling-high</c:v>
                </c:pt>
                <c:pt idx="21">
                  <c:v>itc-high</c:v>
                </c:pt>
                <c:pt idx="22">
                  <c:v>excess</c:v>
                </c:pt>
                <c:pt idx="23">
                  <c:v>4gt</c:v>
                </c:pt>
              </c:strCache>
            </c:strRef>
          </c:cat>
          <c:val>
            <c:numRef>
              <c:f>Total_Cost_Carbon!$B$8:$Y$8</c:f>
              <c:numCache>
                <c:formatCode>General</c:formatCode>
                <c:ptCount val="24"/>
                <c:pt idx="0">
                  <c:v>1.2661769460771801E-2</c:v>
                </c:pt>
                <c:pt idx="1">
                  <c:v>6.3520126462192295E-2</c:v>
                </c:pt>
                <c:pt idx="2">
                  <c:v>7.2313929938736296E-2</c:v>
                </c:pt>
                <c:pt idx="3">
                  <c:v>6.4584048976029401E-2</c:v>
                </c:pt>
                <c:pt idx="4">
                  <c:v>6.4726280576981696E-2</c:v>
                </c:pt>
                <c:pt idx="5">
                  <c:v>6.4831455393355497E-2</c:v>
                </c:pt>
                <c:pt idx="6">
                  <c:v>6.3802130694090797E-2</c:v>
                </c:pt>
                <c:pt idx="7">
                  <c:v>6.6309095375206101E-2</c:v>
                </c:pt>
                <c:pt idx="8">
                  <c:v>0.19934397205518201</c:v>
                </c:pt>
                <c:pt idx="9">
                  <c:v>6.6274958472520504E-2</c:v>
                </c:pt>
                <c:pt idx="10">
                  <c:v>6.6288695092441993E-2</c:v>
                </c:pt>
                <c:pt idx="11">
                  <c:v>6.6310365425589102E-2</c:v>
                </c:pt>
                <c:pt idx="12">
                  <c:v>0.34417585007785201</c:v>
                </c:pt>
                <c:pt idx="13">
                  <c:v>0</c:v>
                </c:pt>
                <c:pt idx="14">
                  <c:v>0.34849103426654698</c:v>
                </c:pt>
                <c:pt idx="15">
                  <c:v>0.350341017696847</c:v>
                </c:pt>
                <c:pt idx="16">
                  <c:v>0.35853756413854504</c:v>
                </c:pt>
                <c:pt idx="17">
                  <c:v>0.35125332771964596</c:v>
                </c:pt>
                <c:pt idx="18">
                  <c:v>0.34543296099800597</c:v>
                </c:pt>
                <c:pt idx="19">
                  <c:v>0.45596263167832402</c:v>
                </c:pt>
                <c:pt idx="20">
                  <c:v>0.344379196492753</c:v>
                </c:pt>
                <c:pt idx="21">
                  <c:v>0.34531942562496903</c:v>
                </c:pt>
                <c:pt idx="22">
                  <c:v>0.42456509040301799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2-407A-8AA6-2C044006A0F6}"/>
            </c:ext>
          </c:extLst>
        </c:ser>
        <c:ser>
          <c:idx val="0"/>
          <c:order val="2"/>
          <c:tx>
            <c:strRef>
              <c:f>Total_Cost_Carbon!$A$7</c:f>
              <c:strCache>
                <c:ptCount val="1"/>
                <c:pt idx="0">
                  <c:v>CDR Market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Total_Cost_Carbon!$B$1:$Y$1</c:f>
              <c:strCache>
                <c:ptCount val="24"/>
                <c:pt idx="0">
                  <c:v>nzn</c:v>
                </c:pt>
                <c:pt idx="1">
                  <c:v>low</c:v>
                </c:pt>
                <c:pt idx="2">
                  <c:v>innovation-DACSHubs-low</c:v>
                </c:pt>
                <c:pt idx="3">
                  <c:v>innovation-maintain - low</c:v>
                </c:pt>
                <c:pt idx="4">
                  <c:v>innovation-rhodium6B-low</c:v>
                </c:pt>
                <c:pt idx="5">
                  <c:v>innovation-rhodium18b-low</c:v>
                </c:pt>
                <c:pt idx="6">
                  <c:v>innovation-triple-low</c:v>
                </c:pt>
                <c:pt idx="7">
                  <c:v>procurement-3B-low</c:v>
                </c:pt>
                <c:pt idx="8">
                  <c:v>procurement-rhodium-low</c:v>
                </c:pt>
                <c:pt idx="9">
                  <c:v>procurement-scaling-low</c:v>
                </c:pt>
                <c:pt idx="10">
                  <c:v>itc-low</c:v>
                </c:pt>
                <c:pt idx="11">
                  <c:v>itc-noBECCS - low</c:v>
                </c:pt>
                <c:pt idx="12">
                  <c:v>high</c:v>
                </c:pt>
                <c:pt idx="13">
                  <c:v>innovation-DACSHubs-high</c:v>
                </c:pt>
                <c:pt idx="14">
                  <c:v>innovation-maintain - high</c:v>
                </c:pt>
                <c:pt idx="15">
                  <c:v>innovation-rhodium6B-high</c:v>
                </c:pt>
                <c:pt idx="16">
                  <c:v>innovation-rhodium18b-high</c:v>
                </c:pt>
                <c:pt idx="17">
                  <c:v>innovation-triple-high</c:v>
                </c:pt>
                <c:pt idx="18">
                  <c:v>procurement-3B-high</c:v>
                </c:pt>
                <c:pt idx="19">
                  <c:v>procurement-rhodium-high</c:v>
                </c:pt>
                <c:pt idx="20">
                  <c:v>procurement-scaling-high</c:v>
                </c:pt>
                <c:pt idx="21">
                  <c:v>itc-high</c:v>
                </c:pt>
                <c:pt idx="22">
                  <c:v>excess</c:v>
                </c:pt>
                <c:pt idx="23">
                  <c:v>4gt</c:v>
                </c:pt>
              </c:strCache>
            </c:strRef>
          </c:cat>
          <c:val>
            <c:numRef>
              <c:f>Total_Cost_Carbon!$B$7:$Y$7</c:f>
              <c:numCache>
                <c:formatCode>General</c:formatCode>
                <c:ptCount val="24"/>
                <c:pt idx="0">
                  <c:v>1.80015467729845E-2</c:v>
                </c:pt>
                <c:pt idx="1">
                  <c:v>8.6435333069538905E-2</c:v>
                </c:pt>
                <c:pt idx="2">
                  <c:v>8.2018275442912902E-2</c:v>
                </c:pt>
                <c:pt idx="3">
                  <c:v>8.0543139220406193E-2</c:v>
                </c:pt>
                <c:pt idx="4">
                  <c:v>7.9191665210007506E-2</c:v>
                </c:pt>
                <c:pt idx="5">
                  <c:v>7.1784198481042408E-2</c:v>
                </c:pt>
                <c:pt idx="6">
                  <c:v>7.7449393544863201E-2</c:v>
                </c:pt>
                <c:pt idx="7">
                  <c:v>8.5043634601615806E-2</c:v>
                </c:pt>
                <c:pt idx="8">
                  <c:v>0.18412221682811603</c:v>
                </c:pt>
                <c:pt idx="9">
                  <c:v>8.5039787194114494E-2</c:v>
                </c:pt>
                <c:pt idx="10">
                  <c:v>8.5039599125083798E-2</c:v>
                </c:pt>
                <c:pt idx="11">
                  <c:v>8.5043120568175312E-2</c:v>
                </c:pt>
                <c:pt idx="12">
                  <c:v>0.31633111004002901</c:v>
                </c:pt>
                <c:pt idx="13">
                  <c:v>0</c:v>
                </c:pt>
                <c:pt idx="14">
                  <c:v>0.29730050001937802</c:v>
                </c:pt>
                <c:pt idx="15">
                  <c:v>0.29394780178260499</c:v>
                </c:pt>
                <c:pt idx="16">
                  <c:v>0.273786617657857</c:v>
                </c:pt>
                <c:pt idx="17">
                  <c:v>0.28960338611407599</c:v>
                </c:pt>
                <c:pt idx="18">
                  <c:v>0.30825365680427597</c:v>
                </c:pt>
                <c:pt idx="19">
                  <c:v>0.42715683625427098</c:v>
                </c:pt>
                <c:pt idx="20">
                  <c:v>0.30811729543225003</c:v>
                </c:pt>
                <c:pt idx="21">
                  <c:v>0.30821074006138605</c:v>
                </c:pt>
                <c:pt idx="22">
                  <c:v>0.555685658074067</c:v>
                </c:pt>
                <c:pt idx="23">
                  <c:v>0.93580300000000005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2-407A-8AA6-2C044006A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9697999"/>
        <c:axId val="959698479"/>
      </c:barChart>
      <c:catAx>
        <c:axId val="959697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98479"/>
        <c:crosses val="autoZero"/>
        <c:auto val="1"/>
        <c:lblAlgn val="ctr"/>
        <c:lblOffset val="100"/>
        <c:noMultiLvlLbl val="0"/>
      </c:catAx>
      <c:valAx>
        <c:axId val="9596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</a:rPr>
                  <a:t>Trillion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69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623968225095129E-2"/>
          <c:y val="0.12296574601772681"/>
          <c:w val="0.64187031870603606"/>
          <c:h val="5.0605903604822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Further % Reduction in CDR Prices to Achieve Cost Parity with C Tax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Further % Reduction in CDR Prices to Achieve Cost Parity with C Tax</a:t>
          </a:r>
        </a:p>
      </cx:txPr>
    </cx:title>
    <cx:plotArea>
      <cx:plotAreaRegion>
        <cx:series layoutId="boxWhisker" uniqueId="{5402BA9F-4984-4EB2-B2F1-7A55FABDC951}">
          <cx:tx>
            <cx:txData>
              <cx:f>_xlchart.v1.0</cx:f>
              <cx:v>% Reduction in CDR prices to make financial sense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8</xdr:row>
      <xdr:rowOff>14287</xdr:rowOff>
    </xdr:from>
    <xdr:to>
      <xdr:col>8</xdr:col>
      <xdr:colOff>257175</xdr:colOff>
      <xdr:row>39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DB815-1833-CC3F-B47B-791955AE3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66675</xdr:colOff>
      <xdr:row>12</xdr:row>
      <xdr:rowOff>80960</xdr:rowOff>
    </xdr:from>
    <xdr:to>
      <xdr:col>31</xdr:col>
      <xdr:colOff>371475</xdr:colOff>
      <xdr:row>36</xdr:row>
      <xdr:rowOff>80960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9B2AFFF-92F9-99AB-0948-53C3F333B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508905</xdr:colOff>
      <xdr:row>13</xdr:row>
      <xdr:rowOff>163285</xdr:rowOff>
    </xdr:from>
    <xdr:to>
      <xdr:col>15</xdr:col>
      <xdr:colOff>38100</xdr:colOff>
      <xdr:row>44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CB86E6-B5A8-2550-32F4-838065C6E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528636</xdr:colOff>
      <xdr:row>15</xdr:row>
      <xdr:rowOff>138111</xdr:rowOff>
    </xdr:from>
    <xdr:to>
      <xdr:col>19</xdr:col>
      <xdr:colOff>419099</xdr:colOff>
      <xdr:row>34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D0E6869-FB4E-C43E-7F66-68B3B65F02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2636" y="2652711"/>
              <a:ext cx="2328863" cy="36052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602F-D2DA-4FAD-A834-421B3FC08562}">
  <dimension ref="A1:X11"/>
  <sheetViews>
    <sheetView workbookViewId="0">
      <selection activeCell="J36" sqref="J36"/>
    </sheetView>
  </sheetViews>
  <sheetFormatPr defaultRowHeight="15" x14ac:dyDescent="0.25"/>
  <sheetData>
    <row r="1" spans="1:24" x14ac:dyDescent="0.25">
      <c r="B1">
        <v>1990</v>
      </c>
      <c r="C1">
        <v>2005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284.12400000000002</v>
      </c>
      <c r="G2">
        <v>323.64</v>
      </c>
      <c r="H2">
        <v>337.00799999999998</v>
      </c>
      <c r="I2">
        <v>493.50900000000001</v>
      </c>
      <c r="J2">
        <v>510.60199999999998</v>
      </c>
      <c r="K2" t="s">
        <v>1</v>
      </c>
      <c r="L2" t="s">
        <v>1</v>
      </c>
      <c r="M2" t="s">
        <v>2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4</v>
      </c>
      <c r="U2" t="s">
        <v>3</v>
      </c>
      <c r="V2" t="s">
        <v>3</v>
      </c>
      <c r="W2" t="s">
        <v>3</v>
      </c>
      <c r="X2" t="s">
        <v>5</v>
      </c>
    </row>
    <row r="3" spans="1:24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286.16800000000001</v>
      </c>
      <c r="G3">
        <v>322.35199999999998</v>
      </c>
      <c r="H3">
        <v>335.15300000000002</v>
      </c>
      <c r="I3">
        <v>491.548</v>
      </c>
      <c r="J3">
        <v>508.85300000000001</v>
      </c>
      <c r="K3" t="s">
        <v>29</v>
      </c>
      <c r="L3" t="s">
        <v>1</v>
      </c>
      <c r="M3" t="s">
        <v>2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4</v>
      </c>
      <c r="U3" t="s">
        <v>3</v>
      </c>
      <c r="V3" t="s">
        <v>3</v>
      </c>
      <c r="W3" t="s">
        <v>3</v>
      </c>
      <c r="X3" t="s">
        <v>5</v>
      </c>
    </row>
    <row r="4" spans="1:24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291.25099999999998</v>
      </c>
      <c r="H4">
        <v>366.08499999999998</v>
      </c>
      <c r="I4">
        <v>491.44799999999998</v>
      </c>
      <c r="J4">
        <v>504.84399999999999</v>
      </c>
      <c r="K4" t="s">
        <v>31</v>
      </c>
      <c r="L4" t="s">
        <v>1</v>
      </c>
      <c r="M4" t="s">
        <v>2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4</v>
      </c>
      <c r="U4" t="s">
        <v>3</v>
      </c>
      <c r="V4" t="s">
        <v>3</v>
      </c>
      <c r="W4" t="s">
        <v>3</v>
      </c>
      <c r="X4" t="s">
        <v>5</v>
      </c>
    </row>
    <row r="5" spans="1:24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285.08699999999999</v>
      </c>
      <c r="G5">
        <v>326.25799999999998</v>
      </c>
      <c r="H5">
        <v>350.73899999999998</v>
      </c>
      <c r="I5">
        <v>510.91199999999998</v>
      </c>
      <c r="J5">
        <v>569.78200000000004</v>
      </c>
      <c r="K5" t="s">
        <v>14</v>
      </c>
      <c r="L5" t="s">
        <v>14</v>
      </c>
      <c r="M5" t="s">
        <v>2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4</v>
      </c>
      <c r="U5" t="s">
        <v>3</v>
      </c>
      <c r="V5" t="s">
        <v>3</v>
      </c>
      <c r="W5" t="s">
        <v>3</v>
      </c>
      <c r="X5" t="s">
        <v>5</v>
      </c>
    </row>
    <row r="6" spans="1:24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285.93599999999998</v>
      </c>
      <c r="G6">
        <v>325.113</v>
      </c>
      <c r="H6">
        <v>348.89400000000001</v>
      </c>
      <c r="I6">
        <v>508.76600000000002</v>
      </c>
      <c r="J6">
        <v>567.64300000000003</v>
      </c>
      <c r="K6" t="s">
        <v>30</v>
      </c>
      <c r="L6" t="s">
        <v>14</v>
      </c>
      <c r="M6" t="s">
        <v>2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4</v>
      </c>
      <c r="U6" t="s">
        <v>3</v>
      </c>
      <c r="V6" t="s">
        <v>3</v>
      </c>
      <c r="W6" t="s">
        <v>3</v>
      </c>
      <c r="X6" t="s">
        <v>5</v>
      </c>
    </row>
    <row r="7" spans="1:24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292.25599999999997</v>
      </c>
      <c r="G7">
        <v>339.48</v>
      </c>
      <c r="H7">
        <v>361.43599999999998</v>
      </c>
      <c r="I7">
        <v>508.36700000000002</v>
      </c>
      <c r="J7">
        <v>563.23299999999995</v>
      </c>
      <c r="K7" t="s">
        <v>31</v>
      </c>
      <c r="L7" t="s">
        <v>14</v>
      </c>
      <c r="M7" t="s">
        <v>2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4</v>
      </c>
      <c r="U7" t="s">
        <v>3</v>
      </c>
      <c r="V7" t="s">
        <v>3</v>
      </c>
      <c r="W7" t="s">
        <v>3</v>
      </c>
      <c r="X7" t="s">
        <v>5</v>
      </c>
    </row>
    <row r="8" spans="1:24" x14ac:dyDescent="0.25">
      <c r="A8" t="s">
        <v>32</v>
      </c>
      <c r="B8">
        <v>0</v>
      </c>
      <c r="C8">
        <v>0</v>
      </c>
      <c r="D8">
        <v>0</v>
      </c>
      <c r="E8">
        <v>0</v>
      </c>
      <c r="G8">
        <v>337.38600000000002</v>
      </c>
      <c r="H8">
        <v>330.88400000000001</v>
      </c>
      <c r="I8">
        <v>469.67700000000002</v>
      </c>
      <c r="J8">
        <v>321.99099999999999</v>
      </c>
      <c r="K8" t="s">
        <v>33</v>
      </c>
      <c r="L8" t="s">
        <v>33</v>
      </c>
      <c r="M8" t="s">
        <v>2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34</v>
      </c>
      <c r="U8" t="s">
        <v>3</v>
      </c>
      <c r="V8" t="s">
        <v>3</v>
      </c>
      <c r="W8" t="s">
        <v>3</v>
      </c>
      <c r="X8" t="s">
        <v>5</v>
      </c>
    </row>
    <row r="9" spans="1:24" x14ac:dyDescent="0.25">
      <c r="A9" t="s">
        <v>7</v>
      </c>
    </row>
    <row r="10" spans="1:24" x14ac:dyDescent="0.25">
      <c r="A10" t="s">
        <v>12</v>
      </c>
    </row>
    <row r="11" spans="1:24" x14ac:dyDescent="0.25">
      <c r="A11" t="s">
        <v>13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DB2A-9C4C-46E9-980E-CFE273FA9402}">
  <dimension ref="A1:AH67"/>
  <sheetViews>
    <sheetView tabSelected="1" zoomScaleNormal="100" workbookViewId="0">
      <selection activeCell="A6" sqref="A6"/>
    </sheetView>
  </sheetViews>
  <sheetFormatPr defaultRowHeight="15" x14ac:dyDescent="0.25"/>
  <sheetData>
    <row r="1" spans="1:34" x14ac:dyDescent="0.25">
      <c r="A1" s="2" t="s">
        <v>67</v>
      </c>
      <c r="B1" t="s">
        <v>45</v>
      </c>
      <c r="C1" t="s">
        <v>14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1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33</v>
      </c>
      <c r="Y1" t="s">
        <v>65</v>
      </c>
    </row>
    <row r="2" spans="1:34" x14ac:dyDescent="0.25">
      <c r="A2" t="s">
        <v>72</v>
      </c>
      <c r="B2">
        <v>18001.5467729845</v>
      </c>
      <c r="C2">
        <v>86435.333069538901</v>
      </c>
      <c r="D2">
        <v>82018.275442912898</v>
      </c>
      <c r="E2">
        <v>80543.139220406199</v>
      </c>
      <c r="F2">
        <v>79191.665210007501</v>
      </c>
      <c r="G2">
        <v>71784.198481042404</v>
      </c>
      <c r="H2">
        <v>77449.393544863196</v>
      </c>
      <c r="I2">
        <v>85043.634601615806</v>
      </c>
      <c r="J2">
        <v>184122.21682811601</v>
      </c>
      <c r="K2">
        <v>85039.787194114499</v>
      </c>
      <c r="L2">
        <v>85039.599125083798</v>
      </c>
      <c r="M2">
        <v>85043.120568175305</v>
      </c>
      <c r="N2">
        <v>316331.11004002899</v>
      </c>
      <c r="P2">
        <v>297300.50001937803</v>
      </c>
      <c r="Q2">
        <v>293947.80178260501</v>
      </c>
      <c r="R2">
        <v>273786.61765785702</v>
      </c>
      <c r="S2">
        <v>289603.38611407601</v>
      </c>
      <c r="T2">
        <v>308253.65680427599</v>
      </c>
      <c r="U2">
        <v>427156.83625427098</v>
      </c>
      <c r="V2">
        <v>308117.29543225002</v>
      </c>
      <c r="W2">
        <v>308210.74006138602</v>
      </c>
      <c r="X2">
        <v>555685.65807406697</v>
      </c>
      <c r="Y2">
        <v>935803</v>
      </c>
      <c r="AA2">
        <v>2050</v>
      </c>
      <c r="AB2" t="s">
        <v>37</v>
      </c>
      <c r="AC2" t="s">
        <v>38</v>
      </c>
      <c r="AD2" t="s">
        <v>68</v>
      </c>
      <c r="AE2" t="s">
        <v>39</v>
      </c>
      <c r="AF2" t="s">
        <v>69</v>
      </c>
      <c r="AG2" t="s">
        <v>40</v>
      </c>
      <c r="AH2" t="s">
        <v>41</v>
      </c>
    </row>
    <row r="3" spans="1:34" x14ac:dyDescent="0.25">
      <c r="A3" t="s">
        <v>73</v>
      </c>
      <c r="B3">
        <v>12661.7694607718</v>
      </c>
      <c r="C3">
        <v>63520.126462192296</v>
      </c>
      <c r="D3">
        <v>72313.929938736299</v>
      </c>
      <c r="E3">
        <v>64584.0489760294</v>
      </c>
      <c r="F3">
        <v>64726.280576981699</v>
      </c>
      <c r="G3">
        <v>64831.4553933555</v>
      </c>
      <c r="H3">
        <v>63802.130694090803</v>
      </c>
      <c r="I3">
        <v>66309.095375206103</v>
      </c>
      <c r="J3">
        <v>199343.97205518201</v>
      </c>
      <c r="K3">
        <v>66274.958472520506</v>
      </c>
      <c r="L3">
        <v>66288.695092441994</v>
      </c>
      <c r="M3">
        <v>66310.365425589102</v>
      </c>
      <c r="N3">
        <v>344175.85007785202</v>
      </c>
      <c r="P3">
        <v>348491.03426654701</v>
      </c>
      <c r="Q3">
        <v>350341.01769684698</v>
      </c>
      <c r="R3">
        <v>358537.56413854501</v>
      </c>
      <c r="S3">
        <v>351253.32771964598</v>
      </c>
      <c r="T3">
        <v>345432.96099800599</v>
      </c>
      <c r="U3">
        <v>455962.63167832402</v>
      </c>
      <c r="V3">
        <v>344379.19649275299</v>
      </c>
      <c r="W3">
        <v>345319.42562496901</v>
      </c>
      <c r="X3">
        <v>424565.090403018</v>
      </c>
      <c r="Y3">
        <v>0</v>
      </c>
      <c r="AA3" t="s">
        <v>35</v>
      </c>
      <c r="AB3">
        <v>100</v>
      </c>
      <c r="AC3">
        <v>500</v>
      </c>
      <c r="AD3">
        <v>974</v>
      </c>
      <c r="AE3">
        <v>1500</v>
      </c>
      <c r="AF3">
        <v>2091</v>
      </c>
      <c r="AG3">
        <v>2400</v>
      </c>
      <c r="AH3">
        <v>4000</v>
      </c>
    </row>
    <row r="4" spans="1:34" x14ac:dyDescent="0.25">
      <c r="A4" t="s">
        <v>74</v>
      </c>
      <c r="B4">
        <v>805406.53315664502</v>
      </c>
      <c r="C4">
        <v>765592.650413258</v>
      </c>
      <c r="D4">
        <v>756981.65001094504</v>
      </c>
      <c r="E4">
        <v>760912.63338566595</v>
      </c>
      <c r="F4">
        <v>760365.16565217602</v>
      </c>
      <c r="G4">
        <v>758483.04958090803</v>
      </c>
      <c r="H4">
        <v>760692.34447099804</v>
      </c>
      <c r="I4">
        <v>760953.63317406701</v>
      </c>
      <c r="J4">
        <v>668867.75892514596</v>
      </c>
      <c r="K4">
        <v>760931.35692297795</v>
      </c>
      <c r="L4">
        <v>760914.65243740904</v>
      </c>
      <c r="M4">
        <v>760947.37747709895</v>
      </c>
      <c r="N4">
        <v>546578.19407759595</v>
      </c>
      <c r="P4">
        <v>539804.625287225</v>
      </c>
      <c r="Q4">
        <v>537839.80929351901</v>
      </c>
      <c r="R4">
        <v>530090.90975417104</v>
      </c>
      <c r="S4">
        <v>536956.48322714504</v>
      </c>
      <c r="T4">
        <v>543282.62985981698</v>
      </c>
      <c r="U4">
        <v>440393.84256177902</v>
      </c>
      <c r="V4">
        <v>542537.83512312802</v>
      </c>
      <c r="W4">
        <v>543356.25956166303</v>
      </c>
      <c r="X4">
        <v>252896.89749009101</v>
      </c>
      <c r="AA4" t="s">
        <v>42</v>
      </c>
      <c r="AB4">
        <f t="shared" ref="AB4:AH4" si="0">AB6*44/12</f>
        <v>3277.6882923332319</v>
      </c>
      <c r="AC4">
        <f t="shared" si="0"/>
        <v>3286.8508796772803</v>
      </c>
      <c r="AD4">
        <f t="shared" si="0"/>
        <v>3327.1672459720971</v>
      </c>
      <c r="AE4">
        <f t="shared" si="0"/>
        <v>3462.8793427374962</v>
      </c>
      <c r="AF4">
        <f t="shared" si="0"/>
        <v>3808.8705610718766</v>
      </c>
      <c r="AG4">
        <f t="shared" si="0"/>
        <v>3865.0223008479497</v>
      </c>
      <c r="AH4">
        <f t="shared" si="0"/>
        <v>4637.7985885067828</v>
      </c>
    </row>
    <row r="6" spans="1:34" x14ac:dyDescent="0.25">
      <c r="A6" s="2" t="s">
        <v>66</v>
      </c>
      <c r="AA6" t="s">
        <v>43</v>
      </c>
      <c r="AB6">
        <v>893.91498881815403</v>
      </c>
      <c r="AC6">
        <v>896.41387627562199</v>
      </c>
      <c r="AD6">
        <v>907.40924890148096</v>
      </c>
      <c r="AE6">
        <v>944.42163892840802</v>
      </c>
      <c r="AF6">
        <v>1038.78288029233</v>
      </c>
      <c r="AG6">
        <v>1054.0969911403499</v>
      </c>
      <c r="AH6">
        <v>1264.8541605018499</v>
      </c>
    </row>
    <row r="7" spans="1:34" x14ac:dyDescent="0.25">
      <c r="A7" t="str">
        <f>A2</f>
        <v>CDR Market</v>
      </c>
      <c r="B7">
        <f>B2/1000000</f>
        <v>1.80015467729845E-2</v>
      </c>
      <c r="C7">
        <f t="shared" ref="C7:Y7" si="1">C2/1000000</f>
        <v>8.6435333069538905E-2</v>
      </c>
      <c r="D7">
        <f t="shared" ref="D7:Y7" si="2">D2/1000000</f>
        <v>8.2018275442912902E-2</v>
      </c>
      <c r="E7">
        <f t="shared" si="2"/>
        <v>8.0543139220406193E-2</v>
      </c>
      <c r="F7">
        <f t="shared" si="2"/>
        <v>7.9191665210007506E-2</v>
      </c>
      <c r="G7">
        <f t="shared" si="2"/>
        <v>7.1784198481042408E-2</v>
      </c>
      <c r="H7">
        <f t="shared" si="2"/>
        <v>7.7449393544863201E-2</v>
      </c>
      <c r="I7">
        <f t="shared" si="2"/>
        <v>8.5043634601615806E-2</v>
      </c>
      <c r="J7">
        <f t="shared" si="2"/>
        <v>0.18412221682811603</v>
      </c>
      <c r="K7">
        <f t="shared" si="2"/>
        <v>8.5039787194114494E-2</v>
      </c>
      <c r="L7">
        <f t="shared" si="2"/>
        <v>8.5039599125083798E-2</v>
      </c>
      <c r="M7">
        <f t="shared" si="2"/>
        <v>8.5043120568175312E-2</v>
      </c>
      <c r="N7">
        <f t="shared" si="2"/>
        <v>0.31633111004002901</v>
      </c>
      <c r="O7">
        <f t="shared" si="2"/>
        <v>0</v>
      </c>
      <c r="P7">
        <f t="shared" si="2"/>
        <v>0.29730050001937802</v>
      </c>
      <c r="Q7">
        <f t="shared" si="2"/>
        <v>0.29394780178260499</v>
      </c>
      <c r="R7">
        <f t="shared" si="2"/>
        <v>0.273786617657857</v>
      </c>
      <c r="S7">
        <f t="shared" si="2"/>
        <v>0.28960338611407599</v>
      </c>
      <c r="T7">
        <f t="shared" si="2"/>
        <v>0.30825365680427597</v>
      </c>
      <c r="U7">
        <f t="shared" si="2"/>
        <v>0.42715683625427098</v>
      </c>
      <c r="V7">
        <f t="shared" si="2"/>
        <v>0.30811729543225003</v>
      </c>
      <c r="W7">
        <f t="shared" si="2"/>
        <v>0.30821074006138605</v>
      </c>
      <c r="X7">
        <f t="shared" si="2"/>
        <v>0.555685658074067</v>
      </c>
      <c r="Y7">
        <f t="shared" si="2"/>
        <v>0.93580300000000005</v>
      </c>
      <c r="AA7" t="s">
        <v>44</v>
      </c>
      <c r="AC7">
        <f>(AC4-AB4)/(AC3-AB3)</f>
        <v>2.2906468360121154E-2</v>
      </c>
      <c r="AD7">
        <f>(AD4-AC4)/(AD3-AC3)</f>
        <v>8.5055625094550252E-2</v>
      </c>
      <c r="AE7">
        <f t="shared" ref="AE7:AH7" si="3">(AE4-AD4)/(AE3-AD3)</f>
        <v>0.25800778852737472</v>
      </c>
      <c r="AF7">
        <f t="shared" si="3"/>
        <v>0.58543353356071137</v>
      </c>
      <c r="AG7">
        <f t="shared" si="3"/>
        <v>0.1817208406992657</v>
      </c>
      <c r="AH7">
        <f t="shared" si="3"/>
        <v>0.48298517978677069</v>
      </c>
    </row>
    <row r="8" spans="1:34" x14ac:dyDescent="0.25">
      <c r="A8" t="str">
        <f>A3</f>
        <v>C Tax Revenue</v>
      </c>
      <c r="B8">
        <f>B3/1000000</f>
        <v>1.2661769460771801E-2</v>
      </c>
      <c r="C8">
        <f t="shared" ref="C8:Y8" si="4">C3/1000000</f>
        <v>6.3520126462192295E-2</v>
      </c>
      <c r="D8">
        <f t="shared" ref="D8:Y8" si="5">D3/1000000</f>
        <v>7.2313929938736296E-2</v>
      </c>
      <c r="E8">
        <f t="shared" si="5"/>
        <v>6.4584048976029401E-2</v>
      </c>
      <c r="F8">
        <f t="shared" si="5"/>
        <v>6.4726280576981696E-2</v>
      </c>
      <c r="G8">
        <f t="shared" si="5"/>
        <v>6.4831455393355497E-2</v>
      </c>
      <c r="H8">
        <f t="shared" si="5"/>
        <v>6.3802130694090797E-2</v>
      </c>
      <c r="I8">
        <f t="shared" si="5"/>
        <v>6.6309095375206101E-2</v>
      </c>
      <c r="J8">
        <f t="shared" si="5"/>
        <v>0.19934397205518201</v>
      </c>
      <c r="K8">
        <f t="shared" si="5"/>
        <v>6.6274958472520504E-2</v>
      </c>
      <c r="L8">
        <f t="shared" si="5"/>
        <v>6.6288695092441993E-2</v>
      </c>
      <c r="M8">
        <f t="shared" si="5"/>
        <v>6.6310365425589102E-2</v>
      </c>
      <c r="N8">
        <f t="shared" si="5"/>
        <v>0.34417585007785201</v>
      </c>
      <c r="O8">
        <f t="shared" si="5"/>
        <v>0</v>
      </c>
      <c r="P8">
        <f t="shared" si="5"/>
        <v>0.34849103426654698</v>
      </c>
      <c r="Q8">
        <f t="shared" si="5"/>
        <v>0.350341017696847</v>
      </c>
      <c r="R8">
        <f t="shared" si="5"/>
        <v>0.35853756413854504</v>
      </c>
      <c r="S8">
        <f t="shared" si="5"/>
        <v>0.35125332771964596</v>
      </c>
      <c r="T8">
        <f t="shared" si="5"/>
        <v>0.34543296099800597</v>
      </c>
      <c r="U8">
        <f t="shared" si="5"/>
        <v>0.45596263167832402</v>
      </c>
      <c r="V8">
        <f t="shared" si="5"/>
        <v>0.344379196492753</v>
      </c>
      <c r="W8">
        <f t="shared" si="5"/>
        <v>0.34531942562496903</v>
      </c>
      <c r="X8">
        <f t="shared" si="5"/>
        <v>0.42456509040301799</v>
      </c>
      <c r="Y8">
        <f t="shared" si="5"/>
        <v>0</v>
      </c>
    </row>
    <row r="9" spans="1:34" x14ac:dyDescent="0.25">
      <c r="A9" t="str">
        <f>A4</f>
        <v>Deadweight Loss</v>
      </c>
      <c r="B9">
        <f>B4/1000000</f>
        <v>0.80540653315664501</v>
      </c>
      <c r="C9">
        <f t="shared" ref="C9:Y9" si="6">C4/1000000</f>
        <v>0.76559265041325797</v>
      </c>
      <c r="D9">
        <f t="shared" ref="D9:Y9" si="7">D4/1000000</f>
        <v>0.75698165001094508</v>
      </c>
      <c r="E9">
        <f t="shared" si="7"/>
        <v>0.76091263338566595</v>
      </c>
      <c r="F9">
        <f t="shared" si="7"/>
        <v>0.76036516565217604</v>
      </c>
      <c r="G9">
        <f t="shared" si="7"/>
        <v>0.75848304958090806</v>
      </c>
      <c r="H9">
        <f t="shared" si="7"/>
        <v>0.76069234447099809</v>
      </c>
      <c r="I9">
        <f t="shared" si="7"/>
        <v>0.76095363317406706</v>
      </c>
      <c r="J9">
        <f t="shared" si="7"/>
        <v>0.66886775892514594</v>
      </c>
      <c r="K9">
        <f t="shared" si="7"/>
        <v>0.76093135692297798</v>
      </c>
      <c r="L9">
        <f t="shared" si="7"/>
        <v>0.76091465243740908</v>
      </c>
      <c r="M9">
        <f t="shared" si="7"/>
        <v>0.76094737747709895</v>
      </c>
      <c r="N9">
        <f t="shared" si="7"/>
        <v>0.546578194077596</v>
      </c>
      <c r="O9">
        <f t="shared" si="7"/>
        <v>0</v>
      </c>
      <c r="P9">
        <f t="shared" si="7"/>
        <v>0.53980462528722506</v>
      </c>
      <c r="Q9">
        <f t="shared" si="7"/>
        <v>0.53783980929351904</v>
      </c>
      <c r="R9">
        <f t="shared" si="7"/>
        <v>0.53009090975417106</v>
      </c>
      <c r="S9">
        <f t="shared" si="7"/>
        <v>0.53695648322714506</v>
      </c>
      <c r="T9">
        <f t="shared" si="7"/>
        <v>0.54328262985981701</v>
      </c>
      <c r="U9">
        <f t="shared" si="7"/>
        <v>0.44039384256177905</v>
      </c>
      <c r="V9">
        <f t="shared" si="7"/>
        <v>0.54253783512312803</v>
      </c>
      <c r="W9">
        <f t="shared" si="7"/>
        <v>0.543356259561663</v>
      </c>
      <c r="X9">
        <f t="shared" si="7"/>
        <v>0.25289689749009103</v>
      </c>
      <c r="Y9">
        <f t="shared" si="7"/>
        <v>0</v>
      </c>
    </row>
    <row r="10" spans="1:34" x14ac:dyDescent="0.25">
      <c r="A10" t="s">
        <v>70</v>
      </c>
      <c r="B10">
        <f>SUM(B7:B9)</f>
        <v>0.8360698493904013</v>
      </c>
      <c r="C10">
        <f t="shared" ref="C10:Y10" si="8">SUM(C7:C9)</f>
        <v>0.91554810994498914</v>
      </c>
      <c r="D10">
        <f t="shared" ref="D10" si="9">SUM(D7:D9)</f>
        <v>0.91131385539259435</v>
      </c>
      <c r="E10">
        <f t="shared" ref="E10" si="10">SUM(E7:E9)</f>
        <v>0.9060398215821015</v>
      </c>
      <c r="F10">
        <f t="shared" ref="F10" si="11">SUM(F7:F9)</f>
        <v>0.90428311143916518</v>
      </c>
      <c r="G10">
        <f t="shared" ref="G10" si="12">SUM(G7:G9)</f>
        <v>0.89509870345530596</v>
      </c>
      <c r="H10">
        <f t="shared" ref="H10" si="13">SUM(H7:H9)</f>
        <v>0.90194386870995213</v>
      </c>
      <c r="I10">
        <f t="shared" ref="I10" si="14">SUM(I7:I9)</f>
        <v>0.91230636315088898</v>
      </c>
      <c r="J10">
        <f t="shared" ref="J10" si="15">SUM(J7:J9)</f>
        <v>1.0523339478084439</v>
      </c>
      <c r="K10">
        <f t="shared" ref="K10" si="16">SUM(K7:K9)</f>
        <v>0.91224610258961292</v>
      </c>
      <c r="L10">
        <f t="shared" ref="L10" si="17">SUM(L7:L9)</f>
        <v>0.91224294665493488</v>
      </c>
      <c r="M10">
        <f t="shared" ref="M10" si="18">SUM(M7:M9)</f>
        <v>0.91230086347086337</v>
      </c>
      <c r="N10">
        <f t="shared" ref="N10" si="19">SUM(N7:N9)</f>
        <v>1.207085154195477</v>
      </c>
      <c r="O10">
        <f t="shared" ref="O10" si="20">SUM(O7:O9)</f>
        <v>0</v>
      </c>
      <c r="P10">
        <f t="shared" ref="P10" si="21">SUM(P7:P9)</f>
        <v>1.1855961595731501</v>
      </c>
      <c r="Q10">
        <f t="shared" ref="Q10" si="22">SUM(Q7:Q9)</f>
        <v>1.1821286287729711</v>
      </c>
      <c r="R10">
        <f t="shared" ref="R10" si="23">SUM(R7:R9)</f>
        <v>1.1624150915505731</v>
      </c>
      <c r="S10">
        <f t="shared" ref="S10" si="24">SUM(S7:S9)</f>
        <v>1.1778131970608672</v>
      </c>
      <c r="T10">
        <f t="shared" ref="T10" si="25">SUM(T7:T9)</f>
        <v>1.196969247662099</v>
      </c>
      <c r="U10">
        <f t="shared" ref="U10" si="26">SUM(U7:U9)</f>
        <v>1.3235133104943739</v>
      </c>
      <c r="V10">
        <f t="shared" ref="V10" si="27">SUM(V7:V9)</f>
        <v>1.195034327048131</v>
      </c>
      <c r="W10">
        <f t="shared" ref="W10" si="28">SUM(W7:W9)</f>
        <v>1.196886425248018</v>
      </c>
      <c r="X10">
        <f t="shared" ref="X10" si="29">SUM(X7:X9)</f>
        <v>1.233147645967176</v>
      </c>
      <c r="Y10">
        <f t="shared" ref="Y10" si="30">SUM(Y7:Y9)</f>
        <v>0.93580300000000005</v>
      </c>
    </row>
    <row r="11" spans="1:34" x14ac:dyDescent="0.25">
      <c r="A11" t="s">
        <v>71</v>
      </c>
      <c r="B11" s="1">
        <f>(B10-$B$10)/B7</f>
        <v>0</v>
      </c>
      <c r="C11" s="1">
        <f t="shared" ref="C11:Y11" si="31">(C10-$B$10)/C7</f>
        <v>0.91951124305434262</v>
      </c>
      <c r="D11" s="1">
        <f t="shared" ref="D11:Y11" si="32">(D10-$B$10)/D7</f>
        <v>0.91740536600973843</v>
      </c>
      <c r="E11" s="1">
        <f t="shared" si="32"/>
        <v>0.86872665839640872</v>
      </c>
      <c r="F11" s="1">
        <f t="shared" si="32"/>
        <v>0.86136920934633565</v>
      </c>
      <c r="G11" s="1">
        <f t="shared" si="32"/>
        <v>0.82230985807403945</v>
      </c>
      <c r="H11" s="1">
        <f t="shared" si="32"/>
        <v>0.8505427390001804</v>
      </c>
      <c r="I11" s="1">
        <f t="shared" si="32"/>
        <v>0.89643997599132719</v>
      </c>
      <c r="J11" s="1">
        <f t="shared" si="32"/>
        <v>1.1745681870642046</v>
      </c>
      <c r="K11" s="1">
        <f t="shared" si="32"/>
        <v>0.89577191703607284</v>
      </c>
      <c r="L11" s="1">
        <f t="shared" si="32"/>
        <v>0.89573678672322321</v>
      </c>
      <c r="M11" s="1">
        <f t="shared" si="32"/>
        <v>0.89638072510934064</v>
      </c>
      <c r="N11" s="1">
        <f t="shared" si="32"/>
        <v>1.1728701130853898</v>
      </c>
      <c r="O11" s="1" t="e">
        <f t="shared" si="32"/>
        <v>#DIV/0!</v>
      </c>
      <c r="P11" s="1">
        <f t="shared" si="32"/>
        <v>1.1756667417645337</v>
      </c>
      <c r="Q11" s="1">
        <f t="shared" si="32"/>
        <v>1.1772796982455562</v>
      </c>
      <c r="R11" s="1">
        <f t="shared" si="32"/>
        <v>1.1919692969361846</v>
      </c>
      <c r="S11" s="1">
        <f t="shared" si="32"/>
        <v>1.180039198629576</v>
      </c>
      <c r="T11" s="1">
        <f t="shared" si="32"/>
        <v>1.1707870784509424</v>
      </c>
      <c r="U11" s="1">
        <f t="shared" si="32"/>
        <v>1.141134636585367</v>
      </c>
      <c r="V11" s="1">
        <f t="shared" si="32"/>
        <v>1.165025407464217</v>
      </c>
      <c r="W11" s="1">
        <f t="shared" si="32"/>
        <v>1.1706813843857395</v>
      </c>
      <c r="X11" s="1">
        <f t="shared" si="32"/>
        <v>0.71457269196580275</v>
      </c>
      <c r="Y11" s="1">
        <f t="shared" si="32"/>
        <v>0.10657494217222936</v>
      </c>
    </row>
    <row r="67" spans="1:1" ht="18" x14ac:dyDescent="0.35">
      <c r="A67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 Price</vt:lpstr>
      <vt:lpstr>Total_Cost_Carbon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2025-09-05T13:20:21Z</dcterms:created>
  <dcterms:modified xsi:type="dcterms:W3CDTF">2025-10-28T18:53:01Z</dcterms:modified>
</cp:coreProperties>
</file>