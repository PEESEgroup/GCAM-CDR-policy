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586F8117-B682-4981-B402-2D511F080BFD}" xr6:coauthVersionLast="47" xr6:coauthVersionMax="47" xr10:uidLastSave="{00000000-0000-0000-0000-000000000000}"/>
  <bookViews>
    <workbookView xWindow="-105" yWindow="0" windowWidth="19410" windowHeight="17385" firstSheet="2" activeTab="4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Mandate'!$A$1:$H$30</definedName>
    <definedName name="_xlchart.v1.0" hidden="1">'Net-Zero Mandate'!$A$2:$B$32</definedName>
    <definedName name="_xlchart.v1.1" hidden="1">'Net-Zero Mandate'!$D$1</definedName>
    <definedName name="_xlchart.v1.2" hidden="1">'Net-Zero Mandate'!$D$2:$D$32</definedName>
    <definedName name="_xlchart.v1.3" hidden="1">'Net-Zero Mandate'!$F$1</definedName>
    <definedName name="_xlchart.v1.4" hidden="1">'Net-Zero Mandate'!$F$2:$F$32</definedName>
    <definedName name="_xlchart.v1.5" hidden="1">'Net-Zero Mandate'!$H$1</definedName>
    <definedName name="_xlchart.v1.6" hidden="1">'Net-Zero Mandate'!$H$2:$H$32</definedName>
    <definedName name="_xlchart.v1.7" hidden="1">'Net-Zero Mandate'!$I$1</definedName>
    <definedName name="_xlchart.v1.8" hidden="1">'Net-Zero Mandate'!$I$2:$I$32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3" l="1"/>
  <c r="B118" i="3"/>
  <c r="C118" i="3"/>
  <c r="D118" i="3"/>
  <c r="F118" i="3"/>
  <c r="A119" i="3"/>
  <c r="B119" i="3"/>
  <c r="C119" i="3"/>
  <c r="F119" i="3" s="1"/>
  <c r="D119" i="3"/>
  <c r="C105" i="3"/>
  <c r="F105" i="3"/>
  <c r="C106" i="3"/>
  <c r="F106" i="3"/>
  <c r="C85" i="3"/>
  <c r="F85" i="3"/>
  <c r="C86" i="3"/>
  <c r="F86" i="3" s="1"/>
  <c r="C72" i="3"/>
  <c r="F72" i="3"/>
  <c r="C73" i="3"/>
  <c r="F73" i="3" s="1"/>
  <c r="D73" i="3"/>
  <c r="D106" i="3" s="1"/>
  <c r="A52" i="3"/>
  <c r="A85" i="3" s="1"/>
  <c r="B52" i="3"/>
  <c r="B85" i="3" s="1"/>
  <c r="C52" i="3"/>
  <c r="F52" i="3" s="1"/>
  <c r="D52" i="3"/>
  <c r="D85" i="3" s="1"/>
  <c r="A53" i="3"/>
  <c r="A86" i="3" s="1"/>
  <c r="B53" i="3"/>
  <c r="B86" i="3" s="1"/>
  <c r="C53" i="3"/>
  <c r="F53" i="3" s="1"/>
  <c r="D53" i="3"/>
  <c r="D86" i="3" s="1"/>
  <c r="A39" i="3"/>
  <c r="A72" i="3" s="1"/>
  <c r="A105" i="3" s="1"/>
  <c r="B39" i="3"/>
  <c r="B72" i="3" s="1"/>
  <c r="B105" i="3" s="1"/>
  <c r="C39" i="3"/>
  <c r="F39" i="3" s="1"/>
  <c r="D39" i="3"/>
  <c r="D72" i="3" s="1"/>
  <c r="D105" i="3" s="1"/>
  <c r="A40" i="3"/>
  <c r="A73" i="3" s="1"/>
  <c r="A106" i="3" s="1"/>
  <c r="B40" i="3"/>
  <c r="B73" i="3" s="1"/>
  <c r="B106" i="3" s="1"/>
  <c r="C40" i="3"/>
  <c r="F40" i="3" s="1"/>
  <c r="D40" i="3"/>
  <c r="E12" i="6"/>
  <c r="E9" i="6"/>
  <c r="E10" i="6"/>
  <c r="E11" i="6"/>
  <c r="E13" i="6"/>
  <c r="E8" i="6"/>
  <c r="D3" i="6" l="1"/>
  <c r="C3" i="6"/>
  <c r="D2" i="6"/>
  <c r="C2" i="6"/>
  <c r="D24" i="6"/>
  <c r="E24" i="6" s="1"/>
  <c r="D23" i="6"/>
  <c r="E23" i="6" s="1"/>
  <c r="D22" i="6"/>
  <c r="E22" i="6" s="1"/>
  <c r="B22" i="6"/>
  <c r="D21" i="6"/>
  <c r="E21" i="6" s="1"/>
  <c r="D20" i="6"/>
  <c r="E20" i="6" s="1"/>
  <c r="B20" i="6"/>
  <c r="D19" i="6"/>
  <c r="E19" i="6" s="1"/>
  <c r="D18" i="6"/>
  <c r="M2" i="3"/>
  <c r="C81" i="5"/>
  <c r="D81" i="5"/>
  <c r="C82" i="5"/>
  <c r="J82" i="5" s="1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K89" i="5" s="1"/>
  <c r="D89" i="5"/>
  <c r="C90" i="5"/>
  <c r="K90" i="5" s="1"/>
  <c r="D90" i="5"/>
  <c r="C91" i="5"/>
  <c r="D91" i="5"/>
  <c r="D80" i="5"/>
  <c r="C80" i="5"/>
  <c r="J80" i="5" s="1"/>
  <c r="C68" i="5"/>
  <c r="F68" i="5" s="1"/>
  <c r="D68" i="5"/>
  <c r="C69" i="5"/>
  <c r="D69" i="5"/>
  <c r="C70" i="5"/>
  <c r="D70" i="5"/>
  <c r="C71" i="5"/>
  <c r="D71" i="5"/>
  <c r="C72" i="5"/>
  <c r="D72" i="5"/>
  <c r="C73" i="5"/>
  <c r="D73" i="5"/>
  <c r="C74" i="5"/>
  <c r="E74" i="5" s="1"/>
  <c r="D74" i="5"/>
  <c r="C75" i="5"/>
  <c r="E75" i="5" s="1"/>
  <c r="D75" i="5"/>
  <c r="C76" i="5"/>
  <c r="D76" i="5"/>
  <c r="C77" i="5"/>
  <c r="G77" i="5" s="1"/>
  <c r="D77" i="5"/>
  <c r="C78" i="5"/>
  <c r="G78" i="5" s="1"/>
  <c r="D78" i="5"/>
  <c r="C79" i="5"/>
  <c r="D79" i="5"/>
  <c r="D67" i="5"/>
  <c r="C67" i="5"/>
  <c r="F67" i="5" s="1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C46" i="5"/>
  <c r="D46" i="5"/>
  <c r="C47" i="5"/>
  <c r="J47" i="5" s="1"/>
  <c r="D47" i="5"/>
  <c r="C48" i="5"/>
  <c r="D48" i="5"/>
  <c r="C49" i="5"/>
  <c r="D49" i="5"/>
  <c r="C50" i="5"/>
  <c r="I50" i="5" s="1"/>
  <c r="D50" i="5"/>
  <c r="C51" i="5"/>
  <c r="I51" i="5" s="1"/>
  <c r="D51" i="5"/>
  <c r="C52" i="5"/>
  <c r="I52" i="5" s="1"/>
  <c r="D52" i="5"/>
  <c r="C53" i="5"/>
  <c r="I53" i="5" s="1"/>
  <c r="D53" i="5"/>
  <c r="C54" i="5"/>
  <c r="K54" i="5" s="1"/>
  <c r="D54" i="5"/>
  <c r="C55" i="5"/>
  <c r="K55" i="5" s="1"/>
  <c r="D55" i="5"/>
  <c r="C56" i="5"/>
  <c r="D56" i="5"/>
  <c r="D45" i="5"/>
  <c r="C45" i="5"/>
  <c r="C33" i="5"/>
  <c r="F33" i="5" s="1"/>
  <c r="D33" i="5"/>
  <c r="C34" i="5"/>
  <c r="F34" i="5" s="1"/>
  <c r="D34" i="5"/>
  <c r="C35" i="5"/>
  <c r="F35" i="5" s="1"/>
  <c r="D35" i="5"/>
  <c r="C36" i="5"/>
  <c r="E36" i="5" s="1"/>
  <c r="D36" i="5"/>
  <c r="C37" i="5"/>
  <c r="E37" i="5" s="1"/>
  <c r="D37" i="5"/>
  <c r="C38" i="5"/>
  <c r="E38" i="5" s="1"/>
  <c r="D38" i="5"/>
  <c r="C39" i="5"/>
  <c r="E39" i="5" s="1"/>
  <c r="D39" i="5"/>
  <c r="C40" i="5"/>
  <c r="E40" i="5" s="1"/>
  <c r="D40" i="5"/>
  <c r="C41" i="5"/>
  <c r="G41" i="5" s="1"/>
  <c r="D41" i="5"/>
  <c r="C42" i="5"/>
  <c r="D42" i="5"/>
  <c r="C43" i="5"/>
  <c r="G43" i="5" s="1"/>
  <c r="D43" i="5"/>
  <c r="C44" i="5"/>
  <c r="H44" i="5" s="1"/>
  <c r="D44" i="5"/>
  <c r="D32" i="5"/>
  <c r="C32" i="5"/>
  <c r="F32" i="5" s="1"/>
  <c r="A46" i="5"/>
  <c r="A51" i="5"/>
  <c r="A52" i="5"/>
  <c r="A53" i="5"/>
  <c r="A54" i="5"/>
  <c r="A55" i="5"/>
  <c r="A56" i="5"/>
  <c r="A57" i="5"/>
  <c r="A32" i="5"/>
  <c r="A67" i="5" s="1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D15" i="5"/>
  <c r="C15" i="5"/>
  <c r="A16" i="5"/>
  <c r="A17" i="5"/>
  <c r="A47" i="5" s="1"/>
  <c r="A18" i="5"/>
  <c r="A48" i="5" s="1"/>
  <c r="A19" i="5"/>
  <c r="A49" i="5" s="1"/>
  <c r="A20" i="5"/>
  <c r="A50" i="5" s="1"/>
  <c r="A21" i="5"/>
  <c r="A22" i="5"/>
  <c r="A23" i="5"/>
  <c r="A24" i="5"/>
  <c r="A25" i="5"/>
  <c r="A26" i="5"/>
  <c r="A27" i="5"/>
  <c r="A15" i="5"/>
  <c r="A45" i="5" s="1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A3" i="5"/>
  <c r="A33" i="5" s="1"/>
  <c r="A4" i="5"/>
  <c r="A34" i="5" s="1"/>
  <c r="A5" i="5"/>
  <c r="A35" i="5" s="1"/>
  <c r="A6" i="5"/>
  <c r="A36" i="5" s="1"/>
  <c r="A7" i="5"/>
  <c r="A37" i="5" s="1"/>
  <c r="A8" i="5"/>
  <c r="A38" i="5" s="1"/>
  <c r="A9" i="5"/>
  <c r="A39" i="5" s="1"/>
  <c r="A10" i="5"/>
  <c r="A40" i="5" s="1"/>
  <c r="A11" i="5"/>
  <c r="A41" i="5" s="1"/>
  <c r="A12" i="5"/>
  <c r="A42" i="5" s="1"/>
  <c r="A13" i="5"/>
  <c r="A43" i="5" s="1"/>
  <c r="A14" i="5"/>
  <c r="A44" i="5" s="1"/>
  <c r="A2" i="5"/>
  <c r="D2" i="5"/>
  <c r="C2" i="5"/>
  <c r="F2" i="5" s="1"/>
  <c r="I88" i="5"/>
  <c r="I87" i="5"/>
  <c r="I86" i="5"/>
  <c r="I85" i="5"/>
  <c r="I84" i="5"/>
  <c r="H79" i="5"/>
  <c r="G76" i="5"/>
  <c r="E73" i="5"/>
  <c r="E72" i="5"/>
  <c r="E71" i="5"/>
  <c r="F70" i="5"/>
  <c r="K91" i="5"/>
  <c r="J83" i="5"/>
  <c r="J81" i="5"/>
  <c r="F69" i="5"/>
  <c r="A66" i="5"/>
  <c r="N2" i="3"/>
  <c r="O2" i="3"/>
  <c r="O9" i="3"/>
  <c r="O8" i="3"/>
  <c r="K56" i="5"/>
  <c r="I49" i="5"/>
  <c r="J48" i="5"/>
  <c r="J46" i="5"/>
  <c r="J45" i="5"/>
  <c r="G42" i="5"/>
  <c r="A31" i="5"/>
  <c r="D11" i="6"/>
  <c r="D10" i="6"/>
  <c r="D13" i="6"/>
  <c r="D9" i="6"/>
  <c r="D12" i="6"/>
  <c r="D8" i="6"/>
  <c r="D7" i="6"/>
  <c r="C99" i="3"/>
  <c r="H99" i="3" s="1"/>
  <c r="C103" i="3"/>
  <c r="F103" i="3" s="1"/>
  <c r="C104" i="3"/>
  <c r="F104" i="3" s="1"/>
  <c r="C107" i="3"/>
  <c r="E107" i="3" s="1"/>
  <c r="C108" i="3"/>
  <c r="E108" i="3" s="1"/>
  <c r="C109" i="3"/>
  <c r="E109" i="3" s="1"/>
  <c r="C110" i="3"/>
  <c r="E110" i="3" s="1"/>
  <c r="C111" i="3"/>
  <c r="E111" i="3" s="1"/>
  <c r="C112" i="3"/>
  <c r="I112" i="3" s="1"/>
  <c r="C113" i="3"/>
  <c r="G113" i="3" s="1"/>
  <c r="C114" i="3"/>
  <c r="G114" i="3" s="1"/>
  <c r="C115" i="3"/>
  <c r="G115" i="3" s="1"/>
  <c r="C116" i="3"/>
  <c r="F116" i="3" s="1"/>
  <c r="C117" i="3"/>
  <c r="F117" i="3" s="1"/>
  <c r="C120" i="3"/>
  <c r="I120" i="3" s="1"/>
  <c r="C121" i="3"/>
  <c r="E121" i="3" s="1"/>
  <c r="C122" i="3"/>
  <c r="E122" i="3" s="1"/>
  <c r="C123" i="3"/>
  <c r="E123" i="3" s="1"/>
  <c r="C124" i="3"/>
  <c r="E124" i="3" s="1"/>
  <c r="C125" i="3"/>
  <c r="E125" i="3" s="1"/>
  <c r="C126" i="3"/>
  <c r="G126" i="3" s="1"/>
  <c r="C127" i="3"/>
  <c r="G127" i="3" s="1"/>
  <c r="C128" i="3"/>
  <c r="G128" i="3" s="1"/>
  <c r="C129" i="3"/>
  <c r="I129" i="3" s="1"/>
  <c r="C130" i="3"/>
  <c r="I130" i="3" s="1"/>
  <c r="C131" i="3"/>
  <c r="H131" i="3" s="1"/>
  <c r="C132" i="3"/>
  <c r="C102" i="3"/>
  <c r="C101" i="3"/>
  <c r="B101" i="3"/>
  <c r="C69" i="3"/>
  <c r="C70" i="3"/>
  <c r="F70" i="3" s="1"/>
  <c r="C71" i="3"/>
  <c r="F71" i="3" s="1"/>
  <c r="C74" i="3"/>
  <c r="E74" i="3" s="1"/>
  <c r="C75" i="3"/>
  <c r="E75" i="3" s="1"/>
  <c r="C76" i="3"/>
  <c r="E76" i="3" s="1"/>
  <c r="C77" i="3"/>
  <c r="E77" i="3" s="1"/>
  <c r="C78" i="3"/>
  <c r="E78" i="3" s="1"/>
  <c r="C79" i="3"/>
  <c r="I79" i="3" s="1"/>
  <c r="C80" i="3"/>
  <c r="G80" i="3" s="1"/>
  <c r="C81" i="3"/>
  <c r="G81" i="3" s="1"/>
  <c r="C82" i="3"/>
  <c r="G82" i="3" s="1"/>
  <c r="C83" i="3"/>
  <c r="F83" i="3" s="1"/>
  <c r="C84" i="3"/>
  <c r="F84" i="3" s="1"/>
  <c r="C87" i="3"/>
  <c r="I87" i="3" s="1"/>
  <c r="C88" i="3"/>
  <c r="E88" i="3" s="1"/>
  <c r="C89" i="3"/>
  <c r="E89" i="3" s="1"/>
  <c r="C90" i="3"/>
  <c r="E90" i="3" s="1"/>
  <c r="C91" i="3"/>
  <c r="E91" i="3" s="1"/>
  <c r="C92" i="3"/>
  <c r="E92" i="3" s="1"/>
  <c r="C93" i="3"/>
  <c r="G93" i="3" s="1"/>
  <c r="C94" i="3"/>
  <c r="G94" i="3" s="1"/>
  <c r="C95" i="3"/>
  <c r="G95" i="3" s="1"/>
  <c r="C96" i="3"/>
  <c r="I96" i="3" s="1"/>
  <c r="C97" i="3"/>
  <c r="I97" i="3" s="1"/>
  <c r="C98" i="3"/>
  <c r="H98" i="3" s="1"/>
  <c r="C68" i="3"/>
  <c r="K30" i="2"/>
  <c r="D92" i="5" s="1"/>
  <c r="J30" i="2"/>
  <c r="C92" i="5" s="1"/>
  <c r="L92" i="5" s="1"/>
  <c r="G30" i="2"/>
  <c r="D27" i="5" s="1"/>
  <c r="F30" i="2"/>
  <c r="C27" i="5" s="1"/>
  <c r="C30" i="2"/>
  <c r="D57" i="5" s="1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Q2" i="3" l="1"/>
  <c r="P2" i="3"/>
  <c r="E3" i="6"/>
  <c r="C57" i="5"/>
  <c r="L57" i="5" s="1"/>
  <c r="M28" i="2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K25" i="5"/>
  <c r="K26" i="5"/>
  <c r="K24" i="5"/>
  <c r="L27" i="5"/>
  <c r="J18" i="5"/>
  <c r="J17" i="5"/>
  <c r="J16" i="5"/>
  <c r="J15" i="5"/>
  <c r="I20" i="5"/>
  <c r="I21" i="5"/>
  <c r="I22" i="5"/>
  <c r="I23" i="5"/>
  <c r="I19" i="5"/>
  <c r="E10" i="5"/>
  <c r="E6" i="5"/>
  <c r="F3" i="5"/>
  <c r="F4" i="5"/>
  <c r="F5" i="5"/>
  <c r="E7" i="5"/>
  <c r="E8" i="5"/>
  <c r="E9" i="5"/>
  <c r="G11" i="5"/>
  <c r="G12" i="5"/>
  <c r="G13" i="5"/>
  <c r="H14" i="5"/>
  <c r="A1" i="5"/>
  <c r="C35" i="3"/>
  <c r="A65" i="3"/>
  <c r="A98" i="3" s="1"/>
  <c r="A131" i="3" s="1"/>
  <c r="B65" i="3"/>
  <c r="B98" i="3" s="1"/>
  <c r="B131" i="3" s="1"/>
  <c r="C65" i="3"/>
  <c r="H65" i="3" s="1"/>
  <c r="D65" i="3"/>
  <c r="D98" i="3" s="1"/>
  <c r="A66" i="3"/>
  <c r="A99" i="3" s="1"/>
  <c r="A132" i="3" s="1"/>
  <c r="B66" i="3"/>
  <c r="B99" i="3" s="1"/>
  <c r="B132" i="3" s="1"/>
  <c r="C66" i="3"/>
  <c r="H66" i="3" s="1"/>
  <c r="D66" i="3"/>
  <c r="D99" i="3" s="1"/>
  <c r="D132" i="3" s="1"/>
  <c r="A36" i="3"/>
  <c r="A69" i="3" s="1"/>
  <c r="A102" i="3" s="1"/>
  <c r="B36" i="3"/>
  <c r="B69" i="3" s="1"/>
  <c r="B102" i="3" s="1"/>
  <c r="C36" i="3"/>
  <c r="D36" i="3"/>
  <c r="D69" i="3" s="1"/>
  <c r="D102" i="3" s="1"/>
  <c r="A37" i="3"/>
  <c r="A70" i="3" s="1"/>
  <c r="A103" i="3" s="1"/>
  <c r="B37" i="3"/>
  <c r="B70" i="3" s="1"/>
  <c r="B103" i="3" s="1"/>
  <c r="C37" i="3"/>
  <c r="F37" i="3" s="1"/>
  <c r="D37" i="3"/>
  <c r="D70" i="3" s="1"/>
  <c r="D103" i="3" s="1"/>
  <c r="A38" i="3"/>
  <c r="A71" i="3" s="1"/>
  <c r="A104" i="3" s="1"/>
  <c r="B38" i="3"/>
  <c r="B71" i="3" s="1"/>
  <c r="B104" i="3" s="1"/>
  <c r="C38" i="3"/>
  <c r="F38" i="3" s="1"/>
  <c r="D38" i="3"/>
  <c r="D71" i="3" s="1"/>
  <c r="D104" i="3" s="1"/>
  <c r="A41" i="3"/>
  <c r="A74" i="3" s="1"/>
  <c r="A107" i="3" s="1"/>
  <c r="B41" i="3"/>
  <c r="B74" i="3" s="1"/>
  <c r="B107" i="3" s="1"/>
  <c r="C41" i="3"/>
  <c r="E41" i="3" s="1"/>
  <c r="D41" i="3"/>
  <c r="D74" i="3" s="1"/>
  <c r="D107" i="3" s="1"/>
  <c r="A42" i="3"/>
  <c r="A75" i="3" s="1"/>
  <c r="A108" i="3" s="1"/>
  <c r="B42" i="3"/>
  <c r="B75" i="3" s="1"/>
  <c r="B108" i="3" s="1"/>
  <c r="C42" i="3"/>
  <c r="E42" i="3" s="1"/>
  <c r="D42" i="3"/>
  <c r="D75" i="3" s="1"/>
  <c r="D108" i="3" s="1"/>
  <c r="A43" i="3"/>
  <c r="A76" i="3" s="1"/>
  <c r="A109" i="3" s="1"/>
  <c r="B43" i="3"/>
  <c r="B76" i="3" s="1"/>
  <c r="B109" i="3" s="1"/>
  <c r="C43" i="3"/>
  <c r="E43" i="3" s="1"/>
  <c r="D43" i="3"/>
  <c r="D76" i="3" s="1"/>
  <c r="D109" i="3" s="1"/>
  <c r="A44" i="3"/>
  <c r="A77" i="3" s="1"/>
  <c r="A110" i="3" s="1"/>
  <c r="B44" i="3"/>
  <c r="B77" i="3" s="1"/>
  <c r="B110" i="3" s="1"/>
  <c r="C44" i="3"/>
  <c r="E44" i="3" s="1"/>
  <c r="D44" i="3"/>
  <c r="D77" i="3" s="1"/>
  <c r="D110" i="3" s="1"/>
  <c r="A45" i="3"/>
  <c r="A78" i="3" s="1"/>
  <c r="A111" i="3" s="1"/>
  <c r="B45" i="3"/>
  <c r="B78" i="3" s="1"/>
  <c r="B111" i="3" s="1"/>
  <c r="C45" i="3"/>
  <c r="E45" i="3" s="1"/>
  <c r="D45" i="3"/>
  <c r="D78" i="3" s="1"/>
  <c r="D111" i="3" s="1"/>
  <c r="A46" i="3"/>
  <c r="A79" i="3" s="1"/>
  <c r="A112" i="3" s="1"/>
  <c r="B46" i="3"/>
  <c r="B79" i="3" s="1"/>
  <c r="B112" i="3" s="1"/>
  <c r="C46" i="3"/>
  <c r="I46" i="3" s="1"/>
  <c r="D46" i="3"/>
  <c r="D79" i="3" s="1"/>
  <c r="D112" i="3" s="1"/>
  <c r="A47" i="3"/>
  <c r="A80" i="3" s="1"/>
  <c r="A113" i="3" s="1"/>
  <c r="B47" i="3"/>
  <c r="B80" i="3" s="1"/>
  <c r="B113" i="3" s="1"/>
  <c r="C47" i="3"/>
  <c r="G47" i="3" s="1"/>
  <c r="D47" i="3"/>
  <c r="D80" i="3" s="1"/>
  <c r="D113" i="3" s="1"/>
  <c r="A48" i="3"/>
  <c r="A81" i="3" s="1"/>
  <c r="A114" i="3" s="1"/>
  <c r="B48" i="3"/>
  <c r="B81" i="3" s="1"/>
  <c r="B114" i="3" s="1"/>
  <c r="C48" i="3"/>
  <c r="G48" i="3" s="1"/>
  <c r="D48" i="3"/>
  <c r="D81" i="3" s="1"/>
  <c r="D114" i="3" s="1"/>
  <c r="A49" i="3"/>
  <c r="A82" i="3" s="1"/>
  <c r="A115" i="3" s="1"/>
  <c r="B49" i="3"/>
  <c r="B82" i="3" s="1"/>
  <c r="B115" i="3" s="1"/>
  <c r="C49" i="3"/>
  <c r="G49" i="3" s="1"/>
  <c r="D49" i="3"/>
  <c r="D82" i="3" s="1"/>
  <c r="D115" i="3" s="1"/>
  <c r="A50" i="3"/>
  <c r="A83" i="3" s="1"/>
  <c r="A116" i="3" s="1"/>
  <c r="B50" i="3"/>
  <c r="B83" i="3" s="1"/>
  <c r="B116" i="3" s="1"/>
  <c r="C50" i="3"/>
  <c r="F50" i="3" s="1"/>
  <c r="D50" i="3"/>
  <c r="D83" i="3" s="1"/>
  <c r="D116" i="3" s="1"/>
  <c r="A51" i="3"/>
  <c r="A84" i="3" s="1"/>
  <c r="A117" i="3" s="1"/>
  <c r="B51" i="3"/>
  <c r="B84" i="3" s="1"/>
  <c r="B117" i="3" s="1"/>
  <c r="C51" i="3"/>
  <c r="F51" i="3" s="1"/>
  <c r="D51" i="3"/>
  <c r="D84" i="3" s="1"/>
  <c r="D117" i="3" s="1"/>
  <c r="A54" i="3"/>
  <c r="A87" i="3" s="1"/>
  <c r="A120" i="3" s="1"/>
  <c r="B54" i="3"/>
  <c r="B87" i="3" s="1"/>
  <c r="B120" i="3" s="1"/>
  <c r="C54" i="3"/>
  <c r="I54" i="3" s="1"/>
  <c r="D54" i="3"/>
  <c r="D87" i="3" s="1"/>
  <c r="D120" i="3" s="1"/>
  <c r="A55" i="3"/>
  <c r="A88" i="3" s="1"/>
  <c r="A121" i="3" s="1"/>
  <c r="B55" i="3"/>
  <c r="B88" i="3" s="1"/>
  <c r="B121" i="3" s="1"/>
  <c r="C55" i="3"/>
  <c r="E55" i="3" s="1"/>
  <c r="D55" i="3"/>
  <c r="D88" i="3" s="1"/>
  <c r="D121" i="3" s="1"/>
  <c r="A56" i="3"/>
  <c r="A89" i="3" s="1"/>
  <c r="A122" i="3" s="1"/>
  <c r="B56" i="3"/>
  <c r="B89" i="3" s="1"/>
  <c r="B122" i="3" s="1"/>
  <c r="C56" i="3"/>
  <c r="E56" i="3" s="1"/>
  <c r="D56" i="3"/>
  <c r="D89" i="3" s="1"/>
  <c r="D122" i="3" s="1"/>
  <c r="A57" i="3"/>
  <c r="A90" i="3" s="1"/>
  <c r="A123" i="3" s="1"/>
  <c r="B57" i="3"/>
  <c r="B90" i="3" s="1"/>
  <c r="B123" i="3" s="1"/>
  <c r="C57" i="3"/>
  <c r="E57" i="3" s="1"/>
  <c r="D57" i="3"/>
  <c r="D90" i="3" s="1"/>
  <c r="D123" i="3" s="1"/>
  <c r="A58" i="3"/>
  <c r="A91" i="3" s="1"/>
  <c r="A124" i="3" s="1"/>
  <c r="B58" i="3"/>
  <c r="B91" i="3" s="1"/>
  <c r="B124" i="3" s="1"/>
  <c r="C58" i="3"/>
  <c r="E58" i="3" s="1"/>
  <c r="D58" i="3"/>
  <c r="D91" i="3" s="1"/>
  <c r="D124" i="3" s="1"/>
  <c r="A59" i="3"/>
  <c r="A92" i="3" s="1"/>
  <c r="A125" i="3" s="1"/>
  <c r="B59" i="3"/>
  <c r="B92" i="3" s="1"/>
  <c r="B125" i="3" s="1"/>
  <c r="C59" i="3"/>
  <c r="E59" i="3" s="1"/>
  <c r="D59" i="3"/>
  <c r="D92" i="3" s="1"/>
  <c r="D125" i="3" s="1"/>
  <c r="A60" i="3"/>
  <c r="A93" i="3" s="1"/>
  <c r="A126" i="3" s="1"/>
  <c r="B60" i="3"/>
  <c r="B93" i="3" s="1"/>
  <c r="B126" i="3" s="1"/>
  <c r="C60" i="3"/>
  <c r="G60" i="3" s="1"/>
  <c r="D60" i="3"/>
  <c r="D93" i="3" s="1"/>
  <c r="D126" i="3" s="1"/>
  <c r="A61" i="3"/>
  <c r="A94" i="3" s="1"/>
  <c r="A127" i="3" s="1"/>
  <c r="B61" i="3"/>
  <c r="B94" i="3" s="1"/>
  <c r="B127" i="3" s="1"/>
  <c r="C61" i="3"/>
  <c r="G61" i="3" s="1"/>
  <c r="D61" i="3"/>
  <c r="D94" i="3" s="1"/>
  <c r="D127" i="3" s="1"/>
  <c r="A62" i="3"/>
  <c r="A95" i="3" s="1"/>
  <c r="A128" i="3" s="1"/>
  <c r="B62" i="3"/>
  <c r="B95" i="3" s="1"/>
  <c r="B128" i="3" s="1"/>
  <c r="C62" i="3"/>
  <c r="G62" i="3" s="1"/>
  <c r="D62" i="3"/>
  <c r="D95" i="3" s="1"/>
  <c r="D128" i="3" s="1"/>
  <c r="A63" i="3"/>
  <c r="A96" i="3" s="1"/>
  <c r="A129" i="3" s="1"/>
  <c r="B63" i="3"/>
  <c r="B96" i="3" s="1"/>
  <c r="B129" i="3" s="1"/>
  <c r="C63" i="3"/>
  <c r="I63" i="3" s="1"/>
  <c r="D63" i="3"/>
  <c r="D96" i="3" s="1"/>
  <c r="D129" i="3" s="1"/>
  <c r="A64" i="3"/>
  <c r="A97" i="3" s="1"/>
  <c r="A130" i="3" s="1"/>
  <c r="B64" i="3"/>
  <c r="B97" i="3" s="1"/>
  <c r="B130" i="3" s="1"/>
  <c r="C64" i="3"/>
  <c r="I64" i="3" s="1"/>
  <c r="D64" i="3"/>
  <c r="D97" i="3" s="1"/>
  <c r="D130" i="3" s="1"/>
  <c r="D35" i="3"/>
  <c r="D68" i="3" s="1"/>
  <c r="D101" i="3" s="1"/>
  <c r="B35" i="3"/>
  <c r="B68" i="3" s="1"/>
  <c r="H132" i="3" l="1"/>
  <c r="D131" i="3"/>
</calcChain>
</file>

<file path=xl/sharedStrings.xml><?xml version="1.0" encoding="utf-8"?>
<sst xmlns="http://schemas.openxmlformats.org/spreadsheetml/2006/main" count="421" uniqueCount="93">
  <si>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</si>
  <si>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</si>
  <si>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</si>
  <si>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</si>
  <si>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</si>
  <si>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</si>
  <si>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</si>
  <si>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</si>
  <si>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</si>
  <si>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</si>
  <si>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</si>
  <si>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</si>
  <si>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</si>
  <si>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</si>
  <si>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</si>
  <si>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</si>
  <si>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</si>
  <si>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</si>
  <si>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</si>
  <si>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</si>
  <si>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</si>
  <si>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</si>
  <si>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</si>
  <si>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</si>
  <si>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</si>
  <si>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</si>
  <si>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</si>
  <si>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</si>
  <si>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</si>
  <si>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</si>
  <si>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</si>
  <si>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</si>
  <si>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</si>
  <si>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</si>
  <si>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</si>
  <si>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</si>
  <si>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</si>
  <si>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</si>
  <si>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</si>
  <si>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</si>
  <si>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</si>
  <si>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</si>
  <si>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</si>
  <si>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</si>
  <si>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</si>
  <si>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</si>
  <si>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</si>
  <si>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</si>
  <si>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</si>
  <si>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</si>
  <si>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</si>
  <si>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</si>
  <si>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rhodium100b low</t>
  </si>
  <si>
    <t>rhodium100b high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</si>
  <si>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</si>
  <si>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</si>
  <si>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</si>
  <si>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</si>
  <si>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</si>
  <si>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</si>
  <si>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</si>
  <si>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</si>
  <si>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</si>
  <si>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</si>
  <si>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</si>
  <si>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</si>
  <si>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</si>
  <si>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</si>
  <si>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</si>
  <si>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</si>
  <si>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</si>
  <si>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</si>
  <si>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Innovation - 1.5 Gt</t>
  </si>
  <si>
    <t>Subsidy - 1.5 Gt</t>
  </si>
  <si>
    <t>Procurement - 1.5 Gt</t>
  </si>
  <si>
    <t>Optimal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</si>
  <si>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</si>
  <si>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</si>
  <si>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</si>
  <si>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</si>
  <si>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</si>
  <si>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</si>
  <si>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</si>
  <si>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</si>
  <si>
    <t>Benefits have sign changed compared to Supplementary Tables 19-30</t>
  </si>
  <si>
    <t>From CO2-CDR Social Costs .csv</t>
  </si>
  <si>
    <t>500 Mt baseline</t>
  </si>
  <si>
    <t>100 Mt baseline</t>
  </si>
  <si>
    <t>1500 Mt baseline</t>
  </si>
  <si>
    <t>2400 Mt baseline</t>
  </si>
  <si>
    <t>4100 Mt baseline</t>
  </si>
  <si>
    <t>45Q-2040-maintain-l</t>
  </si>
  <si>
    <t>procure-scaling-maintain-h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</si>
</sst>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20.872627605884098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107.282405397856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8.1740890987246004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Mandate'!$E$36:$E$66</c:f>
              <c:numCache>
                <c:formatCode>General</c:formatCode>
                <c:ptCount val="31"/>
                <c:pt idx="5">
                  <c:v>20.74038968</c:v>
                </c:pt>
                <c:pt idx="6">
                  <c:v>21.43401046</c:v>
                </c:pt>
                <c:pt idx="7">
                  <c:v>25.5510755857871</c:v>
                </c:pt>
                <c:pt idx="8">
                  <c:v>22.645549121555199</c:v>
                </c:pt>
                <c:pt idx="9">
                  <c:v>22.761987189999999</c:v>
                </c:pt>
                <c:pt idx="19">
                  <c:v>19.3479345105611</c:v>
                </c:pt>
                <c:pt idx="20">
                  <c:v>17.426437752642599</c:v>
                </c:pt>
                <c:pt idx="21">
                  <c:v>15.2720343935841</c:v>
                </c:pt>
                <c:pt idx="22">
                  <c:v>18.711380137035199</c:v>
                </c:pt>
                <c:pt idx="23">
                  <c:v>15.835044160000001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Mandate'!$F$36:$F$66</c:f>
              <c:numCache>
                <c:formatCode>General</c:formatCode>
                <c:ptCount val="31"/>
                <c:pt idx="1">
                  <c:v>27.6213269143723</c:v>
                </c:pt>
                <c:pt idx="2">
                  <c:v>95.027857890000007</c:v>
                </c:pt>
                <c:pt idx="3">
                  <c:v>23.2656452481462</c:v>
                </c:pt>
                <c:pt idx="4">
                  <c:v>84.492568995555999</c:v>
                </c:pt>
                <c:pt idx="14">
                  <c:v>20.445962810000001</c:v>
                </c:pt>
                <c:pt idx="15">
                  <c:v>62.001488879999997</c:v>
                </c:pt>
                <c:pt idx="16">
                  <c:v>18.358116920014702</c:v>
                </c:pt>
                <c:pt idx="17">
                  <c:v>58.071655757244301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Mandate'!$G$36:$G$66</c:f>
              <c:numCache>
                <c:formatCode>General</c:formatCode>
                <c:ptCount val="31"/>
                <c:pt idx="11">
                  <c:v>26.462965375843101</c:v>
                </c:pt>
                <c:pt idx="12">
                  <c:v>96.2682129754008</c:v>
                </c:pt>
                <c:pt idx="13">
                  <c:v>23.476397104249202</c:v>
                </c:pt>
                <c:pt idx="24">
                  <c:v>18.116868790000002</c:v>
                </c:pt>
                <c:pt idx="25">
                  <c:v>33.128009292988999</c:v>
                </c:pt>
                <c:pt idx="26">
                  <c:v>17.85055715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Mandate'!$H$36:$H$66</c:f>
              <c:numCache>
                <c:formatCode>General</c:formatCode>
                <c:ptCount val="31"/>
                <c:pt idx="29">
                  <c:v>29.8235092</c:v>
                </c:pt>
                <c:pt idx="30">
                  <c:v>20.970243126401598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Mandate'!$I$36:$I$66</c:f>
              <c:numCache>
                <c:formatCode>General</c:formatCode>
                <c:ptCount val="31"/>
                <c:pt idx="10">
                  <c:v>20.584958981173202</c:v>
                </c:pt>
                <c:pt idx="18">
                  <c:v>19.569169104060201</c:v>
                </c:pt>
                <c:pt idx="27">
                  <c:v>10.35532240113</c:v>
                </c:pt>
                <c:pt idx="28">
                  <c:v>12.77316897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Mandate'!$J$36:$J$66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Mandate'!$E$36:$E$66</c:f>
              <c:numCache>
                <c:formatCode>General</c:formatCode>
                <c:ptCount val="31"/>
                <c:pt idx="5">
                  <c:v>20.74038968</c:v>
                </c:pt>
                <c:pt idx="6">
                  <c:v>21.43401046</c:v>
                </c:pt>
                <c:pt idx="7">
                  <c:v>25.5510755857871</c:v>
                </c:pt>
                <c:pt idx="8">
                  <c:v>22.645549121555199</c:v>
                </c:pt>
                <c:pt idx="9">
                  <c:v>22.761987189999999</c:v>
                </c:pt>
                <c:pt idx="19">
                  <c:v>19.3479345105611</c:v>
                </c:pt>
                <c:pt idx="20">
                  <c:v>17.426437752642599</c:v>
                </c:pt>
                <c:pt idx="21">
                  <c:v>15.2720343935841</c:v>
                </c:pt>
                <c:pt idx="22">
                  <c:v>18.711380137035199</c:v>
                </c:pt>
                <c:pt idx="23">
                  <c:v>15.835044160000001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Mandate'!$F$36:$F$66</c:f>
              <c:numCache>
                <c:formatCode>General</c:formatCode>
                <c:ptCount val="31"/>
                <c:pt idx="1">
                  <c:v>27.6213269143723</c:v>
                </c:pt>
                <c:pt idx="2">
                  <c:v>95.027857890000007</c:v>
                </c:pt>
                <c:pt idx="3">
                  <c:v>23.2656452481462</c:v>
                </c:pt>
                <c:pt idx="4">
                  <c:v>84.492568995555999</c:v>
                </c:pt>
                <c:pt idx="14">
                  <c:v>20.445962810000001</c:v>
                </c:pt>
                <c:pt idx="15">
                  <c:v>62.001488879999997</c:v>
                </c:pt>
                <c:pt idx="16">
                  <c:v>18.358116920014702</c:v>
                </c:pt>
                <c:pt idx="17">
                  <c:v>58.071655757244301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Mandate'!$G$36:$G$66</c:f>
              <c:numCache>
                <c:formatCode>General</c:formatCode>
                <c:ptCount val="31"/>
                <c:pt idx="11">
                  <c:v>26.462965375843101</c:v>
                </c:pt>
                <c:pt idx="12">
                  <c:v>96.2682129754008</c:v>
                </c:pt>
                <c:pt idx="13">
                  <c:v>23.476397104249202</c:v>
                </c:pt>
                <c:pt idx="24">
                  <c:v>18.116868790000002</c:v>
                </c:pt>
                <c:pt idx="25">
                  <c:v>33.128009292988999</c:v>
                </c:pt>
                <c:pt idx="26">
                  <c:v>17.85055715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Mandate'!$H$36:$H$66</c:f>
              <c:numCache>
                <c:formatCode>General</c:formatCode>
                <c:ptCount val="31"/>
                <c:pt idx="29">
                  <c:v>29.8235092</c:v>
                </c:pt>
                <c:pt idx="30">
                  <c:v>20.970243126401598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Mandate'!$I$36:$I$66</c:f>
              <c:numCache>
                <c:formatCode>General</c:formatCode>
                <c:ptCount val="31"/>
                <c:pt idx="10">
                  <c:v>20.584958981173202</c:v>
                </c:pt>
                <c:pt idx="18">
                  <c:v>19.569169104060201</c:v>
                </c:pt>
                <c:pt idx="27">
                  <c:v>10.35532240113</c:v>
                </c:pt>
                <c:pt idx="28">
                  <c:v>12.77316897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Mandate'!$J$36:$J$66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Mandate'!$E$69:$E$99</c:f>
              <c:numCache>
                <c:formatCode>General</c:formatCode>
                <c:ptCount val="31"/>
                <c:pt idx="5" formatCode="0.00">
                  <c:v>25.534548470000001</c:v>
                </c:pt>
                <c:pt idx="6" formatCode="0.00">
                  <c:v>24.666197789999998</c:v>
                </c:pt>
                <c:pt idx="7" formatCode="0.00">
                  <c:v>32.946601966646497</c:v>
                </c:pt>
                <c:pt idx="8" formatCode="0.00">
                  <c:v>27.1333110468562</c:v>
                </c:pt>
                <c:pt idx="9" formatCode="0.00">
                  <c:v>27.269937800000001</c:v>
                </c:pt>
                <c:pt idx="19" formatCode="0.00">
                  <c:v>25.703142301648999</c:v>
                </c:pt>
                <c:pt idx="20" formatCode="0.00">
                  <c:v>23.678534872133099</c:v>
                </c:pt>
                <c:pt idx="21" formatCode="0.00">
                  <c:v>24.125784406163799</c:v>
                </c:pt>
                <c:pt idx="22" formatCode="0.00">
                  <c:v>24.987148118530001</c:v>
                </c:pt>
                <c:pt idx="23" formatCode="0.00">
                  <c:v>23.117427169999999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Mandate'!$F$69:$F$99</c:f>
              <c:numCache>
                <c:formatCode>0.00</c:formatCode>
                <c:ptCount val="31"/>
                <c:pt idx="1">
                  <c:v>38.721957222405898</c:v>
                </c:pt>
                <c:pt idx="2">
                  <c:v>81.341564259999998</c:v>
                </c:pt>
                <c:pt idx="3">
                  <c:v>34.9056193109856</c:v>
                </c:pt>
                <c:pt idx="4">
                  <c:v>77.9808150994659</c:v>
                </c:pt>
                <c:pt idx="14">
                  <c:v>33.296985970000001</c:v>
                </c:pt>
                <c:pt idx="15">
                  <c:v>73.808838069999993</c:v>
                </c:pt>
                <c:pt idx="16">
                  <c:v>29.945423567779098</c:v>
                </c:pt>
                <c:pt idx="17">
                  <c:v>36.852170288475101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Mandate'!$G$69:$G$99</c:f>
              <c:numCache>
                <c:formatCode>General</c:formatCode>
                <c:ptCount val="31"/>
                <c:pt idx="11" formatCode="0.00">
                  <c:v>38.516546691544299</c:v>
                </c:pt>
                <c:pt idx="12" formatCode="0.00">
                  <c:v>236.62134520618201</c:v>
                </c:pt>
                <c:pt idx="13" formatCode="0.00">
                  <c:v>29.835672107540901</c:v>
                </c:pt>
                <c:pt idx="24" formatCode="0.00">
                  <c:v>28.633791110000001</c:v>
                </c:pt>
                <c:pt idx="25" formatCode="0.00">
                  <c:v>81.360565601751006</c:v>
                </c:pt>
                <c:pt idx="26" formatCode="0.00">
                  <c:v>25.60012553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Mandate'!$H$69:$H$99</c:f>
              <c:numCache>
                <c:formatCode>General</c:formatCode>
                <c:ptCount val="31"/>
                <c:pt idx="29" formatCode="0.00">
                  <c:v>43.116454249999997</c:v>
                </c:pt>
                <c:pt idx="30" formatCode="0.00">
                  <c:v>27.824134675364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Mandate'!$I$69:$I$99</c:f>
              <c:numCache>
                <c:formatCode>General</c:formatCode>
                <c:ptCount val="31"/>
                <c:pt idx="10" formatCode="0.00">
                  <c:v>22.899921722103699</c:v>
                </c:pt>
                <c:pt idx="18" formatCode="0.00">
                  <c:v>24.7795344738106</c:v>
                </c:pt>
                <c:pt idx="27" formatCode="0.00">
                  <c:v>17.558327755798199</c:v>
                </c:pt>
                <c:pt idx="28" formatCode="0.00">
                  <c:v>17.155655410000001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Mandate'!$J$69:$J$99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Mandate'!$E$69:$E$99</c:f>
              <c:numCache>
                <c:formatCode>General</c:formatCode>
                <c:ptCount val="31"/>
                <c:pt idx="5" formatCode="0.00">
                  <c:v>25.534548470000001</c:v>
                </c:pt>
                <c:pt idx="6" formatCode="0.00">
                  <c:v>24.666197789999998</c:v>
                </c:pt>
                <c:pt idx="7" formatCode="0.00">
                  <c:v>32.946601966646497</c:v>
                </c:pt>
                <c:pt idx="8" formatCode="0.00">
                  <c:v>27.1333110468562</c:v>
                </c:pt>
                <c:pt idx="9" formatCode="0.00">
                  <c:v>27.269937800000001</c:v>
                </c:pt>
                <c:pt idx="19" formatCode="0.00">
                  <c:v>25.703142301648999</c:v>
                </c:pt>
                <c:pt idx="20" formatCode="0.00">
                  <c:v>23.678534872133099</c:v>
                </c:pt>
                <c:pt idx="21" formatCode="0.00">
                  <c:v>24.125784406163799</c:v>
                </c:pt>
                <c:pt idx="22" formatCode="0.00">
                  <c:v>24.987148118530001</c:v>
                </c:pt>
                <c:pt idx="23" formatCode="0.00">
                  <c:v>23.117427169999999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Mandate'!$F$69:$F$99</c:f>
              <c:numCache>
                <c:formatCode>0.00</c:formatCode>
                <c:ptCount val="31"/>
                <c:pt idx="1">
                  <c:v>38.721957222405898</c:v>
                </c:pt>
                <c:pt idx="2">
                  <c:v>81.341564259999998</c:v>
                </c:pt>
                <c:pt idx="3">
                  <c:v>34.9056193109856</c:v>
                </c:pt>
                <c:pt idx="4">
                  <c:v>77.9808150994659</c:v>
                </c:pt>
                <c:pt idx="14">
                  <c:v>33.296985970000001</c:v>
                </c:pt>
                <c:pt idx="15">
                  <c:v>73.808838069999993</c:v>
                </c:pt>
                <c:pt idx="16">
                  <c:v>29.945423567779098</c:v>
                </c:pt>
                <c:pt idx="17">
                  <c:v>36.852170288475101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Mandate'!$G$69:$G$99</c:f>
              <c:numCache>
                <c:formatCode>General</c:formatCode>
                <c:ptCount val="31"/>
                <c:pt idx="11" formatCode="0.00">
                  <c:v>38.516546691544299</c:v>
                </c:pt>
                <c:pt idx="12" formatCode="0.00">
                  <c:v>236.62134520618201</c:v>
                </c:pt>
                <c:pt idx="13" formatCode="0.00">
                  <c:v>29.835672107540901</c:v>
                </c:pt>
                <c:pt idx="24" formatCode="0.00">
                  <c:v>28.633791110000001</c:v>
                </c:pt>
                <c:pt idx="25" formatCode="0.00">
                  <c:v>81.360565601751006</c:v>
                </c:pt>
                <c:pt idx="26" formatCode="0.00">
                  <c:v>25.60012553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Mandate'!$H$69:$H$99</c:f>
              <c:numCache>
                <c:formatCode>General</c:formatCode>
                <c:ptCount val="31"/>
                <c:pt idx="29" formatCode="0.00">
                  <c:v>43.116454249999997</c:v>
                </c:pt>
                <c:pt idx="30" formatCode="0.00">
                  <c:v>27.824134675364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Mandate'!$I$69:$I$99</c:f>
              <c:numCache>
                <c:formatCode>General</c:formatCode>
                <c:ptCount val="31"/>
                <c:pt idx="10" formatCode="0.00">
                  <c:v>22.899921722103699</c:v>
                </c:pt>
                <c:pt idx="18" formatCode="0.00">
                  <c:v>24.7795344738106</c:v>
                </c:pt>
                <c:pt idx="27" formatCode="0.00">
                  <c:v>17.558327755798199</c:v>
                </c:pt>
                <c:pt idx="28" formatCode="0.00">
                  <c:v>17.155655410000001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General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Mandate'!$J$69:$J$99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Mandate'!$E$102:$E$132</c:f>
              <c:numCache>
                <c:formatCode>General</c:formatCode>
                <c:ptCount val="31"/>
                <c:pt idx="5" formatCode="0.00">
                  <c:v>30.623022649999999</c:v>
                </c:pt>
                <c:pt idx="6" formatCode="0.00">
                  <c:v>25.579182240000002</c:v>
                </c:pt>
                <c:pt idx="7" formatCode="0.00">
                  <c:v>34.1831762439313</c:v>
                </c:pt>
                <c:pt idx="8" formatCode="0.00">
                  <c:v>27.845083686462701</c:v>
                </c:pt>
                <c:pt idx="9" formatCode="0.00">
                  <c:v>28.329187040000001</c:v>
                </c:pt>
                <c:pt idx="19" formatCode="0.00">
                  <c:v>32.714646653492899</c:v>
                </c:pt>
                <c:pt idx="20" formatCode="0.00">
                  <c:v>28.918131262142602</c:v>
                </c:pt>
                <c:pt idx="21" formatCode="0.00">
                  <c:v>30.9495242703358</c:v>
                </c:pt>
                <c:pt idx="22" formatCode="0.00">
                  <c:v>29.9878066423265</c:v>
                </c:pt>
                <c:pt idx="23" formatCode="0.00">
                  <c:v>29.111208619999999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Mandate'!$F$102:$F$132</c:f>
              <c:numCache>
                <c:formatCode>0.00</c:formatCode>
                <c:ptCount val="31"/>
                <c:pt idx="1">
                  <c:v>43.944236486980699</c:v>
                </c:pt>
                <c:pt idx="2">
                  <c:v>66.213331229999994</c:v>
                </c:pt>
                <c:pt idx="3">
                  <c:v>47.160196832255302</c:v>
                </c:pt>
                <c:pt idx="4">
                  <c:v>75.5013687287978</c:v>
                </c:pt>
                <c:pt idx="14">
                  <c:v>45.4824609</c:v>
                </c:pt>
                <c:pt idx="15">
                  <c:v>75.18194579</c:v>
                </c:pt>
                <c:pt idx="16">
                  <c:v>44.9719994818999</c:v>
                </c:pt>
                <c:pt idx="17">
                  <c:v>-67.569012270245395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Mandate'!$G$102:$G$132</c:f>
              <c:numCache>
                <c:formatCode>General</c:formatCode>
                <c:ptCount val="31"/>
                <c:pt idx="11" formatCode="0.00">
                  <c:v>48.6695660201867</c:v>
                </c:pt>
                <c:pt idx="12" formatCode="0.00">
                  <c:v>515.18468127639301</c:v>
                </c:pt>
                <c:pt idx="13" formatCode="0.00">
                  <c:v>33.564098898715201</c:v>
                </c:pt>
                <c:pt idx="24" formatCode="0.00">
                  <c:v>40.0745121</c:v>
                </c:pt>
                <c:pt idx="25" formatCode="0.00">
                  <c:v>164.08104308165801</c:v>
                </c:pt>
                <c:pt idx="26" formatCode="0.00">
                  <c:v>32.824176229999999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Mandate'!$H$102:$H$132</c:f>
              <c:numCache>
                <c:formatCode>General</c:formatCode>
                <c:ptCount val="31"/>
                <c:pt idx="29" formatCode="0.00">
                  <c:v>48.172775999999999</c:v>
                </c:pt>
                <c:pt idx="30">
                  <c:v>34.255471921305499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Mandate'!$I$102:$I$132</c:f>
              <c:numCache>
                <c:formatCode>General</c:formatCode>
                <c:ptCount val="31"/>
                <c:pt idx="10" formatCode="0.00">
                  <c:v>24.134127641377798</c:v>
                </c:pt>
                <c:pt idx="18" formatCode="0.00">
                  <c:v>29.445243255130102</c:v>
                </c:pt>
                <c:pt idx="27" formatCode="0.00">
                  <c:v>25.800721172369698</c:v>
                </c:pt>
                <c:pt idx="28" formatCode="0.00">
                  <c:v>24.32157226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Mandate'!$J$102:$J$132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Mandate'!$E$102:$E$132</c:f>
              <c:numCache>
                <c:formatCode>General</c:formatCode>
                <c:ptCount val="31"/>
                <c:pt idx="5" formatCode="0.00">
                  <c:v>30.623022649999999</c:v>
                </c:pt>
                <c:pt idx="6" formatCode="0.00">
                  <c:v>25.579182240000002</c:v>
                </c:pt>
                <c:pt idx="7" formatCode="0.00">
                  <c:v>34.1831762439313</c:v>
                </c:pt>
                <c:pt idx="8" formatCode="0.00">
                  <c:v>27.845083686462701</c:v>
                </c:pt>
                <c:pt idx="9" formatCode="0.00">
                  <c:v>28.329187040000001</c:v>
                </c:pt>
                <c:pt idx="19" formatCode="0.00">
                  <c:v>32.714646653492899</c:v>
                </c:pt>
                <c:pt idx="20" formatCode="0.00">
                  <c:v>28.918131262142602</c:v>
                </c:pt>
                <c:pt idx="21" formatCode="0.00">
                  <c:v>30.9495242703358</c:v>
                </c:pt>
                <c:pt idx="22" formatCode="0.00">
                  <c:v>29.9878066423265</c:v>
                </c:pt>
                <c:pt idx="23" formatCode="0.00">
                  <c:v>29.111208619999999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Mandate'!$F$102:$F$132</c:f>
              <c:numCache>
                <c:formatCode>0.00</c:formatCode>
                <c:ptCount val="31"/>
                <c:pt idx="1">
                  <c:v>43.944236486980699</c:v>
                </c:pt>
                <c:pt idx="2">
                  <c:v>66.213331229999994</c:v>
                </c:pt>
                <c:pt idx="3">
                  <c:v>47.160196832255302</c:v>
                </c:pt>
                <c:pt idx="4">
                  <c:v>75.5013687287978</c:v>
                </c:pt>
                <c:pt idx="14">
                  <c:v>45.4824609</c:v>
                </c:pt>
                <c:pt idx="15">
                  <c:v>75.18194579</c:v>
                </c:pt>
                <c:pt idx="16">
                  <c:v>44.9719994818999</c:v>
                </c:pt>
                <c:pt idx="17">
                  <c:v>-67.569012270245395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Mandate'!$G$102:$G$132</c:f>
              <c:numCache>
                <c:formatCode>General</c:formatCode>
                <c:ptCount val="31"/>
                <c:pt idx="11" formatCode="0.00">
                  <c:v>48.6695660201867</c:v>
                </c:pt>
                <c:pt idx="12" formatCode="0.00">
                  <c:v>515.18468127639301</c:v>
                </c:pt>
                <c:pt idx="13" formatCode="0.00">
                  <c:v>33.564098898715201</c:v>
                </c:pt>
                <c:pt idx="24" formatCode="0.00">
                  <c:v>40.0745121</c:v>
                </c:pt>
                <c:pt idx="25" formatCode="0.00">
                  <c:v>164.08104308165801</c:v>
                </c:pt>
                <c:pt idx="26" formatCode="0.00">
                  <c:v>32.824176229999999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Mandate'!$H$102:$H$132</c:f>
              <c:numCache>
                <c:formatCode>General</c:formatCode>
                <c:ptCount val="31"/>
                <c:pt idx="29" formatCode="0.00">
                  <c:v>48.172775999999999</c:v>
                </c:pt>
                <c:pt idx="30">
                  <c:v>34.255471921305499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Mandate'!$I$102:$I$132</c:f>
              <c:numCache>
                <c:formatCode>General</c:formatCode>
                <c:ptCount val="31"/>
                <c:pt idx="10" formatCode="0.00">
                  <c:v>24.134127641377798</c:v>
                </c:pt>
                <c:pt idx="18" formatCode="0.00">
                  <c:v>29.445243255130102</c:v>
                </c:pt>
                <c:pt idx="27" formatCode="0.00">
                  <c:v>25.800721172369698</c:v>
                </c:pt>
                <c:pt idx="28" formatCode="0.00">
                  <c:v>24.32157226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</c:formatCode>
                <c:ptCount val="31"/>
                <c:pt idx="0">
                  <c:v>4.4107347383287797E-12</c:v>
                </c:pt>
                <c:pt idx="1">
                  <c:v>10.903288298281099</c:v>
                </c:pt>
                <c:pt idx="2">
                  <c:v>77.537456390000003</c:v>
                </c:pt>
                <c:pt idx="3">
                  <c:v>10.7774242857275</c:v>
                </c:pt>
                <c:pt idx="4">
                  <c:v>92.865196996374294</c:v>
                </c:pt>
                <c:pt idx="5">
                  <c:v>12.61015407</c:v>
                </c:pt>
                <c:pt idx="6">
                  <c:v>10.690108459999999</c:v>
                </c:pt>
                <c:pt idx="7">
                  <c:v>6.5878222614765596</c:v>
                </c:pt>
                <c:pt idx="8">
                  <c:v>9.0841009242921409</c:v>
                </c:pt>
                <c:pt idx="9">
                  <c:v>8.5063978210000002</c:v>
                </c:pt>
                <c:pt idx="10">
                  <c:v>13.1371090828438</c:v>
                </c:pt>
                <c:pt idx="11">
                  <c:v>9.2006200346008296</c:v>
                </c:pt>
                <c:pt idx="12">
                  <c:v>1.9261438344295101</c:v>
                </c:pt>
                <c:pt idx="13">
                  <c:v>10.199345228143001</c:v>
                </c:pt>
                <c:pt idx="14">
                  <c:v>4.2929028440000003</c:v>
                </c:pt>
                <c:pt idx="15">
                  <c:v>9.0041609660000006</c:v>
                </c:pt>
                <c:pt idx="16">
                  <c:v>4.5299326625634597</c:v>
                </c:pt>
                <c:pt idx="17">
                  <c:v>46.908433540766197</c:v>
                </c:pt>
                <c:pt idx="18">
                  <c:v>8.4504572715756492</c:v>
                </c:pt>
                <c:pt idx="19">
                  <c:v>7.9367565067817498</c:v>
                </c:pt>
                <c:pt idx="20">
                  <c:v>4.5221188649834598</c:v>
                </c:pt>
                <c:pt idx="21">
                  <c:v>-0.46285562453315499</c:v>
                </c:pt>
                <c:pt idx="22">
                  <c:v>7.1441239026772303</c:v>
                </c:pt>
                <c:pt idx="23">
                  <c:v>1.4728076189999999</c:v>
                </c:pt>
                <c:pt idx="24">
                  <c:v>3.0910263379999998</c:v>
                </c:pt>
                <c:pt idx="25">
                  <c:v>1.3040601447008899</c:v>
                </c:pt>
                <c:pt idx="26">
                  <c:v>4.2508096210000001</c:v>
                </c:pt>
                <c:pt idx="27">
                  <c:v>-3.29955859800915</c:v>
                </c:pt>
                <c:pt idx="28">
                  <c:v>23.65954266</c:v>
                </c:pt>
                <c:pt idx="29">
                  <c:v>8.4505067559999993</c:v>
                </c:pt>
                <c:pt idx="30">
                  <c:v>11.3709295826815</c:v>
                </c:pt>
              </c:numCache>
            </c:numRef>
          </c:xVal>
          <c:yVal>
            <c:numRef>
              <c:f>'Net-Zero Mandate'!$J$102:$J$132</c:f>
              <c:numCache>
                <c:formatCode>General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microsoft.com/office/2014/relationships/chartEx" Target="../charts/chartEx1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152400</xdr:colOff>
      <xdr:row>4</xdr:row>
      <xdr:rowOff>142875</xdr:rowOff>
    </xdr:from>
    <xdr:to>
      <xdr:col>15</xdr:col>
      <xdr:colOff>238125</xdr:colOff>
      <xdr:row>29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273051</xdr:colOff>
      <xdr:row>19</xdr:row>
      <xdr:rowOff>152400</xdr:rowOff>
    </xdr:from>
    <xdr:to>
      <xdr:col>11</xdr:col>
      <xdr:colOff>561975</xdr:colOff>
      <xdr:row>23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285750</xdr:colOff>
      <xdr:row>12</xdr:row>
      <xdr:rowOff>47625</xdr:rowOff>
    </xdr:from>
    <xdr:to>
      <xdr:col>12</xdr:col>
      <xdr:colOff>381000</xdr:colOff>
      <xdr:row>19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581025</xdr:colOff>
      <xdr:row>22</xdr:row>
      <xdr:rowOff>47625</xdr:rowOff>
    </xdr:from>
    <xdr:to>
      <xdr:col>15</xdr:col>
      <xdr:colOff>228600</xdr:colOff>
      <xdr:row>23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52</xdr:row>
      <xdr:rowOff>85724</xdr:rowOff>
    </xdr:from>
    <xdr:to>
      <xdr:col>15</xdr:col>
      <xdr:colOff>352425</xdr:colOff>
      <xdr:row>54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190500</xdr:colOff>
      <xdr:row>41</xdr:row>
      <xdr:rowOff>107156</xdr:rowOff>
    </xdr:from>
    <xdr:to>
      <xdr:col>17</xdr:col>
      <xdr:colOff>529828</xdr:colOff>
      <xdr:row>52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352425</xdr:colOff>
      <xdr:row>52</xdr:row>
      <xdr:rowOff>9525</xdr:rowOff>
    </xdr:from>
    <xdr:to>
      <xdr:col>20</xdr:col>
      <xdr:colOff>28575</xdr:colOff>
      <xdr:row>54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90</xdr:row>
      <xdr:rowOff>57150</xdr:rowOff>
    </xdr:from>
    <xdr:to>
      <xdr:col>12</xdr:col>
      <xdr:colOff>133350</xdr:colOff>
      <xdr:row>92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0</xdr:colOff>
      <xdr:row>34</xdr:row>
      <xdr:rowOff>0</xdr:rowOff>
    </xdr:from>
    <xdr:to>
      <xdr:col>21</xdr:col>
      <xdr:colOff>202955</xdr:colOff>
      <xdr:row>58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204107</xdr:colOff>
      <xdr:row>51</xdr:row>
      <xdr:rowOff>68036</xdr:rowOff>
    </xdr:from>
    <xdr:to>
      <xdr:col>16</xdr:col>
      <xdr:colOff>353786</xdr:colOff>
      <xdr:row>53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190500</xdr:colOff>
      <xdr:row>43</xdr:row>
      <xdr:rowOff>122464</xdr:rowOff>
    </xdr:from>
    <xdr:to>
      <xdr:col>18</xdr:col>
      <xdr:colOff>503464</xdr:colOff>
      <xdr:row>51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326571</xdr:colOff>
      <xdr:row>53</xdr:row>
      <xdr:rowOff>13607</xdr:rowOff>
    </xdr:from>
    <xdr:to>
      <xdr:col>21</xdr:col>
      <xdr:colOff>136071</xdr:colOff>
      <xdr:row>53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66</xdr:row>
      <xdr:rowOff>0</xdr:rowOff>
    </xdr:from>
    <xdr:to>
      <xdr:col>22</xdr:col>
      <xdr:colOff>202956</xdr:colOff>
      <xdr:row>90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97972</xdr:colOff>
      <xdr:row>85</xdr:row>
      <xdr:rowOff>54429</xdr:rowOff>
    </xdr:from>
    <xdr:to>
      <xdr:col>17</xdr:col>
      <xdr:colOff>557893</xdr:colOff>
      <xdr:row>87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122465</xdr:colOff>
      <xdr:row>75</xdr:row>
      <xdr:rowOff>0</xdr:rowOff>
    </xdr:from>
    <xdr:to>
      <xdr:col>18</xdr:col>
      <xdr:colOff>571500</xdr:colOff>
      <xdr:row>85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557893</xdr:colOff>
      <xdr:row>86</xdr:row>
      <xdr:rowOff>54429</xdr:rowOff>
    </xdr:from>
    <xdr:to>
      <xdr:col>22</xdr:col>
      <xdr:colOff>68036</xdr:colOff>
      <xdr:row>87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24</xdr:row>
      <xdr:rowOff>47094</xdr:rowOff>
    </xdr:from>
    <xdr:to>
      <xdr:col>28</xdr:col>
      <xdr:colOff>582083</xdr:colOff>
      <xdr:row>55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35</xdr:row>
      <xdr:rowOff>42862</xdr:rowOff>
    </xdr:from>
    <xdr:to>
      <xdr:col>18</xdr:col>
      <xdr:colOff>247649</xdr:colOff>
      <xdr:row>66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47</xdr:row>
      <xdr:rowOff>10583</xdr:rowOff>
    </xdr:from>
    <xdr:to>
      <xdr:col>18</xdr:col>
      <xdr:colOff>31751</xdr:colOff>
      <xdr:row>62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46</xdr:row>
      <xdr:rowOff>31750</xdr:rowOff>
    </xdr:from>
    <xdr:to>
      <xdr:col>13</xdr:col>
      <xdr:colOff>0</xdr:colOff>
      <xdr:row>55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46</xdr:row>
      <xdr:rowOff>31750</xdr:rowOff>
    </xdr:from>
    <xdr:to>
      <xdr:col>18</xdr:col>
      <xdr:colOff>31750</xdr:colOff>
      <xdr:row>47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55</xdr:row>
      <xdr:rowOff>158750</xdr:rowOff>
    </xdr:from>
    <xdr:to>
      <xdr:col>13</xdr:col>
      <xdr:colOff>486833</xdr:colOff>
      <xdr:row>62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73</xdr:row>
      <xdr:rowOff>0</xdr:rowOff>
    </xdr:from>
    <xdr:to>
      <xdr:col>23</xdr:col>
      <xdr:colOff>42863</xdr:colOff>
      <xdr:row>101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86</xdr:row>
      <xdr:rowOff>169333</xdr:rowOff>
    </xdr:from>
    <xdr:to>
      <xdr:col>22</xdr:col>
      <xdr:colOff>497416</xdr:colOff>
      <xdr:row>98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83</xdr:row>
      <xdr:rowOff>14816</xdr:rowOff>
    </xdr:from>
    <xdr:to>
      <xdr:col>17</xdr:col>
      <xdr:colOff>554567</xdr:colOff>
      <xdr:row>91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83</xdr:row>
      <xdr:rowOff>14816</xdr:rowOff>
    </xdr:from>
    <xdr:to>
      <xdr:col>22</xdr:col>
      <xdr:colOff>486833</xdr:colOff>
      <xdr:row>86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91</xdr:row>
      <xdr:rowOff>116417</xdr:rowOff>
    </xdr:from>
    <xdr:to>
      <xdr:col>18</xdr:col>
      <xdr:colOff>264583</xdr:colOff>
      <xdr:row>98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102</xdr:row>
      <xdr:rowOff>74083</xdr:rowOff>
    </xdr:from>
    <xdr:to>
      <xdr:col>22</xdr:col>
      <xdr:colOff>275696</xdr:colOff>
      <xdr:row>133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116</xdr:row>
      <xdr:rowOff>137583</xdr:rowOff>
    </xdr:from>
    <xdr:to>
      <xdr:col>22</xdr:col>
      <xdr:colOff>64031</xdr:colOff>
      <xdr:row>129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116</xdr:row>
      <xdr:rowOff>0</xdr:rowOff>
    </xdr:from>
    <xdr:to>
      <xdr:col>17</xdr:col>
      <xdr:colOff>222249</xdr:colOff>
      <xdr:row>123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115</xdr:row>
      <xdr:rowOff>179917</xdr:rowOff>
    </xdr:from>
    <xdr:to>
      <xdr:col>22</xdr:col>
      <xdr:colOff>21167</xdr:colOff>
      <xdr:row>116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123</xdr:row>
      <xdr:rowOff>169333</xdr:rowOff>
    </xdr:from>
    <xdr:to>
      <xdr:col>17</xdr:col>
      <xdr:colOff>592667</xdr:colOff>
      <xdr:row>129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H39" sqref="H39"/>
    </sheetView>
  </sheetViews>
  <sheetFormatPr defaultRowHeight="15" x14ac:dyDescent="0.25"/>
  <cols>
    <col min="1" max="1" width="22.28515625" bestFit="1" customWidth="1"/>
    <col min="2" max="2" width="14.28515625" customWidth="1"/>
    <col min="3" max="3" width="12.85546875" customWidth="1"/>
    <col min="4" max="4" width="20" style="5" customWidth="1"/>
    <col min="5" max="5" width="20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82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42</v>
      </c>
      <c r="B15" s="6">
        <v>-110898.496318538</v>
      </c>
      <c r="C15" s="6">
        <v>70029.473247727205</v>
      </c>
      <c r="D15" s="5">
        <v>-1.58359746511641</v>
      </c>
      <c r="E15" s="6">
        <v>-40869.023070811098</v>
      </c>
      <c r="F15" s="6">
        <v>-29063.628096181299</v>
      </c>
      <c r="G15" s="6">
        <v>30483.9856203167</v>
      </c>
      <c r="H15" s="5">
        <v>-0.95340643635559297</v>
      </c>
      <c r="I15" s="6">
        <v>1420.3575241353999</v>
      </c>
      <c r="J15" s="6">
        <v>-12270.0831571496</v>
      </c>
      <c r="K15" s="6">
        <v>18658.255307640298</v>
      </c>
      <c r="L15" s="5">
        <v>-0.65762221359063699</v>
      </c>
      <c r="M15" s="6">
        <v>6388.17215049064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43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 t="shared" ref="B18:C26" si="0">B2-B$33</f>
        <v>-87041.623714157293</v>
      </c>
      <c r="C18" s="6">
        <f t="shared" si="0"/>
        <v>55215.053146678598</v>
      </c>
      <c r="D18" s="5">
        <f>B18/C18</f>
        <v>-1.5764111189557586</v>
      </c>
      <c r="E18" s="6">
        <f>B18+C18</f>
        <v>-31826.570567478695</v>
      </c>
      <c r="F18" s="6">
        <f t="shared" ref="F18:G26" si="1">F2-F$33</f>
        <v>-24009.774422884198</v>
      </c>
      <c r="G18" s="6">
        <f t="shared" si="1"/>
        <v>19507.666627389299</v>
      </c>
      <c r="H18" s="5">
        <f>F18/G18</f>
        <v>-1.2307865867040098</v>
      </c>
      <c r="I18" s="6">
        <f>F18+G18</f>
        <v>-4502.1077954948996</v>
      </c>
      <c r="J18" s="6">
        <f t="shared" ref="J18:K26" si="2">J2-J$33</f>
        <v>-10209.740402372299</v>
      </c>
      <c r="K18" s="6">
        <f t="shared" si="2"/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 t="shared" si="0"/>
        <v>-277189.41464709002</v>
      </c>
      <c r="C19" s="6">
        <f t="shared" si="0"/>
        <v>272173.78966586111</v>
      </c>
      <c r="D19" s="5">
        <f t="shared" ref="D19:D30" si="3">B19/C19</f>
        <v>-1.0184280234602547</v>
      </c>
      <c r="E19" s="6">
        <f t="shared" ref="E19:E30" si="4">B19+C19</f>
        <v>-5015.6249812289025</v>
      </c>
      <c r="F19" s="6">
        <f t="shared" si="1"/>
        <v>-48914.657028755297</v>
      </c>
      <c r="G19" s="6">
        <f t="shared" si="1"/>
        <v>49024.1061810541</v>
      </c>
      <c r="H19" s="5">
        <f t="shared" ref="H19:H30" si="5">F19/G19</f>
        <v>-0.99776744216621538</v>
      </c>
      <c r="I19" s="6">
        <f t="shared" ref="I19:I30" si="6">F19+G19</f>
        <v>109.4491522988028</v>
      </c>
      <c r="J19" s="6">
        <f t="shared" si="2"/>
        <v>-15980.398221146799</v>
      </c>
      <c r="K19" s="6">
        <f t="shared" si="2"/>
        <v>16568.117338946591</v>
      </c>
      <c r="L19" s="5">
        <f t="shared" ref="L19:L30" si="7">J19/K19</f>
        <v>-0.96452710312364554</v>
      </c>
      <c r="M19" s="6">
        <f t="shared" ref="M19:M30" si="8">J19+K19</f>
        <v>587.719117799792</v>
      </c>
      <c r="N19" t="s">
        <v>24</v>
      </c>
    </row>
    <row r="20" spans="1:14" x14ac:dyDescent="0.25">
      <c r="A20" t="s">
        <v>3</v>
      </c>
      <c r="B20" s="6">
        <f t="shared" si="0"/>
        <v>-52712.756725281797</v>
      </c>
      <c r="C20" s="6">
        <f t="shared" si="0"/>
        <v>60824.649079375005</v>
      </c>
      <c r="D20" s="5">
        <f t="shared" si="3"/>
        <v>-0.86663478578384656</v>
      </c>
      <c r="E20" s="6">
        <f t="shared" si="4"/>
        <v>8111.8923540932083</v>
      </c>
      <c r="F20" s="6">
        <f t="shared" si="1"/>
        <v>-18634.107191897401</v>
      </c>
      <c r="G20" s="6">
        <f t="shared" si="1"/>
        <v>30778.911794356602</v>
      </c>
      <c r="H20" s="5">
        <f t="shared" si="5"/>
        <v>-0.60541799906369709</v>
      </c>
      <c r="I20" s="6">
        <f t="shared" si="6"/>
        <v>12144.8046024592</v>
      </c>
      <c r="J20" s="6">
        <f t="shared" si="2"/>
        <v>-10131.117210586999</v>
      </c>
      <c r="K20" s="6">
        <f t="shared" si="2"/>
        <v>19137.170013317693</v>
      </c>
      <c r="L20" s="5">
        <f t="shared" si="7"/>
        <v>-0.52939474350369897</v>
      </c>
      <c r="M20" s="6">
        <f t="shared" si="8"/>
        <v>9006.0528027306937</v>
      </c>
      <c r="N20" t="s">
        <v>24</v>
      </c>
    </row>
    <row r="21" spans="1:14" x14ac:dyDescent="0.25">
      <c r="A21" t="s">
        <v>4</v>
      </c>
      <c r="B21" s="6">
        <f t="shared" si="0"/>
        <v>-568357.47058677697</v>
      </c>
      <c r="C21" s="6">
        <f t="shared" si="0"/>
        <v>630342.79779581109</v>
      </c>
      <c r="D21" s="5">
        <f t="shared" si="3"/>
        <v>-0.90166409860510022</v>
      </c>
      <c r="E21" s="6">
        <f t="shared" si="4"/>
        <v>61985.32720903412</v>
      </c>
      <c r="F21" s="6">
        <f t="shared" si="1"/>
        <v>-107357.135510147</v>
      </c>
      <c r="G21" s="6">
        <f t="shared" si="1"/>
        <v>123203.10413121541</v>
      </c>
      <c r="H21" s="5">
        <f t="shared" si="5"/>
        <v>-0.87138336543702721</v>
      </c>
      <c r="I21" s="6">
        <f t="shared" si="6"/>
        <v>15845.968621068416</v>
      </c>
      <c r="J21" s="6">
        <f t="shared" si="2"/>
        <v>-37918.655503970796</v>
      </c>
      <c r="K21" s="6">
        <f t="shared" si="2"/>
        <v>45651.924713912995</v>
      </c>
      <c r="L21" s="5">
        <f t="shared" si="7"/>
        <v>-0.83060365453583196</v>
      </c>
      <c r="M21" s="6">
        <f t="shared" si="8"/>
        <v>7733.2692099421984</v>
      </c>
      <c r="N21" t="s">
        <v>24</v>
      </c>
    </row>
    <row r="22" spans="1:14" x14ac:dyDescent="0.25">
      <c r="A22" t="s">
        <v>6</v>
      </c>
      <c r="B22" s="6">
        <f t="shared" si="0"/>
        <v>-629.11242305952999</v>
      </c>
      <c r="C22" s="6">
        <f t="shared" si="0"/>
        <v>4126.2415688571</v>
      </c>
      <c r="D22" s="5">
        <f t="shared" si="3"/>
        <v>-0.15246621230510835</v>
      </c>
      <c r="E22" s="6">
        <f t="shared" si="4"/>
        <v>3497.1291457975699</v>
      </c>
      <c r="F22" s="6">
        <f t="shared" si="1"/>
        <v>-412.48126069827401</v>
      </c>
      <c r="G22" s="6">
        <f t="shared" si="1"/>
        <v>3418.0807765760001</v>
      </c>
      <c r="H22" s="5">
        <f t="shared" si="5"/>
        <v>-0.1206762764429077</v>
      </c>
      <c r="I22" s="6">
        <f t="shared" si="6"/>
        <v>3005.5995158777259</v>
      </c>
      <c r="J22" s="6">
        <f t="shared" si="2"/>
        <v>-335.61574049935001</v>
      </c>
      <c r="K22" s="6">
        <f t="shared" si="2"/>
        <v>3011.92723547479</v>
      </c>
      <c r="L22" s="5">
        <f t="shared" si="7"/>
        <v>-0.11142890058778086</v>
      </c>
      <c r="M22" s="6">
        <f t="shared" si="8"/>
        <v>2676.3114949754399</v>
      </c>
      <c r="N22" t="s">
        <v>24</v>
      </c>
    </row>
    <row r="23" spans="1:14" x14ac:dyDescent="0.25">
      <c r="A23" t="s">
        <v>5</v>
      </c>
      <c r="B23" s="6">
        <f t="shared" si="0"/>
        <v>-24187.678536078602</v>
      </c>
      <c r="C23" s="6">
        <f t="shared" si="0"/>
        <v>2337.0840578976004</v>
      </c>
      <c r="D23" s="5">
        <f t="shared" si="3"/>
        <v>-10.349511586603954</v>
      </c>
      <c r="E23" s="6">
        <f t="shared" si="4"/>
        <v>-21850.594478181003</v>
      </c>
      <c r="F23" s="6">
        <f t="shared" si="1"/>
        <v>-5025.3693987003298</v>
      </c>
      <c r="G23" s="6">
        <f t="shared" si="1"/>
        <v>979.28706998899906</v>
      </c>
      <c r="H23" s="5">
        <f t="shared" si="5"/>
        <v>-5.1316611366642295</v>
      </c>
      <c r="I23" s="6">
        <f t="shared" si="6"/>
        <v>-4046.0823287113308</v>
      </c>
      <c r="J23" s="6">
        <f t="shared" si="2"/>
        <v>-2036.7477236836501</v>
      </c>
      <c r="K23" s="6">
        <f t="shared" si="2"/>
        <v>648.6834832782697</v>
      </c>
      <c r="L23" s="5">
        <f t="shared" si="7"/>
        <v>-3.1398174551793452</v>
      </c>
      <c r="M23" s="6">
        <f t="shared" si="8"/>
        <v>-1388.0642404053804</v>
      </c>
      <c r="N23" t="s">
        <v>24</v>
      </c>
    </row>
    <row r="24" spans="1:14" x14ac:dyDescent="0.25">
      <c r="A24" t="s">
        <v>8</v>
      </c>
      <c r="B24" s="6">
        <f t="shared" si="0"/>
        <v>-58217.953069988798</v>
      </c>
      <c r="C24" s="6">
        <f t="shared" si="0"/>
        <v>14708.132878070801</v>
      </c>
      <c r="D24" s="5">
        <f t="shared" si="3"/>
        <v>-3.9582150605118129</v>
      </c>
      <c r="E24" s="6">
        <f t="shared" si="4"/>
        <v>-43509.820191917999</v>
      </c>
      <c r="F24" s="6">
        <f t="shared" si="1"/>
        <v>-12921.4355867997</v>
      </c>
      <c r="G24" s="6">
        <f t="shared" si="1"/>
        <v>6299.1855513266</v>
      </c>
      <c r="H24" s="5">
        <f t="shared" si="5"/>
        <v>-2.0512867070693708</v>
      </c>
      <c r="I24" s="6">
        <f t="shared" si="6"/>
        <v>-6622.2500354731001</v>
      </c>
      <c r="J24" s="6">
        <f t="shared" si="2"/>
        <v>-5363.8813822450302</v>
      </c>
      <c r="K24" s="6">
        <f t="shared" si="2"/>
        <v>3509.5880533935906</v>
      </c>
      <c r="L24" s="5">
        <f t="shared" si="7"/>
        <v>-1.5283507068752509</v>
      </c>
      <c r="M24" s="6">
        <f t="shared" si="8"/>
        <v>-1854.2933288514396</v>
      </c>
      <c r="N24" t="s">
        <v>24</v>
      </c>
    </row>
    <row r="25" spans="1:14" x14ac:dyDescent="0.25">
      <c r="A25" t="s">
        <v>7</v>
      </c>
      <c r="B25" s="6">
        <f t="shared" si="0"/>
        <v>-36532.3357027936</v>
      </c>
      <c r="C25" s="6">
        <f t="shared" si="0"/>
        <v>4859.8610157378989</v>
      </c>
      <c r="D25" s="5">
        <f t="shared" si="3"/>
        <v>-7.5171564751521389</v>
      </c>
      <c r="E25" s="6">
        <f t="shared" si="4"/>
        <v>-31672.474687055699</v>
      </c>
      <c r="F25" s="6">
        <f t="shared" si="1"/>
        <v>-8027.2493380455498</v>
      </c>
      <c r="G25" s="6">
        <f t="shared" si="1"/>
        <v>2069.0140113137986</v>
      </c>
      <c r="H25" s="5">
        <f t="shared" si="5"/>
        <v>-3.8797462434526215</v>
      </c>
      <c r="I25" s="6">
        <f t="shared" si="6"/>
        <v>-5958.2353267317512</v>
      </c>
      <c r="J25" s="6">
        <f t="shared" si="2"/>
        <v>-3292.7796969207502</v>
      </c>
      <c r="K25" s="6">
        <f t="shared" si="2"/>
        <v>1145.6123160236912</v>
      </c>
      <c r="L25" s="5">
        <f t="shared" si="7"/>
        <v>-2.8742530530307739</v>
      </c>
      <c r="M25" s="6">
        <f t="shared" si="8"/>
        <v>-2147.167380897059</v>
      </c>
      <c r="N25" t="s">
        <v>24</v>
      </c>
    </row>
    <row r="26" spans="1:14" x14ac:dyDescent="0.25">
      <c r="A26" t="s">
        <v>9</v>
      </c>
      <c r="B26" s="6">
        <f t="shared" si="0"/>
        <v>-43040.1202776301</v>
      </c>
      <c r="C26" s="6">
        <f t="shared" si="0"/>
        <v>7071.4240773678011</v>
      </c>
      <c r="D26" s="5">
        <f t="shared" si="3"/>
        <v>-6.0864855235285136</v>
      </c>
      <c r="E26" s="6">
        <f t="shared" si="4"/>
        <v>-35968.696200262297</v>
      </c>
      <c r="F26" s="6">
        <f t="shared" si="1"/>
        <v>-9350.1536406274499</v>
      </c>
      <c r="G26" s="6">
        <f t="shared" si="1"/>
        <v>2982.7319463466993</v>
      </c>
      <c r="H26" s="5">
        <f t="shared" si="5"/>
        <v>-3.1347616241813738</v>
      </c>
      <c r="I26" s="6">
        <f t="shared" si="6"/>
        <v>-6367.4216942807507</v>
      </c>
      <c r="J26" s="6">
        <f t="shared" si="2"/>
        <v>-3948.2112997761601</v>
      </c>
      <c r="K26" s="6">
        <f t="shared" si="2"/>
        <v>1982.6901417550907</v>
      </c>
      <c r="L26" s="5">
        <f t="shared" si="7"/>
        <v>-1.9913405613048425</v>
      </c>
      <c r="M26" s="6">
        <f t="shared" si="8"/>
        <v>-1965.5211580210694</v>
      </c>
      <c r="N26" t="s">
        <v>24</v>
      </c>
    </row>
    <row r="27" spans="1:14" x14ac:dyDescent="0.25">
      <c r="A27" t="s">
        <v>10</v>
      </c>
      <c r="B27" s="6">
        <f t="shared" ref="B27:C30" si="9">B12-B$33</f>
        <v>-38255.645925858298</v>
      </c>
      <c r="C27" s="6">
        <f t="shared" si="9"/>
        <v>27844.316551196702</v>
      </c>
      <c r="D27" s="5">
        <f t="shared" si="3"/>
        <v>-1.3739121897827344</v>
      </c>
      <c r="E27" s="6">
        <f t="shared" si="4"/>
        <v>-10411.329374661596</v>
      </c>
      <c r="F27" s="6">
        <f t="shared" ref="F27:G30" si="10">F12-F$33</f>
        <v>-10717.5437780061</v>
      </c>
      <c r="G27" s="6">
        <f t="shared" si="10"/>
        <v>16321.083694048701</v>
      </c>
      <c r="H27" s="5">
        <f t="shared" si="5"/>
        <v>-0.65666863664905606</v>
      </c>
      <c r="I27" s="6">
        <f t="shared" si="6"/>
        <v>5603.5399160426005</v>
      </c>
      <c r="J27" s="6">
        <f t="shared" ref="J27:K30" si="11">J12-J$33</f>
        <v>-5715.8742587877696</v>
      </c>
      <c r="K27" s="6">
        <f t="shared" si="11"/>
        <v>11417.559116321592</v>
      </c>
      <c r="L27" s="5">
        <f t="shared" si="7"/>
        <v>-0.50062138505740961</v>
      </c>
      <c r="M27" s="6">
        <f t="shared" si="8"/>
        <v>5701.6848575338227</v>
      </c>
      <c r="N27" t="s">
        <v>24</v>
      </c>
    </row>
    <row r="28" spans="1:14" x14ac:dyDescent="0.25">
      <c r="A28" t="s">
        <v>11</v>
      </c>
      <c r="B28" s="6">
        <f t="shared" si="9"/>
        <v>-118894.24644871699</v>
      </c>
      <c r="C28" s="6">
        <f t="shared" si="9"/>
        <v>1176248.363798402</v>
      </c>
      <c r="D28" s="5">
        <f t="shared" si="3"/>
        <v>-0.10107920240992094</v>
      </c>
      <c r="E28" s="6">
        <f t="shared" si="4"/>
        <v>1057354.1173496849</v>
      </c>
      <c r="F28" s="6">
        <f t="shared" si="10"/>
        <v>-43687.746545707101</v>
      </c>
      <c r="G28" s="6">
        <f t="shared" si="10"/>
        <v>297386.80981420039</v>
      </c>
      <c r="H28" s="5">
        <f t="shared" si="5"/>
        <v>-0.1469054615199715</v>
      </c>
      <c r="I28" s="6">
        <f t="shared" si="6"/>
        <v>253699.06326849328</v>
      </c>
      <c r="J28" s="6">
        <f t="shared" si="11"/>
        <v>-25574.064566239598</v>
      </c>
      <c r="K28" s="6">
        <f t="shared" si="11"/>
        <v>138935.30596719577</v>
      </c>
      <c r="L28" s="5">
        <f t="shared" si="7"/>
        <v>-0.18407174755333916</v>
      </c>
      <c r="M28" s="6">
        <f t="shared" si="8"/>
        <v>113361.24140095618</v>
      </c>
      <c r="N28" t="s">
        <v>24</v>
      </c>
    </row>
    <row r="29" spans="1:14" x14ac:dyDescent="0.25">
      <c r="A29" t="s">
        <v>12</v>
      </c>
      <c r="B29" s="6">
        <f t="shared" si="9"/>
        <v>-27847.7754083363</v>
      </c>
      <c r="C29" s="6">
        <f t="shared" si="9"/>
        <v>11354.460030213499</v>
      </c>
      <c r="D29" s="5">
        <f t="shared" si="3"/>
        <v>-2.4525847406424552</v>
      </c>
      <c r="E29" s="6">
        <f t="shared" si="4"/>
        <v>-16493.315378122803</v>
      </c>
      <c r="F29" s="6">
        <f t="shared" si="10"/>
        <v>-6640.4507534377399</v>
      </c>
      <c r="G29" s="6">
        <f t="shared" si="10"/>
        <v>6356.3921801898996</v>
      </c>
      <c r="H29" s="5">
        <f t="shared" si="5"/>
        <v>-1.0446886480876882</v>
      </c>
      <c r="I29" s="6">
        <f t="shared" si="6"/>
        <v>-284.05857324784029</v>
      </c>
      <c r="J29" s="6">
        <f t="shared" si="11"/>
        <v>-3093.7558246702902</v>
      </c>
      <c r="K29" s="6">
        <f t="shared" si="11"/>
        <v>4312.2304298988911</v>
      </c>
      <c r="L29" s="5">
        <f t="shared" si="7"/>
        <v>-0.71743750130320139</v>
      </c>
      <c r="M29" s="6">
        <f t="shared" si="8"/>
        <v>1218.4746052286009</v>
      </c>
      <c r="N29" t="s">
        <v>24</v>
      </c>
    </row>
    <row r="30" spans="1:14" x14ac:dyDescent="0.25">
      <c r="A30" t="s">
        <v>42</v>
      </c>
      <c r="B30" s="6">
        <f t="shared" si="9"/>
        <v>-110898.496318538</v>
      </c>
      <c r="C30" s="6">
        <f t="shared" si="9"/>
        <v>56978.455524179306</v>
      </c>
      <c r="D30" s="5">
        <f t="shared" si="3"/>
        <v>-1.9463233128787996</v>
      </c>
      <c r="E30" s="6">
        <f t="shared" si="4"/>
        <v>-53920.040794358698</v>
      </c>
      <c r="F30" s="6">
        <f t="shared" si="10"/>
        <v>-29063.628096181299</v>
      </c>
      <c r="G30" s="6">
        <f t="shared" si="10"/>
        <v>20299.669874410101</v>
      </c>
      <c r="H30" s="5">
        <f t="shared" si="5"/>
        <v>-1.4317291008175015</v>
      </c>
      <c r="I30" s="6">
        <f t="shared" si="6"/>
        <v>-8763.9582217711977</v>
      </c>
      <c r="J30" s="6">
        <f t="shared" si="11"/>
        <v>-12270.0831571496</v>
      </c>
      <c r="K30" s="6">
        <f t="shared" si="11"/>
        <v>10039.370991663089</v>
      </c>
      <c r="L30" s="5">
        <f t="shared" si="7"/>
        <v>-1.2221964072588754</v>
      </c>
      <c r="M30" s="6">
        <f t="shared" si="8"/>
        <v>-2230.7121654865114</v>
      </c>
      <c r="N30" t="s">
        <v>24</v>
      </c>
    </row>
    <row r="32" spans="1:14" x14ac:dyDescent="0.25">
      <c r="A32" t="s">
        <v>13</v>
      </c>
      <c r="B32" t="s">
        <v>44</v>
      </c>
      <c r="C32" t="s">
        <v>45</v>
      </c>
      <c r="F32" t="s">
        <v>46</v>
      </c>
      <c r="G32" t="s">
        <v>47</v>
      </c>
      <c r="J32" t="s">
        <v>48</v>
      </c>
      <c r="K32" t="s">
        <v>49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topLeftCell="G1" workbookViewId="0">
      <selection activeCell="M16" sqref="M16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83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42</v>
      </c>
      <c r="B15" s="6">
        <v>-107282.405397856</v>
      </c>
      <c r="C15" s="6">
        <v>29019.631879031102</v>
      </c>
      <c r="D15" s="5">
        <v>-3.6968906375196302</v>
      </c>
      <c r="E15" s="6">
        <v>-78262.773518825401</v>
      </c>
      <c r="F15" s="6">
        <v>-20872.627605884099</v>
      </c>
      <c r="G15" s="6">
        <v>19127.9105073717</v>
      </c>
      <c r="H15" s="5">
        <v>-1.09121315670313</v>
      </c>
      <c r="I15" s="6">
        <v>-1744.7170985124201</v>
      </c>
      <c r="J15" s="6">
        <v>-8174.0890987246003</v>
      </c>
      <c r="K15" s="6">
        <v>14840.0221098601</v>
      </c>
      <c r="L15" s="5">
        <v>-0.55081380864611196</v>
      </c>
      <c r="M15" s="6">
        <v>6665.9330111355703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43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 t="shared" ref="B18:C21" si="0">B2-B$33</f>
        <v>-169783.383937301</v>
      </c>
      <c r="C18" s="6">
        <f t="shared" si="0"/>
        <v>94455.205551250809</v>
      </c>
      <c r="D18" s="5">
        <f>B18/C18</f>
        <v>-1.7975016087935733</v>
      </c>
      <c r="E18" s="6">
        <f>B18+C18</f>
        <v>-75328.178386050189</v>
      </c>
      <c r="F18" s="6">
        <f t="shared" ref="F18:G21" si="1">F2-F$33</f>
        <v>-44358.724472512797</v>
      </c>
      <c r="G18" s="6">
        <f t="shared" si="1"/>
        <v>32373.7561194788</v>
      </c>
      <c r="H18" s="5">
        <f>F18/G18</f>
        <v>-1.3702062963840895</v>
      </c>
      <c r="I18" s="6">
        <f>F18+G18</f>
        <v>-11984.968353033997</v>
      </c>
      <c r="J18" s="6">
        <f t="shared" ref="J18:K21" si="2">J2-J$33</f>
        <v>-18237.934782227901</v>
      </c>
      <c r="K18" s="6">
        <f t="shared" si="2"/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 t="shared" si="0"/>
        <v>-754774.02503940102</v>
      </c>
      <c r="C19" s="6">
        <f t="shared" si="0"/>
        <v>749149.81794569083</v>
      </c>
      <c r="D19" s="5">
        <f t="shared" ref="D19:D30" si="3">B19/C19</f>
        <v>-1.0075074530607679</v>
      </c>
      <c r="E19" s="6">
        <f t="shared" ref="E19:E30" si="4">B19+C19</f>
        <v>-5624.2070937101962</v>
      </c>
      <c r="F19" s="6">
        <f t="shared" si="1"/>
        <v>-118636.45174144401</v>
      </c>
      <c r="G19" s="6">
        <f t="shared" si="1"/>
        <v>118448.2573880096</v>
      </c>
      <c r="H19" s="5">
        <f t="shared" ref="H19:H30" si="5">F19/G19</f>
        <v>-1.0015888317615169</v>
      </c>
      <c r="I19" s="6">
        <f t="shared" ref="I19:I30" si="6">F19+G19</f>
        <v>-188.19435343440273</v>
      </c>
      <c r="J19" s="6">
        <f t="shared" si="2"/>
        <v>-35032.9534274822</v>
      </c>
      <c r="K19" s="6">
        <f t="shared" si="2"/>
        <v>35469.894501100818</v>
      </c>
      <c r="L19" s="5">
        <f t="shared" ref="L19:L30" si="7">J19/K19</f>
        <v>-0.98768135401121482</v>
      </c>
      <c r="M19" s="6">
        <f t="shared" ref="M19:M30" si="8">J19+K19</f>
        <v>436.94107361861825</v>
      </c>
      <c r="N19" t="s">
        <v>24</v>
      </c>
    </row>
    <row r="20" spans="1:14" x14ac:dyDescent="0.25">
      <c r="A20" t="s">
        <v>3</v>
      </c>
      <c r="B20" s="6">
        <f t="shared" si="0"/>
        <v>-85029.801215989501</v>
      </c>
      <c r="C20" s="6">
        <f t="shared" si="0"/>
        <v>87081.623661185804</v>
      </c>
      <c r="D20" s="5">
        <f t="shared" si="3"/>
        <v>-0.97643793995872807</v>
      </c>
      <c r="E20" s="6">
        <f t="shared" si="4"/>
        <v>2051.8224451963033</v>
      </c>
      <c r="F20" s="6">
        <f t="shared" si="1"/>
        <v>-26414.7890866241</v>
      </c>
      <c r="G20" s="6">
        <f t="shared" si="1"/>
        <v>43702.347237783397</v>
      </c>
      <c r="H20" s="5">
        <f t="shared" si="5"/>
        <v>-0.60442495097349991</v>
      </c>
      <c r="I20" s="6">
        <f t="shared" si="6"/>
        <v>17287.558151159297</v>
      </c>
      <c r="J20" s="6">
        <f t="shared" si="2"/>
        <v>-13669.170538766301</v>
      </c>
      <c r="K20" s="6">
        <f t="shared" si="2"/>
        <v>26983.396966656121</v>
      </c>
      <c r="L20" s="5">
        <f t="shared" si="7"/>
        <v>-0.50657708351759956</v>
      </c>
      <c r="M20" s="6">
        <f t="shared" si="8"/>
        <v>13314.22642788982</v>
      </c>
      <c r="N20" t="s">
        <v>24</v>
      </c>
    </row>
    <row r="21" spans="1:14" x14ac:dyDescent="0.25">
      <c r="A21" t="s">
        <v>4</v>
      </c>
      <c r="B21" s="6">
        <f t="shared" si="0"/>
        <v>-1464989.78716154</v>
      </c>
      <c r="C21" s="6">
        <f t="shared" si="0"/>
        <v>1470312.9361080937</v>
      </c>
      <c r="D21" s="5">
        <f t="shared" si="3"/>
        <v>-0.99637958096142165</v>
      </c>
      <c r="E21" s="6">
        <f t="shared" si="4"/>
        <v>5323.1489465537015</v>
      </c>
      <c r="F21" s="6">
        <f t="shared" si="1"/>
        <v>-244021.109044115</v>
      </c>
      <c r="G21" s="6">
        <f t="shared" si="1"/>
        <v>258097.0526906786</v>
      </c>
      <c r="H21" s="5">
        <f t="shared" si="5"/>
        <v>-0.94546259440074587</v>
      </c>
      <c r="I21" s="6">
        <f t="shared" si="6"/>
        <v>14075.943646563595</v>
      </c>
      <c r="J21" s="6">
        <f t="shared" si="2"/>
        <v>-77084.450851909904</v>
      </c>
      <c r="K21" s="6">
        <f t="shared" si="2"/>
        <v>86588.878581692814</v>
      </c>
      <c r="L21" s="5">
        <f t="shared" si="7"/>
        <v>-0.89023500609473882</v>
      </c>
      <c r="M21" s="6">
        <f t="shared" si="8"/>
        <v>9504.4277297829103</v>
      </c>
      <c r="N21" t="s">
        <v>24</v>
      </c>
    </row>
    <row r="22" spans="1:14" x14ac:dyDescent="0.25">
      <c r="A22" t="s">
        <v>6</v>
      </c>
      <c r="B22" s="6">
        <f t="shared" ref="B22:C30" si="9">B7-B$33</f>
        <v>-3727.1947617020901</v>
      </c>
      <c r="C22" s="6">
        <f t="shared" si="9"/>
        <v>4210.1375662191986</v>
      </c>
      <c r="D22" s="5">
        <f t="shared" si="3"/>
        <v>-0.88529049302519525</v>
      </c>
      <c r="E22" s="6">
        <f t="shared" si="4"/>
        <v>482.94280451710847</v>
      </c>
      <c r="F22" s="6">
        <f t="shared" ref="F22:G30" si="10">F7-F$33</f>
        <v>-879.19316191022494</v>
      </c>
      <c r="G22" s="6">
        <f t="shared" si="10"/>
        <v>3478.2184226562003</v>
      </c>
      <c r="H22" s="5">
        <f t="shared" si="5"/>
        <v>-0.25277111873808494</v>
      </c>
      <c r="I22" s="6">
        <f t="shared" si="6"/>
        <v>2599.0252607459752</v>
      </c>
      <c r="J22" s="6">
        <f t="shared" ref="J22:K30" si="11">J7-J$33</f>
        <v>-494.59745807002702</v>
      </c>
      <c r="K22" s="6">
        <f t="shared" si="11"/>
        <v>3059.4095348447208</v>
      </c>
      <c r="L22" s="5">
        <f t="shared" si="7"/>
        <v>-0.16166435138443475</v>
      </c>
      <c r="M22" s="6">
        <f t="shared" si="8"/>
        <v>2564.8120767746937</v>
      </c>
      <c r="N22" t="s">
        <v>24</v>
      </c>
    </row>
    <row r="23" spans="1:14" x14ac:dyDescent="0.25">
      <c r="A23" t="s">
        <v>5</v>
      </c>
      <c r="B23" s="6">
        <f t="shared" si="9"/>
        <v>-45921.597500000003</v>
      </c>
      <c r="C23" s="6">
        <f t="shared" si="9"/>
        <v>2325.9123850238011</v>
      </c>
      <c r="D23" s="5">
        <f t="shared" si="3"/>
        <v>-19.743476923585877</v>
      </c>
      <c r="E23" s="6">
        <f t="shared" si="4"/>
        <v>-43595.685114976201</v>
      </c>
      <c r="F23" s="6">
        <f t="shared" si="10"/>
        <v>-8674.7509489999993</v>
      </c>
      <c r="G23" s="6">
        <f t="shared" si="10"/>
        <v>971.27899051760141</v>
      </c>
      <c r="H23" s="5">
        <f t="shared" si="5"/>
        <v>-8.9312659222425506</v>
      </c>
      <c r="I23" s="6">
        <f t="shared" si="6"/>
        <v>-7703.4719584823979</v>
      </c>
      <c r="J23" s="6">
        <f t="shared" si="11"/>
        <v>-3198.9574539999999</v>
      </c>
      <c r="K23" s="6">
        <f t="shared" si="11"/>
        <v>642.36055491732077</v>
      </c>
      <c r="L23" s="5">
        <f t="shared" si="7"/>
        <v>-4.9800029430694774</v>
      </c>
      <c r="M23" s="6">
        <f t="shared" si="8"/>
        <v>-2556.5968990826791</v>
      </c>
      <c r="N23" t="s">
        <v>24</v>
      </c>
    </row>
    <row r="24" spans="1:14" x14ac:dyDescent="0.25">
      <c r="A24" t="s">
        <v>8</v>
      </c>
      <c r="B24" s="6">
        <f t="shared" si="9"/>
        <v>-107072.6366</v>
      </c>
      <c r="C24" s="6">
        <f t="shared" si="9"/>
        <v>14633.7175650238</v>
      </c>
      <c r="D24" s="5">
        <f t="shared" si="3"/>
        <v>-7.3168445491879259</v>
      </c>
      <c r="E24" s="6">
        <f t="shared" si="4"/>
        <v>-92438.919034976192</v>
      </c>
      <c r="F24" s="6">
        <f t="shared" si="10"/>
        <v>-21894.339179999999</v>
      </c>
      <c r="G24" s="6">
        <f t="shared" si="10"/>
        <v>6245.8449505176013</v>
      </c>
      <c r="H24" s="5">
        <f t="shared" si="5"/>
        <v>-3.5054247028955765</v>
      </c>
      <c r="I24" s="6">
        <f t="shared" si="6"/>
        <v>-15648.494229482398</v>
      </c>
      <c r="J24" s="6">
        <f t="shared" si="11"/>
        <v>-8514.542308</v>
      </c>
      <c r="K24" s="6">
        <f t="shared" si="11"/>
        <v>3467.4732449173207</v>
      </c>
      <c r="L24" s="5">
        <f t="shared" si="7"/>
        <v>-2.455546649272855</v>
      </c>
      <c r="M24" s="6">
        <f t="shared" si="8"/>
        <v>-5047.0690630826793</v>
      </c>
      <c r="N24" t="s">
        <v>24</v>
      </c>
    </row>
    <row r="25" spans="1:14" x14ac:dyDescent="0.25">
      <c r="A25" t="s">
        <v>7</v>
      </c>
      <c r="B25" s="6">
        <f t="shared" si="9"/>
        <v>-69242.862210000007</v>
      </c>
      <c r="C25" s="6">
        <f t="shared" si="9"/>
        <v>4826.4201050237989</v>
      </c>
      <c r="D25" s="5">
        <f t="shared" si="3"/>
        <v>-14.346629738659804</v>
      </c>
      <c r="E25" s="6">
        <f t="shared" si="4"/>
        <v>-64416.44210497621</v>
      </c>
      <c r="F25" s="6">
        <f t="shared" si="10"/>
        <v>-13872.35764</v>
      </c>
      <c r="G25" s="6">
        <f t="shared" si="10"/>
        <v>2045.0444705176014</v>
      </c>
      <c r="H25" s="5">
        <f t="shared" si="5"/>
        <v>-6.7834014565408944</v>
      </c>
      <c r="I25" s="6">
        <f t="shared" si="6"/>
        <v>-11827.313169482399</v>
      </c>
      <c r="J25" s="6">
        <f t="shared" si="11"/>
        <v>-5283.9158260000004</v>
      </c>
      <c r="K25" s="6">
        <f t="shared" si="11"/>
        <v>1126.6878249173205</v>
      </c>
      <c r="L25" s="5">
        <f t="shared" si="7"/>
        <v>-4.6897780460064427</v>
      </c>
      <c r="M25" s="6">
        <f t="shared" si="8"/>
        <v>-4157.2280010826798</v>
      </c>
      <c r="N25" t="s">
        <v>24</v>
      </c>
    </row>
    <row r="26" spans="1:14" x14ac:dyDescent="0.25">
      <c r="A26" t="s">
        <v>9</v>
      </c>
      <c r="B26" s="6">
        <f t="shared" si="9"/>
        <v>-81117.731169999999</v>
      </c>
      <c r="C26" s="6">
        <f t="shared" si="9"/>
        <v>7044.9094950238014</v>
      </c>
      <c r="D26" s="5">
        <f t="shared" si="3"/>
        <v>-11.514375199184293</v>
      </c>
      <c r="E26" s="6">
        <f t="shared" si="4"/>
        <v>-74072.821674976192</v>
      </c>
      <c r="F26" s="6">
        <f t="shared" si="10"/>
        <v>-15910.76873</v>
      </c>
      <c r="G26" s="6">
        <f t="shared" si="10"/>
        <v>2963.7267405176008</v>
      </c>
      <c r="H26" s="5">
        <f t="shared" si="5"/>
        <v>-5.3685005815418929</v>
      </c>
      <c r="I26" s="6">
        <f t="shared" si="6"/>
        <v>-12947.041989482399</v>
      </c>
      <c r="J26" s="6">
        <f t="shared" si="11"/>
        <v>-6110.8874349999996</v>
      </c>
      <c r="K26" s="6">
        <f t="shared" si="11"/>
        <v>1967.6849149173195</v>
      </c>
      <c r="L26" s="5">
        <f t="shared" si="7"/>
        <v>-3.1056229524719279</v>
      </c>
      <c r="M26" s="6">
        <f t="shared" si="8"/>
        <v>-4143.2025200826802</v>
      </c>
      <c r="N26" t="s">
        <v>24</v>
      </c>
    </row>
    <row r="27" spans="1:14" x14ac:dyDescent="0.25">
      <c r="A27" t="s">
        <v>10</v>
      </c>
      <c r="B27" s="6">
        <f t="shared" si="9"/>
        <v>-70006.101200000005</v>
      </c>
      <c r="C27" s="6">
        <f t="shared" si="9"/>
        <v>27911.243325023795</v>
      </c>
      <c r="D27" s="5">
        <f t="shared" si="3"/>
        <v>-2.5081684962860864</v>
      </c>
      <c r="E27" s="6">
        <f t="shared" si="4"/>
        <v>-42094.857874976209</v>
      </c>
      <c r="F27" s="6">
        <f t="shared" si="10"/>
        <v>-16549.278579999998</v>
      </c>
      <c r="G27" s="6">
        <f t="shared" si="10"/>
        <v>16349.5410105176</v>
      </c>
      <c r="H27" s="5">
        <f t="shared" si="5"/>
        <v>-1.0122167080625633</v>
      </c>
      <c r="I27" s="6">
        <f t="shared" si="6"/>
        <v>-199.73756948239861</v>
      </c>
      <c r="J27" s="6">
        <f t="shared" si="11"/>
        <v>-7773.9790499999999</v>
      </c>
      <c r="K27" s="6">
        <f t="shared" si="11"/>
        <v>11432.142664917319</v>
      </c>
      <c r="L27" s="5">
        <f t="shared" si="7"/>
        <v>-0.68001067497666889</v>
      </c>
      <c r="M27" s="6">
        <f t="shared" si="8"/>
        <v>3658.1636149173191</v>
      </c>
      <c r="N27" t="s">
        <v>24</v>
      </c>
    </row>
    <row r="28" spans="1:14" x14ac:dyDescent="0.25">
      <c r="A28" t="s">
        <v>11</v>
      </c>
      <c r="B28" s="6">
        <f t="shared" si="9"/>
        <v>-185026.90859979999</v>
      </c>
      <c r="C28" s="6">
        <f t="shared" si="9"/>
        <v>1207138.6077176137</v>
      </c>
      <c r="D28" s="5">
        <f t="shared" si="3"/>
        <v>-0.15327726858942731</v>
      </c>
      <c r="E28" s="6">
        <f t="shared" si="4"/>
        <v>1022111.6991178137</v>
      </c>
      <c r="F28" s="6">
        <f t="shared" si="10"/>
        <v>-50271.5769779783</v>
      </c>
      <c r="G28" s="6">
        <f t="shared" si="10"/>
        <v>302972.54611755058</v>
      </c>
      <c r="H28" s="5">
        <f t="shared" si="5"/>
        <v>-0.16592782950859641</v>
      </c>
      <c r="I28" s="6">
        <f t="shared" si="6"/>
        <v>252700.96913957229</v>
      </c>
      <c r="J28" s="6">
        <f t="shared" si="11"/>
        <v>-26217.887908184199</v>
      </c>
      <c r="K28" s="6">
        <f t="shared" si="11"/>
        <v>140555.13866259833</v>
      </c>
      <c r="L28" s="5">
        <f t="shared" si="7"/>
        <v>-0.18653098106302654</v>
      </c>
      <c r="M28" s="6">
        <f t="shared" si="8"/>
        <v>114337.25075441413</v>
      </c>
      <c r="N28" t="s">
        <v>24</v>
      </c>
    </row>
    <row r="29" spans="1:14" x14ac:dyDescent="0.25">
      <c r="A29" t="s">
        <v>12</v>
      </c>
      <c r="B29" s="6">
        <f t="shared" si="9"/>
        <v>-52677.846720000001</v>
      </c>
      <c r="C29" s="6">
        <f t="shared" si="9"/>
        <v>11419.991415023802</v>
      </c>
      <c r="D29" s="5">
        <f t="shared" si="3"/>
        <v>-4.6127746340245572</v>
      </c>
      <c r="E29" s="6">
        <f t="shared" si="4"/>
        <v>-41257.855304976198</v>
      </c>
      <c r="F29" s="6">
        <f t="shared" si="10"/>
        <v>-11192.743119999999</v>
      </c>
      <c r="G29" s="6">
        <f t="shared" si="10"/>
        <v>6387.5267705175993</v>
      </c>
      <c r="H29" s="5">
        <f t="shared" si="5"/>
        <v>-1.752281207127218</v>
      </c>
      <c r="I29" s="6">
        <f t="shared" si="6"/>
        <v>-4805.2163494823999</v>
      </c>
      <c r="J29" s="6">
        <f t="shared" si="11"/>
        <v>-4681.5643</v>
      </c>
      <c r="K29" s="6">
        <f t="shared" si="11"/>
        <v>4330.4415549173209</v>
      </c>
      <c r="L29" s="5">
        <f t="shared" si="7"/>
        <v>-1.0810824348117505</v>
      </c>
      <c r="M29" s="6">
        <f t="shared" si="8"/>
        <v>-351.1227450826791</v>
      </c>
      <c r="N29" t="s">
        <v>24</v>
      </c>
    </row>
    <row r="30" spans="1:14" x14ac:dyDescent="0.25">
      <c r="A30" t="s">
        <v>42</v>
      </c>
      <c r="B30" s="6">
        <f t="shared" si="9"/>
        <v>-107282.405397856</v>
      </c>
      <c r="C30" s="6">
        <f t="shared" si="9"/>
        <v>13903.174194054902</v>
      </c>
      <c r="D30" s="5">
        <f t="shared" si="3"/>
        <v>-7.716396550920777</v>
      </c>
      <c r="E30" s="6">
        <f t="shared" si="4"/>
        <v>-93379.2312038011</v>
      </c>
      <c r="F30" s="6">
        <f t="shared" si="10"/>
        <v>-20872.627605884099</v>
      </c>
      <c r="G30" s="6">
        <f t="shared" si="10"/>
        <v>7463.1232878893006</v>
      </c>
      <c r="H30" s="5">
        <f t="shared" si="5"/>
        <v>-2.796768430685705</v>
      </c>
      <c r="I30" s="6">
        <f t="shared" si="6"/>
        <v>-13409.504317994799</v>
      </c>
      <c r="J30" s="6">
        <f t="shared" si="11"/>
        <v>-8174.0890987246003</v>
      </c>
      <c r="K30" s="6">
        <f t="shared" si="11"/>
        <v>5052.2583347774198</v>
      </c>
      <c r="L30" s="5">
        <f t="shared" si="7"/>
        <v>-1.6179079843281043</v>
      </c>
      <c r="M30" s="6">
        <f t="shared" si="8"/>
        <v>-3121.8307639471805</v>
      </c>
      <c r="N30" t="s">
        <v>24</v>
      </c>
    </row>
    <row r="32" spans="1:14" x14ac:dyDescent="0.25">
      <c r="A32" t="s">
        <v>13</v>
      </c>
      <c r="B32" t="s">
        <v>44</v>
      </c>
      <c r="C32" t="s">
        <v>45</v>
      </c>
      <c r="F32" t="s">
        <v>46</v>
      </c>
      <c r="G32" t="s">
        <v>47</v>
      </c>
      <c r="J32" t="s">
        <v>48</v>
      </c>
      <c r="K32" t="s">
        <v>49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O132"/>
  <sheetViews>
    <sheetView zoomScale="70" zoomScaleNormal="70" workbookViewId="0">
      <selection activeCell="F83" sqref="F83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9.7109375" bestFit="1" customWidth="1"/>
    <col min="10" max="10" width="11.28515625" bestFit="1" customWidth="1"/>
    <col min="11" max="11" width="9.7109375" bestFit="1" customWidth="1"/>
    <col min="12" max="12" width="10.140625" bestFit="1" customWidth="1"/>
  </cols>
  <sheetData>
    <row r="1" spans="1:15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N1" s="7">
        <v>0.12</v>
      </c>
      <c r="O1" t="s">
        <v>84</v>
      </c>
    </row>
    <row r="2" spans="1:15" x14ac:dyDescent="0.25">
      <c r="A2" t="str">
        <f>Low!A18</f>
        <v>45Q-2040</v>
      </c>
      <c r="B2" t="s">
        <v>30</v>
      </c>
      <c r="C2" s="1">
        <f>-Low!F18/1000</f>
        <v>24.009774422884199</v>
      </c>
      <c r="D2" s="1">
        <f>Low!G18/1000</f>
        <v>19.507666627389298</v>
      </c>
      <c r="F2" s="1">
        <f>C2</f>
        <v>24.009774422884199</v>
      </c>
    </row>
    <row r="3" spans="1:15" x14ac:dyDescent="0.25">
      <c r="A3" t="str">
        <f>Low!A19</f>
        <v>45Q-2050</v>
      </c>
      <c r="B3" t="s">
        <v>30</v>
      </c>
      <c r="C3" s="1">
        <f>-Low!F19/1000</f>
        <v>48.914657028755293</v>
      </c>
      <c r="D3" s="1">
        <f>Low!G19/1000</f>
        <v>49.024106181054101</v>
      </c>
      <c r="F3" s="1">
        <f>C3</f>
        <v>48.914657028755293</v>
      </c>
    </row>
    <row r="4" spans="1:15" x14ac:dyDescent="0.25">
      <c r="A4" t="str">
        <f>Low!A20</f>
        <v>CDRIA-2035</v>
      </c>
      <c r="B4" t="s">
        <v>30</v>
      </c>
      <c r="C4" s="1">
        <f>-Low!F20/1000</f>
        <v>18.6341071918974</v>
      </c>
      <c r="D4" s="1">
        <f>Low!G20/1000</f>
        <v>30.778911794356603</v>
      </c>
      <c r="F4" s="1">
        <f>C4</f>
        <v>18.6341071918974</v>
      </c>
    </row>
    <row r="5" spans="1:15" x14ac:dyDescent="0.25">
      <c r="A5" t="str">
        <f>Low!A21</f>
        <v>CDRIA-2050</v>
      </c>
      <c r="B5" t="s">
        <v>30</v>
      </c>
      <c r="C5" s="1">
        <f>-Low!F21/1000</f>
        <v>107.357135510147</v>
      </c>
      <c r="D5" s="1">
        <f>Low!G21/1000</f>
        <v>123.20310413121541</v>
      </c>
      <c r="F5" s="1">
        <f>C5</f>
        <v>107.357135510147</v>
      </c>
    </row>
    <row r="6" spans="1:15" x14ac:dyDescent="0.25">
      <c r="A6" t="str">
        <f>Low!A22</f>
        <v>Innovation-DACHubs</v>
      </c>
      <c r="B6" t="s">
        <v>30</v>
      </c>
      <c r="C6" s="1">
        <f>-Low!F22/1000</f>
        <v>0.41248126069827401</v>
      </c>
      <c r="D6" s="1">
        <f>Low!G22/1000</f>
        <v>3.4180807765760002</v>
      </c>
      <c r="E6" s="1">
        <f>C6</f>
        <v>0.41248126069827401</v>
      </c>
    </row>
    <row r="7" spans="1:15" x14ac:dyDescent="0.25">
      <c r="A7" t="str">
        <f>Low!A23</f>
        <v>Innovation-maintain</v>
      </c>
      <c r="B7" t="s">
        <v>30</v>
      </c>
      <c r="C7" s="1">
        <f>-Low!F23/1000</f>
        <v>5.0253693987003301</v>
      </c>
      <c r="D7" s="1">
        <f>Low!G23/1000</f>
        <v>0.97928706998899906</v>
      </c>
      <c r="E7" s="1">
        <f>C7</f>
        <v>5.0253693987003301</v>
      </c>
    </row>
    <row r="8" spans="1:15" x14ac:dyDescent="0.25">
      <c r="A8" t="str">
        <f>Low!A24</f>
        <v>Innovation-rhodium18b</v>
      </c>
      <c r="B8" t="s">
        <v>30</v>
      </c>
      <c r="C8" s="1">
        <f>-Low!F24/1000</f>
        <v>12.921435586799699</v>
      </c>
      <c r="D8" s="1">
        <f>Low!G24/1000</f>
        <v>6.2991855513266</v>
      </c>
      <c r="E8" s="1">
        <f>C8</f>
        <v>12.921435586799699</v>
      </c>
    </row>
    <row r="9" spans="1:15" x14ac:dyDescent="0.25">
      <c r="A9" t="str">
        <f>Low!A25</f>
        <v>Innovation-rhodium6b</v>
      </c>
      <c r="B9" t="s">
        <v>30</v>
      </c>
      <c r="C9" s="1">
        <f>-Low!F25/1000</f>
        <v>8.0272493380455501</v>
      </c>
      <c r="D9" s="1">
        <f>Low!G25/1000</f>
        <v>2.0690140113137985</v>
      </c>
      <c r="E9" s="1">
        <f>C9</f>
        <v>8.0272493380455501</v>
      </c>
    </row>
    <row r="10" spans="1:15" x14ac:dyDescent="0.25">
      <c r="A10" t="str">
        <f>Low!A26</f>
        <v>Innovation-triple</v>
      </c>
      <c r="B10" t="s">
        <v>30</v>
      </c>
      <c r="C10" s="1">
        <f>-Low!F26/1000</f>
        <v>9.3501536406274504</v>
      </c>
      <c r="D10" s="1">
        <f>Low!G26/1000</f>
        <v>2.9827319463466995</v>
      </c>
      <c r="E10" s="1">
        <f>C10</f>
        <v>9.3501536406274504</v>
      </c>
    </row>
    <row r="11" spans="1:15" x14ac:dyDescent="0.25">
      <c r="A11" t="str">
        <f>Low!A27</f>
        <v>Procure3B</v>
      </c>
      <c r="B11" t="s">
        <v>30</v>
      </c>
      <c r="C11" s="1">
        <f>-Low!F27/1000</f>
        <v>10.7175437780061</v>
      </c>
      <c r="D11" s="1">
        <f>Low!G27/1000</f>
        <v>16.321083694048699</v>
      </c>
      <c r="G11" s="1">
        <f>C11</f>
        <v>10.7175437780061</v>
      </c>
    </row>
    <row r="12" spans="1:15" x14ac:dyDescent="0.25">
      <c r="A12" t="str">
        <f>Low!A28</f>
        <v>ProcureRhodium</v>
      </c>
      <c r="B12" t="s">
        <v>30</v>
      </c>
      <c r="C12" s="1">
        <f>-Low!F28/1000</f>
        <v>43.6877465457071</v>
      </c>
      <c r="D12" s="1">
        <f>Low!G28/1000</f>
        <v>297.38680981420038</v>
      </c>
      <c r="G12" s="1">
        <f>C12</f>
        <v>43.6877465457071</v>
      </c>
    </row>
    <row r="13" spans="1:15" x14ac:dyDescent="0.25">
      <c r="A13" t="str">
        <f>Low!A29</f>
        <v>ProcureScaling</v>
      </c>
      <c r="B13" t="s">
        <v>30</v>
      </c>
      <c r="C13" s="1">
        <f>-Low!F29/1000</f>
        <v>6.6404507534377402</v>
      </c>
      <c r="D13" s="1">
        <f>Low!G29/1000</f>
        <v>6.3563921801898999</v>
      </c>
      <c r="G13" s="1">
        <f>C13</f>
        <v>6.6404507534377402</v>
      </c>
    </row>
    <row r="14" spans="1:15" x14ac:dyDescent="0.25">
      <c r="A14" t="str">
        <f>Low!A30</f>
        <v>Optimal</v>
      </c>
      <c r="B14" t="s">
        <v>30</v>
      </c>
      <c r="C14" s="1">
        <f>-Low!F30/1000</f>
        <v>29.063628096181301</v>
      </c>
      <c r="D14" s="1">
        <f>Low!G30/1000</f>
        <v>20.2996698744101</v>
      </c>
      <c r="H14" s="1">
        <f>C14</f>
        <v>29.063628096181301</v>
      </c>
    </row>
    <row r="15" spans="1:15" x14ac:dyDescent="0.25">
      <c r="A15" t="str">
        <f>High!A18</f>
        <v>45Q-2040</v>
      </c>
      <c r="B15" t="s">
        <v>32</v>
      </c>
      <c r="C15" s="1">
        <f>-High!F18/1000</f>
        <v>44.358724472512797</v>
      </c>
      <c r="D15" s="1">
        <f>High!G18/1000</f>
        <v>32.373756119478799</v>
      </c>
      <c r="J15" s="1">
        <f>C15</f>
        <v>44.358724472512797</v>
      </c>
    </row>
    <row r="16" spans="1:15" x14ac:dyDescent="0.25">
      <c r="A16" t="str">
        <f>High!A19</f>
        <v>45Q-2050</v>
      </c>
      <c r="B16" t="s">
        <v>32</v>
      </c>
      <c r="C16" s="1">
        <f>-High!F19/1000</f>
        <v>118.63645174144401</v>
      </c>
      <c r="D16" s="1">
        <f>High!G19/1000</f>
        <v>118.44825738800961</v>
      </c>
      <c r="J16" s="1">
        <f>C16</f>
        <v>118.63645174144401</v>
      </c>
    </row>
    <row r="17" spans="1:14" x14ac:dyDescent="0.25">
      <c r="A17" t="str">
        <f>High!A20</f>
        <v>CDRIA-2035</v>
      </c>
      <c r="B17" t="s">
        <v>32</v>
      </c>
      <c r="C17" s="1">
        <f>-High!F20/1000</f>
        <v>26.414789086624101</v>
      </c>
      <c r="D17" s="1">
        <f>High!G20/1000</f>
        <v>43.7023472377834</v>
      </c>
      <c r="J17" s="1">
        <f>C17</f>
        <v>26.414789086624101</v>
      </c>
    </row>
    <row r="18" spans="1:14" x14ac:dyDescent="0.25">
      <c r="A18" t="str">
        <f>High!A21</f>
        <v>CDRIA-2050</v>
      </c>
      <c r="B18" t="s">
        <v>32</v>
      </c>
      <c r="C18" s="1">
        <f>-High!F21/1000</f>
        <v>244.02110904411501</v>
      </c>
      <c r="D18" s="1">
        <f>High!G21/1000</f>
        <v>258.09705269067859</v>
      </c>
      <c r="J18" s="1">
        <f>C18</f>
        <v>244.02110904411501</v>
      </c>
    </row>
    <row r="19" spans="1:14" x14ac:dyDescent="0.25">
      <c r="A19" t="str">
        <f>High!A22</f>
        <v>Innovation-DACHubs</v>
      </c>
      <c r="B19" t="s">
        <v>32</v>
      </c>
      <c r="C19" s="1">
        <f>-High!F22/1000</f>
        <v>0.8791931619102249</v>
      </c>
      <c r="D19" s="1">
        <f>High!G22/1000</f>
        <v>3.4782184226562003</v>
      </c>
      <c r="I19" s="1">
        <f>C19</f>
        <v>0.8791931619102249</v>
      </c>
    </row>
    <row r="20" spans="1:14" x14ac:dyDescent="0.25">
      <c r="A20" t="str">
        <f>High!A23</f>
        <v>Innovation-maintain</v>
      </c>
      <c r="B20" t="s">
        <v>32</v>
      </c>
      <c r="C20" s="1">
        <f>-High!F23/1000</f>
        <v>8.6747509489999999</v>
      </c>
      <c r="D20" s="1">
        <f>High!G23/1000</f>
        <v>0.97127899051760136</v>
      </c>
      <c r="I20" s="1">
        <f>C20</f>
        <v>8.6747509489999999</v>
      </c>
    </row>
    <row r="21" spans="1:14" x14ac:dyDescent="0.25">
      <c r="A21" t="str">
        <f>High!A24</f>
        <v>Innovation-rhodium18b</v>
      </c>
      <c r="B21" t="s">
        <v>32</v>
      </c>
      <c r="C21" s="1">
        <f>-High!F24/1000</f>
        <v>21.894339179999999</v>
      </c>
      <c r="D21" s="1">
        <f>High!G24/1000</f>
        <v>6.2458449505176015</v>
      </c>
      <c r="I21" s="1">
        <f>C21</f>
        <v>21.894339179999999</v>
      </c>
    </row>
    <row r="22" spans="1:14" x14ac:dyDescent="0.25">
      <c r="A22" t="str">
        <f>High!A25</f>
        <v>Innovation-rhodium6b</v>
      </c>
      <c r="B22" t="s">
        <v>32</v>
      </c>
      <c r="C22" s="1">
        <f>-High!F25/1000</f>
        <v>13.872357640000001</v>
      </c>
      <c r="D22" s="1">
        <f>High!G25/1000</f>
        <v>2.0450444705176016</v>
      </c>
      <c r="I22" s="1">
        <f>C22</f>
        <v>13.872357640000001</v>
      </c>
    </row>
    <row r="23" spans="1:14" x14ac:dyDescent="0.25">
      <c r="A23" t="str">
        <f>High!A26</f>
        <v>Innovation-triple</v>
      </c>
      <c r="B23" t="s">
        <v>32</v>
      </c>
      <c r="C23" s="1">
        <f>-High!F26/1000</f>
        <v>15.910768729999999</v>
      </c>
      <c r="D23" s="1">
        <f>High!G26/1000</f>
        <v>2.9637267405176009</v>
      </c>
      <c r="I23" s="1">
        <f>C23</f>
        <v>15.910768729999999</v>
      </c>
    </row>
    <row r="24" spans="1:14" x14ac:dyDescent="0.25">
      <c r="A24" t="str">
        <f>High!A27</f>
        <v>Procure3B</v>
      </c>
      <c r="B24" t="s">
        <v>32</v>
      </c>
      <c r="C24" s="1">
        <f>-High!F27/1000</f>
        <v>16.549278579999999</v>
      </c>
      <c r="D24" s="1">
        <f>High!G27/1000</f>
        <v>16.349541010517601</v>
      </c>
      <c r="K24" s="1">
        <f>C24</f>
        <v>16.549278579999999</v>
      </c>
    </row>
    <row r="25" spans="1:14" x14ac:dyDescent="0.25">
      <c r="A25" t="str">
        <f>High!A28</f>
        <v>ProcureRhodium</v>
      </c>
      <c r="B25" t="s">
        <v>32</v>
      </c>
      <c r="C25" s="1">
        <f>-High!F28/1000</f>
        <v>50.271576977978299</v>
      </c>
      <c r="D25" s="1">
        <f>High!G28/1000</f>
        <v>302.97254611755056</v>
      </c>
      <c r="K25" s="1">
        <f>C25</f>
        <v>50.271576977978299</v>
      </c>
    </row>
    <row r="26" spans="1:14" x14ac:dyDescent="0.25">
      <c r="A26" t="str">
        <f>High!A29</f>
        <v>ProcureScaling</v>
      </c>
      <c r="B26" t="s">
        <v>32</v>
      </c>
      <c r="C26" s="1">
        <f>-High!F29/1000</f>
        <v>11.192743119999999</v>
      </c>
      <c r="D26" s="1">
        <f>High!G29/1000</f>
        <v>6.3875267705175993</v>
      </c>
      <c r="K26" s="1">
        <f>C26</f>
        <v>11.192743119999999</v>
      </c>
    </row>
    <row r="27" spans="1:14" x14ac:dyDescent="0.25">
      <c r="A27" t="str">
        <f>High!A30</f>
        <v>Optimal</v>
      </c>
      <c r="B27" t="s">
        <v>32</v>
      </c>
      <c r="C27" s="1">
        <f>-High!F30/1000</f>
        <v>20.872627605884098</v>
      </c>
      <c r="D27" s="1">
        <f>High!G30/1000</f>
        <v>7.4631232878893004</v>
      </c>
      <c r="L27" s="1">
        <f>C27</f>
        <v>20.872627605884098</v>
      </c>
    </row>
    <row r="30" spans="1:14" x14ac:dyDescent="0.25">
      <c r="C30" s="1" t="s">
        <v>76</v>
      </c>
      <c r="D30" s="1"/>
    </row>
    <row r="31" spans="1:14" x14ac:dyDescent="0.25">
      <c r="A31" t="str">
        <f>Low!A32</f>
        <v>Low Baseline</v>
      </c>
      <c r="B31" t="s">
        <v>28</v>
      </c>
      <c r="C31" t="s">
        <v>36</v>
      </c>
      <c r="D31" t="s">
        <v>37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  <c r="K31" t="s">
        <v>74</v>
      </c>
      <c r="L31" t="s">
        <v>75</v>
      </c>
      <c r="N31" s="7">
        <v>0.02</v>
      </c>
    </row>
    <row r="32" spans="1:14" x14ac:dyDescent="0.25">
      <c r="A32" t="str">
        <f>A2</f>
        <v>45Q-2040</v>
      </c>
      <c r="B32" t="s">
        <v>30</v>
      </c>
      <c r="C32" s="1">
        <f>-Low!B18/1000</f>
        <v>87.041623714157296</v>
      </c>
      <c r="D32" s="1">
        <f>Low!C18/1000</f>
        <v>55.215053146678599</v>
      </c>
      <c r="F32" s="1">
        <f>C32</f>
        <v>87.041623714157296</v>
      </c>
    </row>
    <row r="33" spans="1:10" x14ac:dyDescent="0.25">
      <c r="A33" t="str">
        <f t="shared" ref="A33:A57" si="0">A3</f>
        <v>45Q-2050</v>
      </c>
      <c r="B33" t="s">
        <v>30</v>
      </c>
      <c r="C33" s="1">
        <f>-Low!B19/1000</f>
        <v>277.18941464709002</v>
      </c>
      <c r="D33" s="1">
        <f>Low!C19/1000</f>
        <v>272.17378966586114</v>
      </c>
      <c r="F33" s="1">
        <f>C33</f>
        <v>277.18941464709002</v>
      </c>
    </row>
    <row r="34" spans="1:10" x14ac:dyDescent="0.25">
      <c r="A34" t="str">
        <f t="shared" si="0"/>
        <v>CDRIA-2035</v>
      </c>
      <c r="B34" t="s">
        <v>30</v>
      </c>
      <c r="C34" s="1">
        <f>-Low!B20/1000</f>
        <v>52.7127567252818</v>
      </c>
      <c r="D34" s="1">
        <f>Low!C20/1000</f>
        <v>60.824649079375007</v>
      </c>
      <c r="F34" s="1">
        <f>C34</f>
        <v>52.7127567252818</v>
      </c>
    </row>
    <row r="35" spans="1:10" x14ac:dyDescent="0.25">
      <c r="A35" t="str">
        <f t="shared" si="0"/>
        <v>CDRIA-2050</v>
      </c>
      <c r="B35" t="s">
        <v>30</v>
      </c>
      <c r="C35" s="1">
        <f>-Low!B21/1000</f>
        <v>568.35747058677691</v>
      </c>
      <c r="D35" s="1">
        <f>Low!C21/1000</f>
        <v>630.34279779581107</v>
      </c>
      <c r="F35" s="1">
        <f>C35</f>
        <v>568.35747058677691</v>
      </c>
    </row>
    <row r="36" spans="1:10" x14ac:dyDescent="0.25">
      <c r="A36" t="str">
        <f t="shared" si="0"/>
        <v>Innovation-DACHubs</v>
      </c>
      <c r="B36" t="s">
        <v>30</v>
      </c>
      <c r="C36" s="1">
        <f>-Low!B22/1000</f>
        <v>0.62911242305952997</v>
      </c>
      <c r="D36" s="1">
        <f>Low!C22/1000</f>
        <v>4.1262415688571004</v>
      </c>
      <c r="E36" s="1">
        <f>C36</f>
        <v>0.62911242305952997</v>
      </c>
    </row>
    <row r="37" spans="1:10" x14ac:dyDescent="0.25">
      <c r="A37" t="str">
        <f t="shared" si="0"/>
        <v>Innovation-maintain</v>
      </c>
      <c r="B37" t="s">
        <v>30</v>
      </c>
      <c r="C37" s="1">
        <f>-Low!B23/1000</f>
        <v>24.1876785360786</v>
      </c>
      <c r="D37" s="1">
        <f>Low!C23/1000</f>
        <v>2.3370840578976004</v>
      </c>
      <c r="E37" s="1">
        <f>C37</f>
        <v>24.1876785360786</v>
      </c>
    </row>
    <row r="38" spans="1:10" x14ac:dyDescent="0.25">
      <c r="A38" t="str">
        <f t="shared" si="0"/>
        <v>Innovation-rhodium18b</v>
      </c>
      <c r="B38" t="s">
        <v>30</v>
      </c>
      <c r="C38" s="1">
        <f>-Low!B24/1000</f>
        <v>58.217953069988795</v>
      </c>
      <c r="D38" s="1">
        <f>Low!C24/1000</f>
        <v>14.708132878070801</v>
      </c>
      <c r="E38" s="1">
        <f>C38</f>
        <v>58.217953069988795</v>
      </c>
    </row>
    <row r="39" spans="1:10" x14ac:dyDescent="0.25">
      <c r="A39" t="str">
        <f t="shared" si="0"/>
        <v>Innovation-rhodium6b</v>
      </c>
      <c r="B39" t="s">
        <v>30</v>
      </c>
      <c r="C39" s="1">
        <f>-Low!B25/1000</f>
        <v>36.532335702793603</v>
      </c>
      <c r="D39" s="1">
        <f>Low!C25/1000</f>
        <v>4.8598610157378985</v>
      </c>
      <c r="E39" s="1">
        <f>C39</f>
        <v>36.532335702793603</v>
      </c>
    </row>
    <row r="40" spans="1:10" x14ac:dyDescent="0.25">
      <c r="A40" t="str">
        <f t="shared" si="0"/>
        <v>Innovation-triple</v>
      </c>
      <c r="B40" t="s">
        <v>30</v>
      </c>
      <c r="C40" s="1">
        <f>-Low!B26/1000</f>
        <v>43.040120277630102</v>
      </c>
      <c r="D40" s="1">
        <f>Low!C26/1000</f>
        <v>7.0714240773678014</v>
      </c>
      <c r="E40" s="1">
        <f>C40</f>
        <v>43.040120277630102</v>
      </c>
    </row>
    <row r="41" spans="1:10" x14ac:dyDescent="0.25">
      <c r="A41" t="str">
        <f t="shared" si="0"/>
        <v>Procure3B</v>
      </c>
      <c r="B41" t="s">
        <v>30</v>
      </c>
      <c r="C41" s="1">
        <f>-Low!B27/1000</f>
        <v>38.255645925858296</v>
      </c>
      <c r="D41" s="1">
        <f>Low!C27/1000</f>
        <v>27.844316551196702</v>
      </c>
      <c r="G41" s="1">
        <f>C41</f>
        <v>38.255645925858296</v>
      </c>
    </row>
    <row r="42" spans="1:10" x14ac:dyDescent="0.25">
      <c r="A42" t="str">
        <f t="shared" si="0"/>
        <v>ProcureRhodium</v>
      </c>
      <c r="B42" t="s">
        <v>30</v>
      </c>
      <c r="C42" s="1">
        <f>-Low!B28/1000</f>
        <v>118.894246448717</v>
      </c>
      <c r="D42" s="1">
        <f>Low!C28/1000</f>
        <v>1176.2483637984021</v>
      </c>
      <c r="G42" s="1">
        <f>C42</f>
        <v>118.894246448717</v>
      </c>
    </row>
    <row r="43" spans="1:10" x14ac:dyDescent="0.25">
      <c r="A43" t="str">
        <f t="shared" si="0"/>
        <v>ProcureScaling</v>
      </c>
      <c r="B43" t="s">
        <v>30</v>
      </c>
      <c r="C43" s="1">
        <f>-Low!B29/1000</f>
        <v>27.8477754083363</v>
      </c>
      <c r="D43" s="1">
        <f>Low!C29/1000</f>
        <v>11.354460030213499</v>
      </c>
      <c r="G43" s="1">
        <f>C43</f>
        <v>27.8477754083363</v>
      </c>
    </row>
    <row r="44" spans="1:10" x14ac:dyDescent="0.25">
      <c r="A44" t="str">
        <f t="shared" si="0"/>
        <v>Optimal</v>
      </c>
      <c r="B44" t="s">
        <v>30</v>
      </c>
      <c r="C44" s="1">
        <f>-Low!B30/1000</f>
        <v>110.89849631853801</v>
      </c>
      <c r="D44" s="1">
        <f>Low!C30/1000</f>
        <v>56.978455524179303</v>
      </c>
      <c r="H44" s="1">
        <f>C44</f>
        <v>110.89849631853801</v>
      </c>
    </row>
    <row r="45" spans="1:10" x14ac:dyDescent="0.25">
      <c r="A45" t="str">
        <f t="shared" si="0"/>
        <v>45Q-2040</v>
      </c>
      <c r="B45" t="s">
        <v>32</v>
      </c>
      <c r="C45" s="1">
        <f>-High!B18/1000</f>
        <v>169.78338393730101</v>
      </c>
      <c r="D45" s="1">
        <f>High!C18/1000</f>
        <v>94.455205551250813</v>
      </c>
      <c r="J45" s="1">
        <f>C45</f>
        <v>169.78338393730101</v>
      </c>
    </row>
    <row r="46" spans="1:10" x14ac:dyDescent="0.25">
      <c r="A46" t="str">
        <f t="shared" si="0"/>
        <v>45Q-2050</v>
      </c>
      <c r="B46" t="s">
        <v>32</v>
      </c>
      <c r="C46" s="1">
        <f>-High!B19/1000</f>
        <v>754.77402503940107</v>
      </c>
      <c r="D46" s="1">
        <f>High!C19/1000</f>
        <v>749.14981794569087</v>
      </c>
      <c r="J46" s="1">
        <f>C46</f>
        <v>754.77402503940107</v>
      </c>
    </row>
    <row r="47" spans="1:10" x14ac:dyDescent="0.25">
      <c r="A47" t="str">
        <f t="shared" si="0"/>
        <v>CDRIA-2035</v>
      </c>
      <c r="B47" t="s">
        <v>32</v>
      </c>
      <c r="C47" s="1">
        <f>-High!B20/1000</f>
        <v>85.029801215989494</v>
      </c>
      <c r="D47" s="1">
        <f>High!C20/1000</f>
        <v>87.081623661185802</v>
      </c>
      <c r="J47" s="1">
        <f>C47</f>
        <v>85.029801215989494</v>
      </c>
    </row>
    <row r="48" spans="1:10" x14ac:dyDescent="0.25">
      <c r="A48" t="str">
        <f t="shared" si="0"/>
        <v>CDRIA-2050</v>
      </c>
      <c r="B48" t="s">
        <v>32</v>
      </c>
      <c r="C48" s="1">
        <f>-High!B21/1000</f>
        <v>1464.9897871615401</v>
      </c>
      <c r="D48" s="1">
        <f>High!C21/1000</f>
        <v>1470.3129361080937</v>
      </c>
      <c r="J48" s="1">
        <f>C48</f>
        <v>1464.9897871615401</v>
      </c>
    </row>
    <row r="49" spans="1:12" x14ac:dyDescent="0.25">
      <c r="A49" t="str">
        <f t="shared" si="0"/>
        <v>Innovation-DACHubs</v>
      </c>
      <c r="B49" t="s">
        <v>32</v>
      </c>
      <c r="C49" s="1">
        <f>-High!B22/1000</f>
        <v>3.7271947617020902</v>
      </c>
      <c r="D49" s="1">
        <f>High!C22/1000</f>
        <v>4.2101375662191982</v>
      </c>
      <c r="I49" s="1">
        <f>C49</f>
        <v>3.7271947617020902</v>
      </c>
    </row>
    <row r="50" spans="1:12" x14ac:dyDescent="0.25">
      <c r="A50" t="str">
        <f t="shared" si="0"/>
        <v>Innovation-maintain</v>
      </c>
      <c r="B50" t="s">
        <v>32</v>
      </c>
      <c r="C50" s="1">
        <f>-High!B23/1000</f>
        <v>45.921597500000004</v>
      </c>
      <c r="D50" s="1">
        <f>High!C23/1000</f>
        <v>2.325912385023801</v>
      </c>
      <c r="I50" s="1">
        <f>C50</f>
        <v>45.921597500000004</v>
      </c>
    </row>
    <row r="51" spans="1:12" x14ac:dyDescent="0.25">
      <c r="A51" t="str">
        <f t="shared" si="0"/>
        <v>Innovation-rhodium18b</v>
      </c>
      <c r="B51" t="s">
        <v>32</v>
      </c>
      <c r="C51" s="1">
        <f>-High!B24/1000</f>
        <v>107.0726366</v>
      </c>
      <c r="D51" s="1">
        <f>High!C24/1000</f>
        <v>14.633717565023801</v>
      </c>
      <c r="I51" s="1">
        <f>C51</f>
        <v>107.0726366</v>
      </c>
    </row>
    <row r="52" spans="1:12" x14ac:dyDescent="0.25">
      <c r="A52" t="str">
        <f t="shared" si="0"/>
        <v>Innovation-rhodium6b</v>
      </c>
      <c r="B52" t="s">
        <v>32</v>
      </c>
      <c r="C52" s="1">
        <f>-High!B25/1000</f>
        <v>69.242862210000013</v>
      </c>
      <c r="D52" s="1">
        <f>High!C25/1000</f>
        <v>4.8264201050237991</v>
      </c>
      <c r="I52" s="1">
        <f>C52</f>
        <v>69.242862210000013</v>
      </c>
    </row>
    <row r="53" spans="1:12" x14ac:dyDescent="0.25">
      <c r="A53" t="str">
        <f t="shared" si="0"/>
        <v>Innovation-triple</v>
      </c>
      <c r="B53" t="s">
        <v>32</v>
      </c>
      <c r="C53" s="1">
        <f>-High!B26/1000</f>
        <v>81.117731169999999</v>
      </c>
      <c r="D53" s="1">
        <f>High!C26/1000</f>
        <v>7.0449094950238011</v>
      </c>
      <c r="I53" s="1">
        <f>C53</f>
        <v>81.117731169999999</v>
      </c>
    </row>
    <row r="54" spans="1:12" x14ac:dyDescent="0.25">
      <c r="A54" t="str">
        <f t="shared" si="0"/>
        <v>Procure3B</v>
      </c>
      <c r="B54" t="s">
        <v>32</v>
      </c>
      <c r="C54" s="1">
        <f>-High!B27/1000</f>
        <v>70.006101200000003</v>
      </c>
      <c r="D54" s="1">
        <f>High!C27/1000</f>
        <v>27.911243325023797</v>
      </c>
      <c r="K54" s="1">
        <f>C54</f>
        <v>70.006101200000003</v>
      </c>
    </row>
    <row r="55" spans="1:12" x14ac:dyDescent="0.25">
      <c r="A55" t="str">
        <f t="shared" si="0"/>
        <v>ProcureRhodium</v>
      </c>
      <c r="B55" t="s">
        <v>32</v>
      </c>
      <c r="C55" s="1">
        <f>-High!B28/1000</f>
        <v>185.02690859979998</v>
      </c>
      <c r="D55" s="1">
        <f>High!C28/1000</f>
        <v>1207.1386077176137</v>
      </c>
      <c r="K55" s="1">
        <f>C55</f>
        <v>185.02690859979998</v>
      </c>
    </row>
    <row r="56" spans="1:12" x14ac:dyDescent="0.25">
      <c r="A56" t="str">
        <f t="shared" si="0"/>
        <v>ProcureScaling</v>
      </c>
      <c r="B56" t="s">
        <v>32</v>
      </c>
      <c r="C56" s="1">
        <f>-High!B29/1000</f>
        <v>52.677846719999998</v>
      </c>
      <c r="D56" s="1">
        <f>High!C29/1000</f>
        <v>11.419991415023802</v>
      </c>
      <c r="K56" s="1">
        <f>C56</f>
        <v>52.677846719999998</v>
      </c>
    </row>
    <row r="57" spans="1:12" x14ac:dyDescent="0.25">
      <c r="A57" t="str">
        <f t="shared" si="0"/>
        <v>Optimal</v>
      </c>
      <c r="B57" t="s">
        <v>32</v>
      </c>
      <c r="C57" s="1">
        <f>-High!B30/1000</f>
        <v>107.282405397856</v>
      </c>
      <c r="D57" s="1">
        <f>High!C30/1000</f>
        <v>13.903174194054902</v>
      </c>
      <c r="L57" s="1">
        <f>C57</f>
        <v>107.282405397856</v>
      </c>
    </row>
    <row r="58" spans="1:12" x14ac:dyDescent="0.25">
      <c r="C58" s="1"/>
    </row>
    <row r="59" spans="1:12" x14ac:dyDescent="0.25">
      <c r="C59" s="1"/>
    </row>
    <row r="60" spans="1:12" x14ac:dyDescent="0.25">
      <c r="C60" s="1"/>
    </row>
    <row r="61" spans="1:12" x14ac:dyDescent="0.25">
      <c r="C61" s="1"/>
    </row>
    <row r="62" spans="1:12" x14ac:dyDescent="0.25">
      <c r="C62" s="1"/>
    </row>
    <row r="63" spans="1:12" x14ac:dyDescent="0.25">
      <c r="C63" s="1"/>
    </row>
    <row r="64" spans="1:12" x14ac:dyDescent="0.25">
      <c r="C64" s="1"/>
    </row>
    <row r="65" spans="1:14" x14ac:dyDescent="0.25">
      <c r="C65" s="1"/>
    </row>
    <row r="66" spans="1:14" x14ac:dyDescent="0.25">
      <c r="A66">
        <f>Low!A69</f>
        <v>0</v>
      </c>
      <c r="B66" t="s">
        <v>28</v>
      </c>
      <c r="C66" t="s">
        <v>19</v>
      </c>
      <c r="D66" t="s">
        <v>20</v>
      </c>
      <c r="E66" t="s">
        <v>68</v>
      </c>
      <c r="F66" t="s">
        <v>69</v>
      </c>
      <c r="G66" t="s">
        <v>70</v>
      </c>
      <c r="H66" t="s">
        <v>71</v>
      </c>
      <c r="I66" t="s">
        <v>72</v>
      </c>
      <c r="J66" t="s">
        <v>73</v>
      </c>
      <c r="K66" t="s">
        <v>74</v>
      </c>
      <c r="L66" t="s">
        <v>75</v>
      </c>
      <c r="N66" s="7">
        <v>0.2</v>
      </c>
    </row>
    <row r="67" spans="1:14" x14ac:dyDescent="0.25">
      <c r="A67" t="str">
        <f>A32</f>
        <v>45Q-2040</v>
      </c>
      <c r="B67" t="s">
        <v>30</v>
      </c>
      <c r="C67" s="1">
        <f>-Low!J18/1000</f>
        <v>10.209740402372299</v>
      </c>
      <c r="D67" s="1">
        <f>Low!K18/1000</f>
        <v>9.476218021083989</v>
      </c>
      <c r="F67" s="1">
        <f>C67</f>
        <v>10.209740402372299</v>
      </c>
    </row>
    <row r="68" spans="1:14" x14ac:dyDescent="0.25">
      <c r="A68" t="str">
        <f t="shared" ref="A68:A92" si="1">A33</f>
        <v>45Q-2050</v>
      </c>
      <c r="B68" t="s">
        <v>30</v>
      </c>
      <c r="C68" s="1">
        <f>-Low!J19/1000</f>
        <v>15.9803982211468</v>
      </c>
      <c r="D68" s="1">
        <f>Low!K19/1000</f>
        <v>16.568117338946593</v>
      </c>
      <c r="F68" s="1">
        <f>C68</f>
        <v>15.9803982211468</v>
      </c>
    </row>
    <row r="69" spans="1:14" x14ac:dyDescent="0.25">
      <c r="A69" t="str">
        <f t="shared" si="1"/>
        <v>CDRIA-2035</v>
      </c>
      <c r="B69" t="s">
        <v>30</v>
      </c>
      <c r="C69" s="1">
        <f>-Low!J20/1000</f>
        <v>10.131117210587</v>
      </c>
      <c r="D69" s="1">
        <f>Low!K20/1000</f>
        <v>19.137170013317693</v>
      </c>
      <c r="F69" s="1">
        <f>C69</f>
        <v>10.131117210587</v>
      </c>
    </row>
    <row r="70" spans="1:14" x14ac:dyDescent="0.25">
      <c r="A70" t="str">
        <f t="shared" si="1"/>
        <v>CDRIA-2050</v>
      </c>
      <c r="B70" t="s">
        <v>30</v>
      </c>
      <c r="C70" s="1">
        <f>-Low!J21/1000</f>
        <v>37.918655503970797</v>
      </c>
      <c r="D70" s="1">
        <f>Low!K21/1000</f>
        <v>45.651924713912997</v>
      </c>
      <c r="F70" s="1">
        <f>C70</f>
        <v>37.918655503970797</v>
      </c>
    </row>
    <row r="71" spans="1:14" x14ac:dyDescent="0.25">
      <c r="A71" t="str">
        <f t="shared" si="1"/>
        <v>Innovation-DACHubs</v>
      </c>
      <c r="B71" t="s">
        <v>30</v>
      </c>
      <c r="C71" s="1">
        <f>-Low!J22/1000</f>
        <v>0.33561574049935</v>
      </c>
      <c r="D71" s="1">
        <f>Low!K22/1000</f>
        <v>3.0119272354747899</v>
      </c>
      <c r="E71" s="1">
        <f>C71</f>
        <v>0.33561574049935</v>
      </c>
    </row>
    <row r="72" spans="1:14" x14ac:dyDescent="0.25">
      <c r="A72" t="str">
        <f t="shared" si="1"/>
        <v>Innovation-maintain</v>
      </c>
      <c r="B72" t="s">
        <v>30</v>
      </c>
      <c r="C72" s="1">
        <f>-Low!J23/1000</f>
        <v>2.03674772368365</v>
      </c>
      <c r="D72" s="1">
        <f>Low!K23/1000</f>
        <v>0.64868348327826975</v>
      </c>
      <c r="E72" s="1">
        <f>C72</f>
        <v>2.03674772368365</v>
      </c>
    </row>
    <row r="73" spans="1:14" x14ac:dyDescent="0.25">
      <c r="A73" t="str">
        <f t="shared" si="1"/>
        <v>Innovation-rhodium18b</v>
      </c>
      <c r="B73" t="s">
        <v>30</v>
      </c>
      <c r="C73" s="1">
        <f>-Low!J24/1000</f>
        <v>5.3638813822450304</v>
      </c>
      <c r="D73" s="1">
        <f>Low!K24/1000</f>
        <v>3.5095880533935908</v>
      </c>
      <c r="E73" s="1">
        <f>C73</f>
        <v>5.3638813822450304</v>
      </c>
    </row>
    <row r="74" spans="1:14" x14ac:dyDescent="0.25">
      <c r="A74" t="str">
        <f t="shared" si="1"/>
        <v>Innovation-rhodium6b</v>
      </c>
      <c r="B74" t="s">
        <v>30</v>
      </c>
      <c r="C74" s="1">
        <f>-Low!J25/1000</f>
        <v>3.2927796969207503</v>
      </c>
      <c r="D74" s="1">
        <f>Low!K25/1000</f>
        <v>1.1456123160236911</v>
      </c>
      <c r="E74" s="1">
        <f>C74</f>
        <v>3.2927796969207503</v>
      </c>
    </row>
    <row r="75" spans="1:14" x14ac:dyDescent="0.25">
      <c r="A75" t="str">
        <f t="shared" si="1"/>
        <v>Innovation-triple</v>
      </c>
      <c r="B75" t="s">
        <v>30</v>
      </c>
      <c r="C75" s="1">
        <f>-Low!J26/1000</f>
        <v>3.94821129977616</v>
      </c>
      <c r="D75" s="1">
        <f>Low!K26/1000</f>
        <v>1.9826901417550908</v>
      </c>
      <c r="E75" s="1">
        <f>C75</f>
        <v>3.94821129977616</v>
      </c>
    </row>
    <row r="76" spans="1:14" x14ac:dyDescent="0.25">
      <c r="A76" t="str">
        <f t="shared" si="1"/>
        <v>Procure3B</v>
      </c>
      <c r="B76" t="s">
        <v>30</v>
      </c>
      <c r="C76" s="1">
        <f>-Low!J27/1000</f>
        <v>5.7158742587877693</v>
      </c>
      <c r="D76" s="1">
        <f>Low!K27/1000</f>
        <v>11.417559116321593</v>
      </c>
      <c r="G76" s="1">
        <f>C76</f>
        <v>5.7158742587877693</v>
      </c>
    </row>
    <row r="77" spans="1:14" x14ac:dyDescent="0.25">
      <c r="A77" t="str">
        <f t="shared" si="1"/>
        <v>ProcureRhodium</v>
      </c>
      <c r="B77" t="s">
        <v>30</v>
      </c>
      <c r="C77" s="1">
        <f>-Low!J28/1000</f>
        <v>25.574064566239599</v>
      </c>
      <c r="D77" s="1">
        <f>Low!K28/1000</f>
        <v>138.93530596719577</v>
      </c>
      <c r="G77" s="1">
        <f>C77</f>
        <v>25.574064566239599</v>
      </c>
    </row>
    <row r="78" spans="1:14" x14ac:dyDescent="0.25">
      <c r="A78" t="str">
        <f t="shared" si="1"/>
        <v>ProcureScaling</v>
      </c>
      <c r="B78" t="s">
        <v>30</v>
      </c>
      <c r="C78" s="1">
        <f>-Low!J29/1000</f>
        <v>3.0937558246702901</v>
      </c>
      <c r="D78" s="1">
        <f>Low!K29/1000</f>
        <v>4.3122304298988912</v>
      </c>
      <c r="G78" s="1">
        <f>C78</f>
        <v>3.0937558246702901</v>
      </c>
    </row>
    <row r="79" spans="1:14" x14ac:dyDescent="0.25">
      <c r="A79" t="str">
        <f t="shared" si="1"/>
        <v>Optimal</v>
      </c>
      <c r="B79" t="s">
        <v>30</v>
      </c>
      <c r="C79" s="1">
        <f>-Low!J30/1000</f>
        <v>12.2700831571496</v>
      </c>
      <c r="D79" s="1">
        <f>Low!K30/1000</f>
        <v>10.039370991663089</v>
      </c>
      <c r="H79" s="1">
        <f>C79</f>
        <v>12.2700831571496</v>
      </c>
    </row>
    <row r="80" spans="1:14" x14ac:dyDescent="0.25">
      <c r="A80" t="str">
        <f t="shared" si="1"/>
        <v>45Q-2040</v>
      </c>
      <c r="B80" t="s">
        <v>32</v>
      </c>
      <c r="C80" s="1">
        <f>-High!J18/1000</f>
        <v>18.237934782227903</v>
      </c>
      <c r="D80" s="1">
        <f>High!K18/1000</f>
        <v>15.35711737145612</v>
      </c>
      <c r="J80" s="1">
        <f>C80</f>
        <v>18.237934782227903</v>
      </c>
    </row>
    <row r="81" spans="1:12" x14ac:dyDescent="0.25">
      <c r="A81" t="str">
        <f t="shared" si="1"/>
        <v>45Q-2050</v>
      </c>
      <c r="B81" t="s">
        <v>32</v>
      </c>
      <c r="C81" s="1">
        <f>-High!J19/1000</f>
        <v>35.032953427482198</v>
      </c>
      <c r="D81" s="1">
        <f>High!K19/1000</f>
        <v>35.469894501100818</v>
      </c>
      <c r="J81" s="1">
        <f>C81</f>
        <v>35.032953427482198</v>
      </c>
    </row>
    <row r="82" spans="1:12" x14ac:dyDescent="0.25">
      <c r="A82" t="str">
        <f t="shared" si="1"/>
        <v>CDRIA-2035</v>
      </c>
      <c r="B82" t="s">
        <v>32</v>
      </c>
      <c r="C82" s="1">
        <f>-High!J20/1000</f>
        <v>13.6691705387663</v>
      </c>
      <c r="D82" s="1">
        <f>High!K20/1000</f>
        <v>26.98339696665612</v>
      </c>
      <c r="J82" s="1">
        <f>C82</f>
        <v>13.6691705387663</v>
      </c>
    </row>
    <row r="83" spans="1:12" x14ac:dyDescent="0.25">
      <c r="A83" t="str">
        <f t="shared" si="1"/>
        <v>CDRIA-2050</v>
      </c>
      <c r="B83" t="s">
        <v>32</v>
      </c>
      <c r="C83" s="1">
        <f>-High!J21/1000</f>
        <v>77.084450851909907</v>
      </c>
      <c r="D83" s="1">
        <f>High!K21/1000</f>
        <v>86.588878581692811</v>
      </c>
      <c r="J83" s="1">
        <f>C83</f>
        <v>77.084450851909907</v>
      </c>
    </row>
    <row r="84" spans="1:12" x14ac:dyDescent="0.25">
      <c r="A84" t="str">
        <f t="shared" si="1"/>
        <v>Innovation-DACHubs</v>
      </c>
      <c r="B84" t="s">
        <v>32</v>
      </c>
      <c r="C84" s="1">
        <f>-High!J22/1000</f>
        <v>0.49459745807002703</v>
      </c>
      <c r="D84" s="1">
        <f>High!K22/1000</f>
        <v>3.059409534844721</v>
      </c>
      <c r="I84" s="1">
        <f>C84</f>
        <v>0.49459745807002703</v>
      </c>
    </row>
    <row r="85" spans="1:12" x14ac:dyDescent="0.25">
      <c r="A85" t="str">
        <f t="shared" si="1"/>
        <v>Innovation-maintain</v>
      </c>
      <c r="B85" t="s">
        <v>32</v>
      </c>
      <c r="C85" s="1">
        <f>-High!J23/1000</f>
        <v>3.1989574539999999</v>
      </c>
      <c r="D85" s="1">
        <f>High!K23/1000</f>
        <v>0.6423605549173208</v>
      </c>
      <c r="I85" s="1">
        <f>C85</f>
        <v>3.1989574539999999</v>
      </c>
    </row>
    <row r="86" spans="1:12" x14ac:dyDescent="0.25">
      <c r="A86" t="str">
        <f t="shared" si="1"/>
        <v>Innovation-rhodium18b</v>
      </c>
      <c r="B86" t="s">
        <v>32</v>
      </c>
      <c r="C86" s="1">
        <f>-High!J24/1000</f>
        <v>8.5145423079999993</v>
      </c>
      <c r="D86" s="1">
        <f>High!K24/1000</f>
        <v>3.4674732449173207</v>
      </c>
      <c r="I86" s="1">
        <f>C86</f>
        <v>8.5145423079999993</v>
      </c>
    </row>
    <row r="87" spans="1:12" x14ac:dyDescent="0.25">
      <c r="A87" t="str">
        <f t="shared" si="1"/>
        <v>Innovation-rhodium6b</v>
      </c>
      <c r="B87" t="s">
        <v>32</v>
      </c>
      <c r="C87" s="1">
        <f>-High!J25/1000</f>
        <v>5.2839158260000003</v>
      </c>
      <c r="D87" s="1">
        <f>High!K25/1000</f>
        <v>1.1266878249173204</v>
      </c>
      <c r="I87" s="1">
        <f>C87</f>
        <v>5.2839158260000003</v>
      </c>
    </row>
    <row r="88" spans="1:12" x14ac:dyDescent="0.25">
      <c r="A88" t="str">
        <f t="shared" si="1"/>
        <v>Innovation-triple</v>
      </c>
      <c r="B88" t="s">
        <v>32</v>
      </c>
      <c r="C88" s="1">
        <f>-High!J26/1000</f>
        <v>6.1108874349999995</v>
      </c>
      <c r="D88" s="1">
        <f>High!K26/1000</f>
        <v>1.9676849149173194</v>
      </c>
      <c r="I88" s="1">
        <f>C88</f>
        <v>6.1108874349999995</v>
      </c>
    </row>
    <row r="89" spans="1:12" x14ac:dyDescent="0.25">
      <c r="A89" t="str">
        <f t="shared" si="1"/>
        <v>Procure3B</v>
      </c>
      <c r="B89" t="s">
        <v>32</v>
      </c>
      <c r="C89" s="1">
        <f>-High!J27/1000</f>
        <v>7.7739790500000003</v>
      </c>
      <c r="D89" s="1">
        <f>High!K27/1000</f>
        <v>11.432142664917318</v>
      </c>
      <c r="K89" s="1">
        <f>C89</f>
        <v>7.7739790500000003</v>
      </c>
    </row>
    <row r="90" spans="1:12" x14ac:dyDescent="0.25">
      <c r="A90" t="str">
        <f t="shared" si="1"/>
        <v>ProcureRhodium</v>
      </c>
      <c r="B90" t="s">
        <v>32</v>
      </c>
      <c r="C90" s="1">
        <f>-High!J28/1000</f>
        <v>26.217887908184199</v>
      </c>
      <c r="D90" s="1">
        <f>High!K28/1000</f>
        <v>140.55513866259832</v>
      </c>
      <c r="K90" s="1">
        <f>C90</f>
        <v>26.217887908184199</v>
      </c>
    </row>
    <row r="91" spans="1:12" x14ac:dyDescent="0.25">
      <c r="A91" t="str">
        <f t="shared" si="1"/>
        <v>ProcureScaling</v>
      </c>
      <c r="B91" t="s">
        <v>32</v>
      </c>
      <c r="C91" s="1">
        <f>-High!J29/1000</f>
        <v>4.6815642999999998</v>
      </c>
      <c r="D91" s="1">
        <f>High!K29/1000</f>
        <v>4.3304415549173205</v>
      </c>
      <c r="K91" s="1">
        <f>C91</f>
        <v>4.6815642999999998</v>
      </c>
    </row>
    <row r="92" spans="1:12" x14ac:dyDescent="0.25">
      <c r="A92" t="str">
        <f t="shared" si="1"/>
        <v>Optimal</v>
      </c>
      <c r="B92" t="s">
        <v>32</v>
      </c>
      <c r="C92" s="1">
        <f>-High!J30/1000</f>
        <v>8.1740890987246004</v>
      </c>
      <c r="D92" s="1">
        <f>High!K30/1000</f>
        <v>5.0522583347774201</v>
      </c>
      <c r="L92" s="1">
        <f>C92</f>
        <v>8.1740890987246004</v>
      </c>
    </row>
    <row r="94" spans="1:12" x14ac:dyDescent="0.25">
      <c r="C94" s="1"/>
      <c r="D94" s="1"/>
    </row>
    <row r="95" spans="1:12" x14ac:dyDescent="0.25">
      <c r="C95" s="1"/>
      <c r="D95" s="1"/>
    </row>
    <row r="96" spans="1:12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I24"/>
  <sheetViews>
    <sheetView workbookViewId="0">
      <selection activeCell="C31" sqref="C31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9" x14ac:dyDescent="0.25">
      <c r="A1" t="s">
        <v>0</v>
      </c>
      <c r="B1" t="s">
        <v>51</v>
      </c>
      <c r="C1" t="s">
        <v>54</v>
      </c>
      <c r="D1" t="s">
        <v>55</v>
      </c>
      <c r="E1" t="s">
        <v>57</v>
      </c>
      <c r="I1" t="s">
        <v>85</v>
      </c>
    </row>
    <row r="2" spans="1:9" x14ac:dyDescent="0.25">
      <c r="A2" t="s">
        <v>13</v>
      </c>
      <c r="B2">
        <v>500</v>
      </c>
      <c r="C2" s="8">
        <f>C19</f>
        <v>40.97</v>
      </c>
      <c r="D2" s="8">
        <f>D19</f>
        <v>150.22333333333333</v>
      </c>
      <c r="E2" t="s">
        <v>56</v>
      </c>
    </row>
    <row r="3" spans="1:9" x14ac:dyDescent="0.25">
      <c r="A3" t="s">
        <v>14</v>
      </c>
      <c r="B3">
        <v>1500</v>
      </c>
      <c r="C3" s="8">
        <f>C21</f>
        <v>263.8</v>
      </c>
      <c r="D3" s="8">
        <f>D21</f>
        <v>967.26666666666677</v>
      </c>
      <c r="E3">
        <f>1-(D3-D2)/(B3-B2)</f>
        <v>0.18295666666666655</v>
      </c>
    </row>
    <row r="5" spans="1:9" x14ac:dyDescent="0.25">
      <c r="A5" s="3">
        <v>2040</v>
      </c>
    </row>
    <row r="6" spans="1:9" x14ac:dyDescent="0.25">
      <c r="A6" t="s">
        <v>0</v>
      </c>
      <c r="B6" t="s">
        <v>51</v>
      </c>
      <c r="C6" t="s">
        <v>54</v>
      </c>
      <c r="D6" t="s">
        <v>55</v>
      </c>
      <c r="E6" t="s">
        <v>50</v>
      </c>
    </row>
    <row r="7" spans="1:9" x14ac:dyDescent="0.25">
      <c r="A7" t="s">
        <v>87</v>
      </c>
      <c r="B7" s="8">
        <v>44.88</v>
      </c>
      <c r="C7" s="8">
        <v>696.53</v>
      </c>
      <c r="D7" s="8">
        <f t="shared" ref="D7:D13" si="0">C7*44/12</f>
        <v>2553.9433333333332</v>
      </c>
      <c r="E7" s="8" t="s">
        <v>56</v>
      </c>
    </row>
    <row r="8" spans="1:9" x14ac:dyDescent="0.25">
      <c r="A8" t="s">
        <v>86</v>
      </c>
      <c r="B8" s="8">
        <v>117.9</v>
      </c>
      <c r="C8" s="8">
        <v>706.24</v>
      </c>
      <c r="D8" s="8">
        <f t="shared" si="0"/>
        <v>2589.5466666666666</v>
      </c>
      <c r="E8" s="8">
        <f>1-(D8-D7)/(B8-B7)</f>
        <v>0.51241668949146169</v>
      </c>
    </row>
    <row r="9" spans="1:9" x14ac:dyDescent="0.25">
      <c r="A9" t="s">
        <v>88</v>
      </c>
      <c r="B9" s="8">
        <v>227.92</v>
      </c>
      <c r="C9" s="8">
        <v>721.47</v>
      </c>
      <c r="D9" s="8">
        <f t="shared" si="0"/>
        <v>2645.39</v>
      </c>
      <c r="E9" s="8">
        <f t="shared" ref="E9:E13" si="1">1-(D9-D8)/(B9-B8)</f>
        <v>0.49242561958431874</v>
      </c>
    </row>
    <row r="10" spans="1:9" x14ac:dyDescent="0.25">
      <c r="A10" t="s">
        <v>89</v>
      </c>
      <c r="B10" s="8">
        <v>302.17</v>
      </c>
      <c r="C10" s="8">
        <v>736.34</v>
      </c>
      <c r="D10" s="8">
        <f t="shared" si="0"/>
        <v>2699.9133333333334</v>
      </c>
      <c r="E10" s="8">
        <f t="shared" si="1"/>
        <v>0.26567901234567648</v>
      </c>
    </row>
    <row r="11" spans="1:9" x14ac:dyDescent="0.25">
      <c r="A11" t="s">
        <v>90</v>
      </c>
      <c r="B11" s="8">
        <v>416.68</v>
      </c>
      <c r="C11" s="8">
        <v>754.71</v>
      </c>
      <c r="D11" s="8">
        <f t="shared" si="0"/>
        <v>2767.2700000000004</v>
      </c>
      <c r="E11" s="8">
        <f t="shared" si="1"/>
        <v>0.4117835414665354</v>
      </c>
    </row>
    <row r="12" spans="1:9" x14ac:dyDescent="0.25">
      <c r="A12" t="s">
        <v>52</v>
      </c>
      <c r="B12" s="8">
        <v>444.92</v>
      </c>
      <c r="C12" s="8">
        <v>763.73</v>
      </c>
      <c r="D12" s="8">
        <f t="shared" si="0"/>
        <v>2800.3433333333337</v>
      </c>
      <c r="E12" s="8">
        <f>1-(D12-D11)/(B12-B11)</f>
        <v>-0.17115203021718339</v>
      </c>
    </row>
    <row r="13" spans="1:9" x14ac:dyDescent="0.25">
      <c r="A13" t="s">
        <v>53</v>
      </c>
      <c r="B13" s="8">
        <v>550.54</v>
      </c>
      <c r="C13" s="8">
        <v>790.77</v>
      </c>
      <c r="D13" s="8">
        <f t="shared" si="0"/>
        <v>2899.49</v>
      </c>
      <c r="E13" s="8">
        <f t="shared" si="1"/>
        <v>6.1288897304808465E-2</v>
      </c>
    </row>
    <row r="16" spans="1:9" x14ac:dyDescent="0.25">
      <c r="A16" s="3">
        <v>2050</v>
      </c>
    </row>
    <row r="17" spans="1:5" x14ac:dyDescent="0.25">
      <c r="A17" t="s">
        <v>0</v>
      </c>
      <c r="B17" t="s">
        <v>51</v>
      </c>
      <c r="C17" t="s">
        <v>54</v>
      </c>
      <c r="D17" t="s">
        <v>55</v>
      </c>
      <c r="E17" t="s">
        <v>50</v>
      </c>
    </row>
    <row r="18" spans="1:5" x14ac:dyDescent="0.25">
      <c r="A18" t="s">
        <v>87</v>
      </c>
      <c r="B18" s="8">
        <v>100</v>
      </c>
      <c r="C18" s="8">
        <v>-19.5</v>
      </c>
      <c r="D18" s="8">
        <f>C18*44/12</f>
        <v>-71.5</v>
      </c>
      <c r="E18" s="8" t="s">
        <v>56</v>
      </c>
    </row>
    <row r="19" spans="1:5" x14ac:dyDescent="0.25">
      <c r="A19" t="s">
        <v>86</v>
      </c>
      <c r="B19" s="8">
        <v>500</v>
      </c>
      <c r="C19" s="8">
        <v>40.97</v>
      </c>
      <c r="D19" s="8">
        <f>C19*44/12</f>
        <v>150.22333333333333</v>
      </c>
      <c r="E19" s="8">
        <f>1-(D19-D18)/(B19-B18)</f>
        <v>0.44569166666666671</v>
      </c>
    </row>
    <row r="20" spans="1:5" x14ac:dyDescent="0.25">
      <c r="A20" t="s">
        <v>52</v>
      </c>
      <c r="B20" s="8">
        <f>B19+788.98</f>
        <v>1288.98</v>
      </c>
      <c r="C20" s="8">
        <v>218.8</v>
      </c>
      <c r="D20" s="8">
        <f t="shared" ref="D20:D24" si="2">C20*44/12</f>
        <v>802.26666666666677</v>
      </c>
      <c r="E20" s="8">
        <f>1-(D20-D19)/(B20-B19)</f>
        <v>0.17356164499311344</v>
      </c>
    </row>
    <row r="21" spans="1:5" x14ac:dyDescent="0.25">
      <c r="A21" t="s">
        <v>88</v>
      </c>
      <c r="B21" s="8">
        <v>1500</v>
      </c>
      <c r="C21" s="8">
        <v>263.8</v>
      </c>
      <c r="D21" s="8">
        <f t="shared" si="2"/>
        <v>967.26666666666677</v>
      </c>
      <c r="E21" s="8">
        <f>1-(D21-D20)/(B21-B20)</f>
        <v>0.21808359397213528</v>
      </c>
    </row>
    <row r="22" spans="1:5" x14ac:dyDescent="0.25">
      <c r="A22" t="s">
        <v>53</v>
      </c>
      <c r="B22" s="8">
        <f>B21+638.54</f>
        <v>2138.54</v>
      </c>
      <c r="C22" s="8">
        <v>427.8</v>
      </c>
      <c r="D22" s="8">
        <f t="shared" si="2"/>
        <v>1568.6000000000001</v>
      </c>
      <c r="E22" s="8">
        <f t="shared" ref="E22" si="3">1-(D22-D21)/(B22-B21)</f>
        <v>5.8268341320303452E-2</v>
      </c>
    </row>
    <row r="23" spans="1:5" x14ac:dyDescent="0.25">
      <c r="A23" t="s">
        <v>89</v>
      </c>
      <c r="B23" s="8">
        <v>2400</v>
      </c>
      <c r="C23" s="8">
        <v>496.9</v>
      </c>
      <c r="D23" s="8">
        <f t="shared" si="2"/>
        <v>1821.9666666666665</v>
      </c>
      <c r="E23" s="8">
        <f>1-(D23-D22)/(B23-B22)</f>
        <v>3.0954384354523468E-2</v>
      </c>
    </row>
    <row r="24" spans="1:5" x14ac:dyDescent="0.25">
      <c r="A24" t="s">
        <v>90</v>
      </c>
      <c r="B24" s="8">
        <v>4100</v>
      </c>
      <c r="C24" s="8">
        <v>1069.7</v>
      </c>
      <c r="D24" s="8">
        <f t="shared" si="2"/>
        <v>3922.2333333333336</v>
      </c>
      <c r="E24" s="8">
        <f t="shared" ref="E24" si="4">1-(D24-D23)/(B24-B23)</f>
        <v>-0.23545098039215717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32"/>
  <sheetViews>
    <sheetView tabSelected="1" zoomScale="90" zoomScaleNormal="90" workbookViewId="0">
      <selection activeCell="C31" sqref="C31:J31"/>
    </sheetView>
  </sheetViews>
  <sheetFormatPr defaultRowHeight="15" x14ac:dyDescent="0.25"/>
  <cols>
    <col min="1" max="1" width="26.140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59</v>
      </c>
      <c r="E1" t="s">
        <v>34</v>
      </c>
      <c r="F1" t="s">
        <v>58</v>
      </c>
      <c r="G1" t="s">
        <v>35</v>
      </c>
      <c r="H1" t="s">
        <v>60</v>
      </c>
      <c r="I1" t="s">
        <v>61</v>
      </c>
      <c r="J1" t="s">
        <v>41</v>
      </c>
      <c r="M1" t="s">
        <v>77</v>
      </c>
      <c r="N1" t="s">
        <v>81</v>
      </c>
      <c r="O1" t="s">
        <v>78</v>
      </c>
      <c r="P1" t="s">
        <v>79</v>
      </c>
      <c r="Q1" t="s">
        <v>80</v>
      </c>
    </row>
    <row r="2" spans="1:17" x14ac:dyDescent="0.25">
      <c r="A2" t="s">
        <v>27</v>
      </c>
      <c r="B2" t="s">
        <v>29</v>
      </c>
      <c r="C2">
        <v>4.9730839656855803</v>
      </c>
      <c r="D2">
        <v>6.3852417984373397E-13</v>
      </c>
      <c r="E2">
        <v>1.07999976827834</v>
      </c>
      <c r="F2">
        <v>7.0584768642748097E-7</v>
      </c>
      <c r="G2">
        <v>0.44036245439608102</v>
      </c>
      <c r="H2">
        <v>1.9267683221889798E-6</v>
      </c>
      <c r="I2">
        <v>4.4107347383287797E-12</v>
      </c>
      <c r="J2">
        <v>0.789552850896448</v>
      </c>
      <c r="M2">
        <f>MEDIAN(E3:E32)-E2</f>
        <v>4.4656436407839895E-2</v>
      </c>
      <c r="N2">
        <f>AVERAGE(E3:E32)-E2</f>
        <v>4.3674317423965325E-2</v>
      </c>
      <c r="O2">
        <f>_xlfn.CONFIDENCE.T(0.05, _xlfn.STDEV.S(E3:E32), COUNT(E3:E32))</f>
        <v>1.1247283056091387E-2</v>
      </c>
      <c r="P2">
        <f>N2-O2</f>
        <v>3.242703436787394E-2</v>
      </c>
      <c r="Q2">
        <f>N2+O2</f>
        <v>5.4921600480056711E-2</v>
      </c>
    </row>
    <row r="3" spans="1:17" x14ac:dyDescent="0.25">
      <c r="A3" t="s">
        <v>1</v>
      </c>
      <c r="B3" t="s">
        <v>30</v>
      </c>
      <c r="C3">
        <v>5.0718252254749698</v>
      </c>
      <c r="D3">
        <v>27.6213269143723</v>
      </c>
      <c r="E3">
        <v>1.10722548717476</v>
      </c>
      <c r="F3">
        <v>38.721957222405898</v>
      </c>
      <c r="G3">
        <v>0.45309060051576999</v>
      </c>
      <c r="H3">
        <v>43.944236486980699</v>
      </c>
      <c r="I3">
        <v>10.903288298281099</v>
      </c>
      <c r="J3">
        <v>0.79795728215863404</v>
      </c>
    </row>
    <row r="4" spans="1:17" x14ac:dyDescent="0.25">
      <c r="A4" t="s">
        <v>2</v>
      </c>
      <c r="B4" t="s">
        <v>30</v>
      </c>
      <c r="C4">
        <v>5.1320980379999996</v>
      </c>
      <c r="D4">
        <v>95.027857890000007</v>
      </c>
      <c r="E4">
        <v>1.1169336540000001</v>
      </c>
      <c r="F4">
        <v>81.341564259999998</v>
      </c>
      <c r="G4">
        <v>0.45571974599999998</v>
      </c>
      <c r="H4">
        <v>66.213331229999994</v>
      </c>
      <c r="I4">
        <v>77.537456390000003</v>
      </c>
      <c r="J4">
        <v>0.80479714300000005</v>
      </c>
    </row>
    <row r="5" spans="1:17" x14ac:dyDescent="0.25">
      <c r="A5" t="s">
        <v>3</v>
      </c>
      <c r="B5" t="s">
        <v>30</v>
      </c>
      <c r="C5">
        <v>5.0642412818588598</v>
      </c>
      <c r="D5">
        <v>23.2656452481462</v>
      </c>
      <c r="E5">
        <v>1.10641859927185</v>
      </c>
      <c r="F5">
        <v>34.9056193109856</v>
      </c>
      <c r="G5">
        <v>0.45405916021112802</v>
      </c>
      <c r="H5">
        <v>47.160196832255302</v>
      </c>
      <c r="I5">
        <v>10.7774242857275</v>
      </c>
      <c r="J5">
        <v>0.79789188599007999</v>
      </c>
    </row>
    <row r="6" spans="1:17" x14ac:dyDescent="0.25">
      <c r="A6" t="s">
        <v>4</v>
      </c>
      <c r="B6" t="s">
        <v>30</v>
      </c>
      <c r="C6">
        <v>4.8684535301920802</v>
      </c>
      <c r="D6">
        <v>84.492568995555999</v>
      </c>
      <c r="E6">
        <v>1.0698337539729701</v>
      </c>
      <c r="F6">
        <v>77.9808150994659</v>
      </c>
      <c r="G6">
        <v>0.441310297136154</v>
      </c>
      <c r="H6">
        <v>75.5013687287978</v>
      </c>
      <c r="I6">
        <v>92.865196996374294</v>
      </c>
      <c r="J6">
        <v>0.76151960562216203</v>
      </c>
    </row>
    <row r="7" spans="1:17" x14ac:dyDescent="0.25">
      <c r="A7" t="s">
        <v>6</v>
      </c>
      <c r="B7" t="s">
        <v>30</v>
      </c>
      <c r="C7">
        <v>5.0651494079999999</v>
      </c>
      <c r="D7">
        <v>20.74038968</v>
      </c>
      <c r="E7">
        <v>1.1039787759999999</v>
      </c>
      <c r="F7">
        <v>25.534548470000001</v>
      </c>
      <c r="G7">
        <v>0.45225595800000001</v>
      </c>
      <c r="H7">
        <v>30.623022649999999</v>
      </c>
      <c r="I7">
        <v>12.61015407</v>
      </c>
      <c r="J7">
        <v>0.79975092599999997</v>
      </c>
    </row>
    <row r="8" spans="1:17" x14ac:dyDescent="0.25">
      <c r="A8" t="s">
        <v>5</v>
      </c>
      <c r="B8" t="s">
        <v>30</v>
      </c>
      <c r="C8">
        <v>5.0631788069999999</v>
      </c>
      <c r="D8">
        <v>21.43401046</v>
      </c>
      <c r="E8">
        <v>1.102025501</v>
      </c>
      <c r="F8">
        <v>24.666197789999998</v>
      </c>
      <c r="G8">
        <v>0.44986187300000002</v>
      </c>
      <c r="H8">
        <v>25.579182240000002</v>
      </c>
      <c r="I8">
        <v>10.690108459999999</v>
      </c>
      <c r="J8">
        <v>0.797739168</v>
      </c>
      <c r="O8">
        <f>_xlfn.STDEV.S(E3:E32)</f>
        <v>3.0120777215232528E-2</v>
      </c>
    </row>
    <row r="9" spans="1:17" x14ac:dyDescent="0.25">
      <c r="A9" t="s">
        <v>8</v>
      </c>
      <c r="B9" t="s">
        <v>30</v>
      </c>
      <c r="C9">
        <v>5.0717892083996201</v>
      </c>
      <c r="D9">
        <v>25.5510755857871</v>
      </c>
      <c r="E9">
        <v>1.1068180193623101</v>
      </c>
      <c r="F9">
        <v>32.946601966646497</v>
      </c>
      <c r="G9">
        <v>0.45191984493444098</v>
      </c>
      <c r="H9">
        <v>34.1831762439313</v>
      </c>
      <c r="I9">
        <v>6.5878222614765596</v>
      </c>
      <c r="J9">
        <v>0.79431296587427802</v>
      </c>
      <c r="O9">
        <f>COUNT(E3:E32)</f>
        <v>30</v>
      </c>
    </row>
    <row r="10" spans="1:17" x14ac:dyDescent="0.25">
      <c r="A10" t="s">
        <v>7</v>
      </c>
      <c r="B10" t="s">
        <v>30</v>
      </c>
      <c r="C10">
        <v>5.0654758233112496</v>
      </c>
      <c r="D10">
        <v>22.645549121555199</v>
      </c>
      <c r="E10">
        <v>1.10341400520208</v>
      </c>
      <c r="F10">
        <v>27.1333110468562</v>
      </c>
      <c r="G10">
        <v>0.45035362489015601</v>
      </c>
      <c r="H10">
        <v>27.845083686462701</v>
      </c>
      <c r="I10">
        <v>9.0841009242921409</v>
      </c>
      <c r="J10">
        <v>0.79640503870033497</v>
      </c>
    </row>
    <row r="11" spans="1:17" x14ac:dyDescent="0.25">
      <c r="A11" t="s">
        <v>9</v>
      </c>
      <c r="B11" t="s">
        <v>30</v>
      </c>
      <c r="C11">
        <v>5.0644695789999998</v>
      </c>
      <c r="D11">
        <v>22.761987189999999</v>
      </c>
      <c r="E11">
        <v>1.1031711500000001</v>
      </c>
      <c r="F11">
        <v>27.269937800000001</v>
      </c>
      <c r="G11">
        <v>0.45034164900000001</v>
      </c>
      <c r="H11">
        <v>28.329187040000001</v>
      </c>
      <c r="I11">
        <v>8.5063978210000002</v>
      </c>
      <c r="J11">
        <v>0.79583269000000001</v>
      </c>
    </row>
    <row r="12" spans="1:17" x14ac:dyDescent="0.25">
      <c r="A12" t="s">
        <v>82</v>
      </c>
      <c r="B12" t="s">
        <v>30</v>
      </c>
      <c r="C12">
        <v>5.0645889622781404</v>
      </c>
      <c r="D12">
        <v>20.584958981173202</v>
      </c>
      <c r="E12">
        <v>1.1015991064653099</v>
      </c>
      <c r="F12">
        <v>22.899921722103699</v>
      </c>
      <c r="G12">
        <v>0.44981677022299899</v>
      </c>
      <c r="H12">
        <v>24.134127641377798</v>
      </c>
      <c r="I12">
        <v>13.1371090828438</v>
      </c>
      <c r="J12">
        <v>0.80018215485490596</v>
      </c>
    </row>
    <row r="13" spans="1:17" x14ac:dyDescent="0.25">
      <c r="A13" t="s">
        <v>10</v>
      </c>
      <c r="B13" t="s">
        <v>30</v>
      </c>
      <c r="C13">
        <v>5.0805945083972404</v>
      </c>
      <c r="D13">
        <v>26.462965375843101</v>
      </c>
      <c r="E13">
        <v>1.11220076960314</v>
      </c>
      <c r="F13">
        <v>38.516546691544299</v>
      </c>
      <c r="G13">
        <v>0.456646404935448</v>
      </c>
      <c r="H13">
        <v>48.6695660201867</v>
      </c>
      <c r="I13">
        <v>9.2006200346008296</v>
      </c>
      <c r="J13">
        <v>0.79650024563104205</v>
      </c>
    </row>
    <row r="14" spans="1:17" x14ac:dyDescent="0.25">
      <c r="A14" t="s">
        <v>11</v>
      </c>
      <c r="B14" t="s">
        <v>30</v>
      </c>
      <c r="C14">
        <v>5.2865615059626103</v>
      </c>
      <c r="D14">
        <v>96.2682129754008</v>
      </c>
      <c r="E14">
        <v>1.1998078542364701</v>
      </c>
      <c r="F14">
        <v>236.62134520618201</v>
      </c>
      <c r="G14">
        <v>0.51042751682285503</v>
      </c>
      <c r="H14">
        <v>515.18468127639301</v>
      </c>
      <c r="I14">
        <v>1.9261438344295101</v>
      </c>
      <c r="J14">
        <v>0.79093702058975102</v>
      </c>
    </row>
    <row r="15" spans="1:17" x14ac:dyDescent="0.25">
      <c r="A15" t="s">
        <v>12</v>
      </c>
      <c r="B15" t="s">
        <v>30</v>
      </c>
      <c r="C15">
        <v>5.0709044321950598</v>
      </c>
      <c r="D15">
        <v>23.476397104249202</v>
      </c>
      <c r="E15">
        <v>1.1061597231847</v>
      </c>
      <c r="F15">
        <v>29.835672107540901</v>
      </c>
      <c r="G15">
        <v>0.452472481001928</v>
      </c>
      <c r="H15">
        <v>33.564098898715201</v>
      </c>
      <c r="I15">
        <v>10.199345228143001</v>
      </c>
      <c r="J15">
        <v>0.79736206631636497</v>
      </c>
    </row>
    <row r="16" spans="1:17" x14ac:dyDescent="0.25">
      <c r="A16" t="s">
        <v>1</v>
      </c>
      <c r="B16" t="s">
        <v>32</v>
      </c>
      <c r="C16">
        <v>5.1811747710000002</v>
      </c>
      <c r="D16">
        <v>20.445962810000001</v>
      </c>
      <c r="E16">
        <v>1.13449255</v>
      </c>
      <c r="F16">
        <v>33.296985970000001</v>
      </c>
      <c r="G16">
        <v>0.46492193599999998</v>
      </c>
      <c r="H16">
        <v>45.4824609</v>
      </c>
      <c r="I16">
        <v>4.2929028440000003</v>
      </c>
      <c r="J16">
        <v>0.80197587999999997</v>
      </c>
    </row>
    <row r="17" spans="1:10" x14ac:dyDescent="0.25">
      <c r="A17" t="s">
        <v>2</v>
      </c>
      <c r="B17" t="s">
        <v>32</v>
      </c>
      <c r="C17">
        <v>5.2414073349999999</v>
      </c>
      <c r="D17">
        <v>62.001488879999997</v>
      </c>
      <c r="E17">
        <v>1.1459694250000001</v>
      </c>
      <c r="F17">
        <v>73.808838069999993</v>
      </c>
      <c r="G17">
        <v>0.468332152</v>
      </c>
      <c r="H17">
        <v>75.18194579</v>
      </c>
      <c r="I17">
        <v>9.0041609660000006</v>
      </c>
      <c r="J17">
        <v>0.79733908899999995</v>
      </c>
    </row>
    <row r="18" spans="1:10" x14ac:dyDescent="0.25">
      <c r="A18" t="s">
        <v>3</v>
      </c>
      <c r="B18" t="s">
        <v>32</v>
      </c>
      <c r="C18">
        <v>5.1754846755394803</v>
      </c>
      <c r="D18">
        <v>18.358116920014702</v>
      </c>
      <c r="E18">
        <v>1.1343808780025699</v>
      </c>
      <c r="F18">
        <v>29.945423567779098</v>
      </c>
      <c r="G18">
        <v>0.46670096287577201</v>
      </c>
      <c r="H18">
        <v>44.9719994818999</v>
      </c>
      <c r="I18">
        <v>4.5299326625634597</v>
      </c>
      <c r="J18">
        <v>0.80271254928786895</v>
      </c>
    </row>
    <row r="19" spans="1:10" x14ac:dyDescent="0.25">
      <c r="A19" t="s">
        <v>4</v>
      </c>
      <c r="B19" t="s">
        <v>32</v>
      </c>
      <c r="C19">
        <v>4.8119661736213502</v>
      </c>
      <c r="D19">
        <v>58.071655757244301</v>
      </c>
      <c r="E19">
        <v>1.0667309293852401</v>
      </c>
      <c r="F19">
        <v>36.852170288475101</v>
      </c>
      <c r="G19">
        <v>0.44363875280839599</v>
      </c>
      <c r="H19">
        <v>-67.569012270245395</v>
      </c>
      <c r="I19">
        <v>46.908433540766197</v>
      </c>
      <c r="J19">
        <v>0.757351037131067</v>
      </c>
    </row>
    <row r="20" spans="1:10" x14ac:dyDescent="0.25">
      <c r="A20" t="s">
        <v>83</v>
      </c>
      <c r="B20" t="s">
        <v>32</v>
      </c>
      <c r="C20">
        <v>5.2054763144523601</v>
      </c>
      <c r="D20">
        <v>19.569169104060201</v>
      </c>
      <c r="E20">
        <v>1.1315450470849799</v>
      </c>
      <c r="F20">
        <v>24.7795344738106</v>
      </c>
      <c r="G20">
        <v>0.46163241164495999</v>
      </c>
      <c r="H20">
        <v>29.445243255130102</v>
      </c>
      <c r="I20">
        <v>8.4504572715756492</v>
      </c>
      <c r="J20">
        <v>0.81490689546323802</v>
      </c>
    </row>
    <row r="21" spans="1:10" x14ac:dyDescent="0.25">
      <c r="A21" t="s">
        <v>6</v>
      </c>
      <c r="B21" t="s">
        <v>32</v>
      </c>
      <c r="C21">
        <v>5.20212792274652</v>
      </c>
      <c r="D21">
        <v>19.3479345105611</v>
      </c>
      <c r="E21">
        <v>1.1332403145007901</v>
      </c>
      <c r="F21">
        <v>25.703142301648999</v>
      </c>
      <c r="G21">
        <v>0.46383228005114502</v>
      </c>
      <c r="H21">
        <v>32.714646653492899</v>
      </c>
      <c r="I21">
        <v>7.9367565067817498</v>
      </c>
      <c r="J21">
        <v>0.81326671678183704</v>
      </c>
    </row>
    <row r="22" spans="1:10" x14ac:dyDescent="0.25">
      <c r="A22" t="s">
        <v>5</v>
      </c>
      <c r="B22" t="s">
        <v>32</v>
      </c>
      <c r="C22">
        <v>5.1720279541023402</v>
      </c>
      <c r="D22">
        <v>17.426437752642599</v>
      </c>
      <c r="E22">
        <v>1.1272007430390301</v>
      </c>
      <c r="F22">
        <v>23.678534872133099</v>
      </c>
      <c r="G22">
        <v>0.46032657024823997</v>
      </c>
      <c r="H22">
        <v>28.918131262142602</v>
      </c>
      <c r="I22">
        <v>4.5221188649834598</v>
      </c>
      <c r="J22">
        <v>0.80266837264658997</v>
      </c>
    </row>
    <row r="23" spans="1:10" x14ac:dyDescent="0.25">
      <c r="A23" t="s">
        <v>8</v>
      </c>
      <c r="B23" t="s">
        <v>32</v>
      </c>
      <c r="C23">
        <v>5.1380938109225598</v>
      </c>
      <c r="D23">
        <v>15.2720343935841</v>
      </c>
      <c r="E23">
        <v>1.12490296437236</v>
      </c>
      <c r="F23">
        <v>24.125784406163799</v>
      </c>
      <c r="G23">
        <v>0.46008382820965699</v>
      </c>
      <c r="H23">
        <v>30.9495242703358</v>
      </c>
      <c r="I23">
        <v>-0.46285562453315499</v>
      </c>
      <c r="J23">
        <v>0.78825855336435002</v>
      </c>
    </row>
    <row r="24" spans="1:10" x14ac:dyDescent="0.25">
      <c r="A24" t="s">
        <v>7</v>
      </c>
      <c r="B24" t="s">
        <v>32</v>
      </c>
      <c r="C24">
        <v>5.18233340422191</v>
      </c>
      <c r="D24">
        <v>18.711380137035199</v>
      </c>
      <c r="E24">
        <v>1.1285106091488999</v>
      </c>
      <c r="F24">
        <v>24.987148118530001</v>
      </c>
      <c r="G24">
        <v>0.46043980527716399</v>
      </c>
      <c r="H24">
        <v>29.9878066423265</v>
      </c>
      <c r="I24">
        <v>7.1441239026772303</v>
      </c>
      <c r="J24">
        <v>0.81001934768983297</v>
      </c>
    </row>
    <row r="25" spans="1:10" x14ac:dyDescent="0.25">
      <c r="A25" t="s">
        <v>9</v>
      </c>
      <c r="B25" t="s">
        <v>32</v>
      </c>
      <c r="C25">
        <v>5.148286937</v>
      </c>
      <c r="D25">
        <v>15.835044160000001</v>
      </c>
      <c r="E25">
        <v>1.124409445</v>
      </c>
      <c r="F25">
        <v>23.117427169999999</v>
      </c>
      <c r="G25">
        <v>0.45961216599999999</v>
      </c>
      <c r="H25">
        <v>29.111208619999999</v>
      </c>
      <c r="I25">
        <v>1.4728076189999999</v>
      </c>
      <c r="J25">
        <v>0.79372266300000005</v>
      </c>
    </row>
    <row r="26" spans="1:10" x14ac:dyDescent="0.25">
      <c r="A26" t="s">
        <v>10</v>
      </c>
      <c r="B26" t="s">
        <v>32</v>
      </c>
      <c r="C26">
        <v>5.1755467060000004</v>
      </c>
      <c r="D26">
        <v>18.116868790000002</v>
      </c>
      <c r="E26">
        <v>1.1348238129999999</v>
      </c>
      <c r="F26">
        <v>28.633791110000001</v>
      </c>
      <c r="G26">
        <v>0.46619514699999998</v>
      </c>
      <c r="H26">
        <v>40.0745121</v>
      </c>
      <c r="I26">
        <v>3.0910263379999998</v>
      </c>
      <c r="J26">
        <v>0.79842427599999999</v>
      </c>
    </row>
    <row r="27" spans="1:10" x14ac:dyDescent="0.25">
      <c r="A27" t="s">
        <v>11</v>
      </c>
      <c r="B27" t="s">
        <v>32</v>
      </c>
      <c r="C27">
        <v>5.3051976757979</v>
      </c>
      <c r="D27">
        <v>33.128009292988999</v>
      </c>
      <c r="E27">
        <v>1.2083411374845401</v>
      </c>
      <c r="F27">
        <v>81.360565601751006</v>
      </c>
      <c r="G27">
        <v>0.51586884898594298</v>
      </c>
      <c r="H27">
        <v>164.08104308165801</v>
      </c>
      <c r="I27">
        <v>1.3040601447008899</v>
      </c>
      <c r="J27">
        <v>0.79301345253640299</v>
      </c>
    </row>
    <row r="28" spans="1:10" x14ac:dyDescent="0.25">
      <c r="A28" t="s">
        <v>12</v>
      </c>
      <c r="B28" t="s">
        <v>32</v>
      </c>
      <c r="C28">
        <v>5.1756637650000004</v>
      </c>
      <c r="D28">
        <v>17.85055715</v>
      </c>
      <c r="E28">
        <v>1.130386648</v>
      </c>
      <c r="F28">
        <v>25.60012553</v>
      </c>
      <c r="G28">
        <v>0.46253652000000001</v>
      </c>
      <c r="H28">
        <v>32.824176229999999</v>
      </c>
      <c r="I28">
        <v>4.2508096210000001</v>
      </c>
      <c r="J28">
        <v>0.80187562099999998</v>
      </c>
    </row>
    <row r="29" spans="1:10" x14ac:dyDescent="0.25">
      <c r="A29" t="s">
        <v>25</v>
      </c>
      <c r="B29" t="s">
        <v>31</v>
      </c>
      <c r="C29">
        <v>5.1707489390561499</v>
      </c>
      <c r="D29">
        <v>10.35532240113</v>
      </c>
      <c r="E29">
        <v>1.13540489037028</v>
      </c>
      <c r="F29">
        <v>17.558327755798199</v>
      </c>
      <c r="G29">
        <v>0.46694231362642802</v>
      </c>
      <c r="H29">
        <v>25.800721172369698</v>
      </c>
      <c r="I29">
        <v>-3.29955859800915</v>
      </c>
      <c r="J29">
        <v>0.77221661749866399</v>
      </c>
    </row>
    <row r="30" spans="1:10" x14ac:dyDescent="0.25">
      <c r="A30" t="s">
        <v>26</v>
      </c>
      <c r="B30" t="s">
        <v>33</v>
      </c>
      <c r="C30">
        <v>5.4085868460000004</v>
      </c>
      <c r="D30">
        <v>12.77316897</v>
      </c>
      <c r="E30">
        <v>1.1700898660000001</v>
      </c>
      <c r="F30">
        <v>17.155655410000001</v>
      </c>
      <c r="G30">
        <v>0.478786141</v>
      </c>
      <c r="H30">
        <v>24.32157226</v>
      </c>
      <c r="I30">
        <v>23.65954266</v>
      </c>
      <c r="J30">
        <v>1.034252189</v>
      </c>
    </row>
    <row r="31" spans="1:10" x14ac:dyDescent="0.25">
      <c r="A31" t="s">
        <v>91</v>
      </c>
      <c r="B31" t="s">
        <v>30</v>
      </c>
      <c r="C31">
        <v>5.0725826730000003</v>
      </c>
      <c r="D31">
        <v>29.8235092</v>
      </c>
      <c r="E31">
        <v>1.1081362509999999</v>
      </c>
      <c r="F31">
        <v>43.116454249999997</v>
      </c>
      <c r="G31">
        <v>0.453322844</v>
      </c>
      <c r="H31">
        <v>48.172775999999999</v>
      </c>
      <c r="I31">
        <v>8.4505067559999993</v>
      </c>
      <c r="J31">
        <v>0.795727081</v>
      </c>
    </row>
    <row r="32" spans="1:10" x14ac:dyDescent="0.25">
      <c r="A32" t="s">
        <v>92</v>
      </c>
      <c r="B32" t="s">
        <v>32</v>
      </c>
      <c r="C32">
        <v>5.1996172933308999</v>
      </c>
      <c r="D32">
        <v>20.970243126401598</v>
      </c>
      <c r="E32">
        <v>1.13207066020688</v>
      </c>
      <c r="F32">
        <v>27.824134675364</v>
      </c>
      <c r="G32">
        <v>0.46230703794057798</v>
      </c>
      <c r="H32">
        <v>34.255471921305499</v>
      </c>
      <c r="I32">
        <v>11.3709295826815</v>
      </c>
      <c r="J32">
        <v>0.82074704460714099</v>
      </c>
    </row>
    <row r="35" spans="1:10" x14ac:dyDescent="0.25">
      <c r="A35" s="7">
        <v>0.02</v>
      </c>
      <c r="B35" t="str">
        <f>B1</f>
        <v>Baseline</v>
      </c>
      <c r="C35" t="str">
        <f>D1</f>
        <v>2% discount rate</v>
      </c>
      <c r="D35" t="str">
        <f>I1</f>
        <v>As snapshot of CDR prices in 2050</v>
      </c>
      <c r="E35" t="s">
        <v>62</v>
      </c>
      <c r="F35" t="s">
        <v>63</v>
      </c>
      <c r="G35" t="s">
        <v>64</v>
      </c>
      <c r="H35" t="s">
        <v>65</v>
      </c>
      <c r="I35" t="s">
        <v>66</v>
      </c>
      <c r="J35" t="s">
        <v>67</v>
      </c>
    </row>
    <row r="36" spans="1:10" x14ac:dyDescent="0.25">
      <c r="A36" t="str">
        <f t="shared" ref="A36:B36" si="0">A2</f>
        <v>100 Mt Baseline</v>
      </c>
      <c r="B36" t="str">
        <f t="shared" si="0"/>
        <v>100 Mt</v>
      </c>
      <c r="C36">
        <f>D2</f>
        <v>6.3852417984373397E-13</v>
      </c>
      <c r="D36">
        <f>I2</f>
        <v>4.4107347383287797E-12</v>
      </c>
      <c r="J36">
        <v>0</v>
      </c>
    </row>
    <row r="37" spans="1:10" x14ac:dyDescent="0.25">
      <c r="A37" t="str">
        <f t="shared" ref="A37:B37" si="1">A3</f>
        <v>45Q-2040</v>
      </c>
      <c r="B37" t="str">
        <f t="shared" si="1"/>
        <v>500 Mt</v>
      </c>
      <c r="C37">
        <f>D3</f>
        <v>27.6213269143723</v>
      </c>
      <c r="D37">
        <f>I3</f>
        <v>10.903288298281099</v>
      </c>
      <c r="F37">
        <f>C37</f>
        <v>27.6213269143723</v>
      </c>
    </row>
    <row r="38" spans="1:10" x14ac:dyDescent="0.25">
      <c r="A38" t="str">
        <f t="shared" ref="A38:B38" si="2">A4</f>
        <v>45Q-2050</v>
      </c>
      <c r="B38" t="str">
        <f t="shared" si="2"/>
        <v>500 Mt</v>
      </c>
      <c r="C38">
        <f>D4</f>
        <v>95.027857890000007</v>
      </c>
      <c r="D38">
        <f>I4</f>
        <v>77.537456390000003</v>
      </c>
      <c r="F38">
        <f>C38</f>
        <v>95.027857890000007</v>
      </c>
    </row>
    <row r="39" spans="1:10" x14ac:dyDescent="0.25">
      <c r="A39" t="str">
        <f t="shared" ref="A39:B39" si="3">A5</f>
        <v>CDRIA-2035</v>
      </c>
      <c r="B39" t="str">
        <f t="shared" si="3"/>
        <v>500 Mt</v>
      </c>
      <c r="C39">
        <f>D5</f>
        <v>23.2656452481462</v>
      </c>
      <c r="D39">
        <f>I5</f>
        <v>10.7774242857275</v>
      </c>
      <c r="F39">
        <f>C39</f>
        <v>23.2656452481462</v>
      </c>
    </row>
    <row r="40" spans="1:10" x14ac:dyDescent="0.25">
      <c r="A40" t="str">
        <f t="shared" ref="A40:B40" si="4">A6</f>
        <v>CDRIA-2050</v>
      </c>
      <c r="B40" t="str">
        <f t="shared" si="4"/>
        <v>500 Mt</v>
      </c>
      <c r="C40">
        <f>D6</f>
        <v>84.492568995555999</v>
      </c>
      <c r="D40">
        <f>I6</f>
        <v>92.865196996374294</v>
      </c>
      <c r="F40">
        <f>C40</f>
        <v>84.492568995555999</v>
      </c>
    </row>
    <row r="41" spans="1:10" x14ac:dyDescent="0.25">
      <c r="A41" t="str">
        <f t="shared" ref="A41:B41" si="5">A7</f>
        <v>Innovation-DACHubs</v>
      </c>
      <c r="B41" t="str">
        <f t="shared" si="5"/>
        <v>500 Mt</v>
      </c>
      <c r="C41">
        <f>D7</f>
        <v>20.74038968</v>
      </c>
      <c r="D41">
        <f>I7</f>
        <v>12.61015407</v>
      </c>
      <c r="E41">
        <f>C41</f>
        <v>20.74038968</v>
      </c>
    </row>
    <row r="42" spans="1:10" x14ac:dyDescent="0.25">
      <c r="A42" t="str">
        <f t="shared" ref="A42:B42" si="6">A8</f>
        <v>Innovation-maintain</v>
      </c>
      <c r="B42" t="str">
        <f t="shared" si="6"/>
        <v>500 Mt</v>
      </c>
      <c r="C42">
        <f>D8</f>
        <v>21.43401046</v>
      </c>
      <c r="D42">
        <f>I8</f>
        <v>10.690108459999999</v>
      </c>
      <c r="E42">
        <f t="shared" ref="E42:E45" si="7">C42</f>
        <v>21.43401046</v>
      </c>
    </row>
    <row r="43" spans="1:10" x14ac:dyDescent="0.25">
      <c r="A43" t="str">
        <f t="shared" ref="A43:B43" si="8">A9</f>
        <v>Innovation-rhodium18b</v>
      </c>
      <c r="B43" t="str">
        <f t="shared" si="8"/>
        <v>500 Mt</v>
      </c>
      <c r="C43">
        <f>D9</f>
        <v>25.5510755857871</v>
      </c>
      <c r="D43">
        <f>I9</f>
        <v>6.5878222614765596</v>
      </c>
      <c r="E43">
        <f t="shared" si="7"/>
        <v>25.5510755857871</v>
      </c>
    </row>
    <row r="44" spans="1:10" x14ac:dyDescent="0.25">
      <c r="A44" t="str">
        <f t="shared" ref="A44:B44" si="9">A10</f>
        <v>Innovation-rhodium6b</v>
      </c>
      <c r="B44" t="str">
        <f t="shared" si="9"/>
        <v>500 Mt</v>
      </c>
      <c r="C44">
        <f>D10</f>
        <v>22.645549121555199</v>
      </c>
      <c r="D44">
        <f>I10</f>
        <v>9.0841009242921409</v>
      </c>
      <c r="E44">
        <f t="shared" si="7"/>
        <v>22.645549121555199</v>
      </c>
    </row>
    <row r="45" spans="1:10" x14ac:dyDescent="0.25">
      <c r="A45" t="str">
        <f t="shared" ref="A45:B45" si="10">A11</f>
        <v>Innovation-triple</v>
      </c>
      <c r="B45" t="str">
        <f t="shared" si="10"/>
        <v>500 Mt</v>
      </c>
      <c r="C45">
        <f>D11</f>
        <v>22.761987189999999</v>
      </c>
      <c r="D45">
        <f>I11</f>
        <v>8.5063978210000002</v>
      </c>
      <c r="E45">
        <f t="shared" si="7"/>
        <v>22.761987189999999</v>
      </c>
    </row>
    <row r="46" spans="1:10" x14ac:dyDescent="0.25">
      <c r="A46" t="str">
        <f t="shared" ref="A46:B46" si="11">A12</f>
        <v>500 Mt Baseline</v>
      </c>
      <c r="B46" t="str">
        <f t="shared" si="11"/>
        <v>500 Mt</v>
      </c>
      <c r="C46">
        <f>D12</f>
        <v>20.584958981173202</v>
      </c>
      <c r="D46">
        <f>I12</f>
        <v>13.1371090828438</v>
      </c>
      <c r="I46">
        <f>C46</f>
        <v>20.584958981173202</v>
      </c>
    </row>
    <row r="47" spans="1:10" x14ac:dyDescent="0.25">
      <c r="A47" t="str">
        <f t="shared" ref="A47:B47" si="12">A13</f>
        <v>Procure3B</v>
      </c>
      <c r="B47" t="str">
        <f t="shared" si="12"/>
        <v>500 Mt</v>
      </c>
      <c r="C47">
        <f>D13</f>
        <v>26.462965375843101</v>
      </c>
      <c r="D47">
        <f>I13</f>
        <v>9.2006200346008296</v>
      </c>
      <c r="G47">
        <f>C47</f>
        <v>26.462965375843101</v>
      </c>
    </row>
    <row r="48" spans="1:10" x14ac:dyDescent="0.25">
      <c r="A48" t="str">
        <f t="shared" ref="A48:B48" si="13">A14</f>
        <v>ProcureRhodium</v>
      </c>
      <c r="B48" t="str">
        <f t="shared" si="13"/>
        <v>500 Mt</v>
      </c>
      <c r="C48">
        <f>D14</f>
        <v>96.2682129754008</v>
      </c>
      <c r="D48">
        <f>I14</f>
        <v>1.9261438344295101</v>
      </c>
      <c r="G48">
        <f>C48</f>
        <v>96.2682129754008</v>
      </c>
    </row>
    <row r="49" spans="1:9" x14ac:dyDescent="0.25">
      <c r="A49" t="str">
        <f t="shared" ref="A49:B49" si="14">A15</f>
        <v>ProcureScaling</v>
      </c>
      <c r="B49" t="str">
        <f t="shared" si="14"/>
        <v>500 Mt</v>
      </c>
      <c r="C49">
        <f>D15</f>
        <v>23.476397104249202</v>
      </c>
      <c r="D49">
        <f>I15</f>
        <v>10.199345228143001</v>
      </c>
      <c r="G49">
        <f>C49</f>
        <v>23.476397104249202</v>
      </c>
    </row>
    <row r="50" spans="1:9" x14ac:dyDescent="0.25">
      <c r="A50" t="str">
        <f t="shared" ref="A50:B50" si="15">A16</f>
        <v>45Q-2040</v>
      </c>
      <c r="B50" t="str">
        <f t="shared" si="15"/>
        <v>1.5 Gt</v>
      </c>
      <c r="C50">
        <f>D16</f>
        <v>20.445962810000001</v>
      </c>
      <c r="D50">
        <f>I16</f>
        <v>4.2929028440000003</v>
      </c>
      <c r="F50">
        <f>C50</f>
        <v>20.445962810000001</v>
      </c>
    </row>
    <row r="51" spans="1:9" x14ac:dyDescent="0.25">
      <c r="A51" t="str">
        <f t="shared" ref="A51:B51" si="16">A17</f>
        <v>45Q-2050</v>
      </c>
      <c r="B51" t="str">
        <f t="shared" si="16"/>
        <v>1.5 Gt</v>
      </c>
      <c r="C51">
        <f>D17</f>
        <v>62.001488879999997</v>
      </c>
      <c r="D51">
        <f>I17</f>
        <v>9.0041609660000006</v>
      </c>
      <c r="F51">
        <f>C51</f>
        <v>62.001488879999997</v>
      </c>
    </row>
    <row r="52" spans="1:9" x14ac:dyDescent="0.25">
      <c r="A52" t="str">
        <f t="shared" ref="A52:B52" si="17">A18</f>
        <v>CDRIA-2035</v>
      </c>
      <c r="B52" t="str">
        <f t="shared" si="17"/>
        <v>1.5 Gt</v>
      </c>
      <c r="C52">
        <f>D18</f>
        <v>18.358116920014702</v>
      </c>
      <c r="D52">
        <f>I18</f>
        <v>4.5299326625634597</v>
      </c>
      <c r="F52">
        <f>C52</f>
        <v>18.358116920014702</v>
      </c>
    </row>
    <row r="53" spans="1:9" x14ac:dyDescent="0.25">
      <c r="A53" t="str">
        <f t="shared" ref="A53:B53" si="18">A19</f>
        <v>CDRIA-2050</v>
      </c>
      <c r="B53" t="str">
        <f t="shared" si="18"/>
        <v>1.5 Gt</v>
      </c>
      <c r="C53">
        <f>D19</f>
        <v>58.071655757244301</v>
      </c>
      <c r="D53">
        <f>I19</f>
        <v>46.908433540766197</v>
      </c>
      <c r="F53">
        <f>C53</f>
        <v>58.071655757244301</v>
      </c>
    </row>
    <row r="54" spans="1:9" x14ac:dyDescent="0.25">
      <c r="A54" t="str">
        <f t="shared" ref="A54:B54" si="19">A20</f>
        <v>1500 Mt Baseline</v>
      </c>
      <c r="B54" t="str">
        <f t="shared" si="19"/>
        <v>1.5 Gt</v>
      </c>
      <c r="C54">
        <f>D20</f>
        <v>19.569169104060201</v>
      </c>
      <c r="D54">
        <f>I20</f>
        <v>8.4504572715756492</v>
      </c>
      <c r="I54">
        <f>C54</f>
        <v>19.569169104060201</v>
      </c>
    </row>
    <row r="55" spans="1:9" x14ac:dyDescent="0.25">
      <c r="A55" t="str">
        <f t="shared" ref="A55:B55" si="20">A21</f>
        <v>Innovation-DACHubs</v>
      </c>
      <c r="B55" t="str">
        <f t="shared" si="20"/>
        <v>1.5 Gt</v>
      </c>
      <c r="C55">
        <f>D21</f>
        <v>19.3479345105611</v>
      </c>
      <c r="D55">
        <f>I21</f>
        <v>7.9367565067817498</v>
      </c>
      <c r="E55">
        <f>C55</f>
        <v>19.3479345105611</v>
      </c>
    </row>
    <row r="56" spans="1:9" x14ac:dyDescent="0.25">
      <c r="A56" t="str">
        <f t="shared" ref="A56:B56" si="21">A22</f>
        <v>Innovation-maintain</v>
      </c>
      <c r="B56" t="str">
        <f t="shared" si="21"/>
        <v>1.5 Gt</v>
      </c>
      <c r="C56">
        <f>D22</f>
        <v>17.426437752642599</v>
      </c>
      <c r="D56">
        <f>I22</f>
        <v>4.5221188649834598</v>
      </c>
      <c r="E56">
        <f t="shared" ref="E56:E59" si="22">C56</f>
        <v>17.426437752642599</v>
      </c>
    </row>
    <row r="57" spans="1:9" x14ac:dyDescent="0.25">
      <c r="A57" t="str">
        <f t="shared" ref="A57:B57" si="23">A23</f>
        <v>Innovation-rhodium18b</v>
      </c>
      <c r="B57" t="str">
        <f t="shared" si="23"/>
        <v>1.5 Gt</v>
      </c>
      <c r="C57">
        <f>D23</f>
        <v>15.2720343935841</v>
      </c>
      <c r="D57">
        <f>I23</f>
        <v>-0.46285562453315499</v>
      </c>
      <c r="E57">
        <f t="shared" si="22"/>
        <v>15.2720343935841</v>
      </c>
    </row>
    <row r="58" spans="1:9" x14ac:dyDescent="0.25">
      <c r="A58" t="str">
        <f t="shared" ref="A58:B58" si="24">A24</f>
        <v>Innovation-rhodium6b</v>
      </c>
      <c r="B58" t="str">
        <f t="shared" si="24"/>
        <v>1.5 Gt</v>
      </c>
      <c r="C58">
        <f>D24</f>
        <v>18.711380137035199</v>
      </c>
      <c r="D58">
        <f>I24</f>
        <v>7.1441239026772303</v>
      </c>
      <c r="E58">
        <f t="shared" si="22"/>
        <v>18.711380137035199</v>
      </c>
    </row>
    <row r="59" spans="1:9" x14ac:dyDescent="0.25">
      <c r="A59" t="str">
        <f t="shared" ref="A59:B59" si="25">A25</f>
        <v>Innovation-triple</v>
      </c>
      <c r="B59" t="str">
        <f t="shared" si="25"/>
        <v>1.5 Gt</v>
      </c>
      <c r="C59">
        <f>D25</f>
        <v>15.835044160000001</v>
      </c>
      <c r="D59">
        <f>I25</f>
        <v>1.4728076189999999</v>
      </c>
      <c r="E59">
        <f t="shared" si="22"/>
        <v>15.835044160000001</v>
      </c>
    </row>
    <row r="60" spans="1:9" x14ac:dyDescent="0.25">
      <c r="A60" t="str">
        <f t="shared" ref="A60:B60" si="26">A26</f>
        <v>Procure3B</v>
      </c>
      <c r="B60" t="str">
        <f t="shared" si="26"/>
        <v>1.5 Gt</v>
      </c>
      <c r="C60">
        <f>D26</f>
        <v>18.116868790000002</v>
      </c>
      <c r="D60">
        <f>I26</f>
        <v>3.0910263379999998</v>
      </c>
      <c r="G60">
        <f>C60</f>
        <v>18.116868790000002</v>
      </c>
    </row>
    <row r="61" spans="1:9" x14ac:dyDescent="0.25">
      <c r="A61" t="str">
        <f t="shared" ref="A61:B61" si="27">A27</f>
        <v>ProcureRhodium</v>
      </c>
      <c r="B61" t="str">
        <f t="shared" si="27"/>
        <v>1.5 Gt</v>
      </c>
      <c r="C61">
        <f>D27</f>
        <v>33.128009292988999</v>
      </c>
      <c r="D61">
        <f>I27</f>
        <v>1.3040601447008899</v>
      </c>
      <c r="G61">
        <f>C61</f>
        <v>33.128009292988999</v>
      </c>
    </row>
    <row r="62" spans="1:9" x14ac:dyDescent="0.25">
      <c r="A62" t="str">
        <f t="shared" ref="A62:B62" si="28">A28</f>
        <v>ProcureScaling</v>
      </c>
      <c r="B62" t="str">
        <f t="shared" si="28"/>
        <v>1.5 Gt</v>
      </c>
      <c r="C62">
        <f>D28</f>
        <v>17.85055715</v>
      </c>
      <c r="D62">
        <f>I28</f>
        <v>4.2508096210000001</v>
      </c>
      <c r="G62">
        <f>C62</f>
        <v>17.85055715</v>
      </c>
    </row>
    <row r="63" spans="1:9" x14ac:dyDescent="0.25">
      <c r="A63" t="str">
        <f t="shared" ref="A63:B63" si="29">A29</f>
        <v>2.4 Gt Baseline</v>
      </c>
      <c r="B63" t="str">
        <f t="shared" si="29"/>
        <v>2.4 Gt</v>
      </c>
      <c r="C63">
        <f>D29</f>
        <v>10.35532240113</v>
      </c>
      <c r="D63">
        <f>I29</f>
        <v>-3.29955859800915</v>
      </c>
      <c r="I63">
        <f>C63</f>
        <v>10.35532240113</v>
      </c>
    </row>
    <row r="64" spans="1:9" x14ac:dyDescent="0.25">
      <c r="A64" t="str">
        <f t="shared" ref="A64:B64" si="30">A30</f>
        <v>4.1 Gt Baseline</v>
      </c>
      <c r="B64" t="str">
        <f t="shared" si="30"/>
        <v>4.1 Gt</v>
      </c>
      <c r="C64">
        <f>D30</f>
        <v>12.77316897</v>
      </c>
      <c r="D64">
        <f>I30</f>
        <v>23.65954266</v>
      </c>
      <c r="I64">
        <f>C64</f>
        <v>12.77316897</v>
      </c>
    </row>
    <row r="65" spans="1:10" x14ac:dyDescent="0.25">
      <c r="A65" t="str">
        <f>A31</f>
        <v>45Q-2040-maintain-l</v>
      </c>
      <c r="B65" t="str">
        <f>B31</f>
        <v>500 Mt</v>
      </c>
      <c r="C65">
        <f>D31</f>
        <v>29.8235092</v>
      </c>
      <c r="D65">
        <f>I31</f>
        <v>8.4505067559999993</v>
      </c>
      <c r="H65">
        <f>C65</f>
        <v>29.8235092</v>
      </c>
    </row>
    <row r="66" spans="1:10" x14ac:dyDescent="0.25">
      <c r="A66" t="str">
        <f t="shared" ref="A66:B66" si="31">A32</f>
        <v>procure-scaling-maintain-h</v>
      </c>
      <c r="B66" t="str">
        <f t="shared" si="31"/>
        <v>1.5 Gt</v>
      </c>
      <c r="C66">
        <f>D32</f>
        <v>20.970243126401598</v>
      </c>
      <c r="D66">
        <f t="shared" ref="D66" si="32">I32</f>
        <v>11.3709295826815</v>
      </c>
      <c r="H66">
        <f>C66</f>
        <v>20.970243126401598</v>
      </c>
    </row>
    <row r="68" spans="1:10" x14ac:dyDescent="0.25">
      <c r="A68" s="7">
        <v>0.12</v>
      </c>
      <c r="B68" s="7" t="str">
        <f>B35</f>
        <v>Baseline</v>
      </c>
      <c r="C68" s="7" t="str">
        <f>F1</f>
        <v>12% discount rate</v>
      </c>
      <c r="D68" s="7" t="str">
        <f>D35</f>
        <v>As snapshot of CDR prices in 2050</v>
      </c>
      <c r="E68" t="s">
        <v>62</v>
      </c>
      <c r="F68" t="s">
        <v>63</v>
      </c>
      <c r="G68" t="s">
        <v>64</v>
      </c>
      <c r="H68" t="s">
        <v>65</v>
      </c>
      <c r="I68" t="s">
        <v>66</v>
      </c>
      <c r="J68" t="s">
        <v>67</v>
      </c>
    </row>
    <row r="69" spans="1:10" x14ac:dyDescent="0.25">
      <c r="A69" s="7" t="str">
        <f>A36</f>
        <v>100 Mt Baseline</v>
      </c>
      <c r="B69" s="7" t="str">
        <f>B36</f>
        <v>100 Mt</v>
      </c>
      <c r="C69" s="8">
        <f>F2</f>
        <v>7.0584768642748097E-7</v>
      </c>
      <c r="D69">
        <f>D36</f>
        <v>4.4107347383287797E-12</v>
      </c>
      <c r="I69" s="8"/>
      <c r="J69">
        <v>0</v>
      </c>
    </row>
    <row r="70" spans="1:10" x14ac:dyDescent="0.25">
      <c r="A70" s="7" t="str">
        <f>A37</f>
        <v>45Q-2040</v>
      </c>
      <c r="B70" s="7" t="str">
        <f>B37</f>
        <v>500 Mt</v>
      </c>
      <c r="C70" s="8">
        <f>F3</f>
        <v>38.721957222405898</v>
      </c>
      <c r="D70">
        <f>D37</f>
        <v>10.903288298281099</v>
      </c>
      <c r="F70" s="8">
        <f>C70</f>
        <v>38.721957222405898</v>
      </c>
    </row>
    <row r="71" spans="1:10" x14ac:dyDescent="0.25">
      <c r="A71" s="7" t="str">
        <f>A38</f>
        <v>45Q-2050</v>
      </c>
      <c r="B71" s="7" t="str">
        <f>B38</f>
        <v>500 Mt</v>
      </c>
      <c r="C71" s="8">
        <f>F4</f>
        <v>81.341564259999998</v>
      </c>
      <c r="D71">
        <f>D38</f>
        <v>77.537456390000003</v>
      </c>
      <c r="F71" s="8">
        <f>C71</f>
        <v>81.341564259999998</v>
      </c>
    </row>
    <row r="72" spans="1:10" x14ac:dyDescent="0.25">
      <c r="A72" s="7" t="str">
        <f>A39</f>
        <v>CDRIA-2035</v>
      </c>
      <c r="B72" s="7" t="str">
        <f>B39</f>
        <v>500 Mt</v>
      </c>
      <c r="C72" s="8">
        <f>F5</f>
        <v>34.9056193109856</v>
      </c>
      <c r="D72">
        <f>D39</f>
        <v>10.7774242857275</v>
      </c>
      <c r="F72" s="8">
        <f>C72</f>
        <v>34.9056193109856</v>
      </c>
    </row>
    <row r="73" spans="1:10" x14ac:dyDescent="0.25">
      <c r="A73" s="7" t="str">
        <f>A40</f>
        <v>CDRIA-2050</v>
      </c>
      <c r="B73" s="7" t="str">
        <f>B40</f>
        <v>500 Mt</v>
      </c>
      <c r="C73" s="8">
        <f>F6</f>
        <v>77.9808150994659</v>
      </c>
      <c r="D73">
        <f>D40</f>
        <v>92.865196996374294</v>
      </c>
      <c r="F73" s="8">
        <f>C73</f>
        <v>77.9808150994659</v>
      </c>
    </row>
    <row r="74" spans="1:10" x14ac:dyDescent="0.25">
      <c r="A74" s="7" t="str">
        <f>A41</f>
        <v>Innovation-DACHubs</v>
      </c>
      <c r="B74" s="7" t="str">
        <f>B41</f>
        <v>500 Mt</v>
      </c>
      <c r="C74" s="8">
        <f>F7</f>
        <v>25.534548470000001</v>
      </c>
      <c r="D74">
        <f>D41</f>
        <v>12.61015407</v>
      </c>
      <c r="E74" s="8">
        <f>C74</f>
        <v>25.534548470000001</v>
      </c>
    </row>
    <row r="75" spans="1:10" x14ac:dyDescent="0.25">
      <c r="A75" s="7" t="str">
        <f>A42</f>
        <v>Innovation-maintain</v>
      </c>
      <c r="B75" s="7" t="str">
        <f>B42</f>
        <v>500 Mt</v>
      </c>
      <c r="C75" s="8">
        <f>F8</f>
        <v>24.666197789999998</v>
      </c>
      <c r="D75">
        <f>D42</f>
        <v>10.690108459999999</v>
      </c>
      <c r="E75" s="8">
        <f>C75</f>
        <v>24.666197789999998</v>
      </c>
    </row>
    <row r="76" spans="1:10" x14ac:dyDescent="0.25">
      <c r="A76" s="7" t="str">
        <f>A43</f>
        <v>Innovation-rhodium18b</v>
      </c>
      <c r="B76" s="7" t="str">
        <f>B43</f>
        <v>500 Mt</v>
      </c>
      <c r="C76" s="8">
        <f>F9</f>
        <v>32.946601966646497</v>
      </c>
      <c r="D76">
        <f>D43</f>
        <v>6.5878222614765596</v>
      </c>
      <c r="E76" s="8">
        <f>C76</f>
        <v>32.946601966646497</v>
      </c>
    </row>
    <row r="77" spans="1:10" x14ac:dyDescent="0.25">
      <c r="A77" s="7" t="str">
        <f>A44</f>
        <v>Innovation-rhodium6b</v>
      </c>
      <c r="B77" s="7" t="str">
        <f>B44</f>
        <v>500 Mt</v>
      </c>
      <c r="C77" s="8">
        <f>F10</f>
        <v>27.1333110468562</v>
      </c>
      <c r="D77">
        <f>D44</f>
        <v>9.0841009242921409</v>
      </c>
      <c r="E77" s="8">
        <f>C77</f>
        <v>27.1333110468562</v>
      </c>
    </row>
    <row r="78" spans="1:10" x14ac:dyDescent="0.25">
      <c r="A78" s="7" t="str">
        <f>A45</f>
        <v>Innovation-triple</v>
      </c>
      <c r="B78" s="7" t="str">
        <f>B45</f>
        <v>500 Mt</v>
      </c>
      <c r="C78" s="8">
        <f>F11</f>
        <v>27.269937800000001</v>
      </c>
      <c r="D78">
        <f>D45</f>
        <v>8.5063978210000002</v>
      </c>
      <c r="E78" s="8">
        <f>C78</f>
        <v>27.269937800000001</v>
      </c>
    </row>
    <row r="79" spans="1:10" x14ac:dyDescent="0.25">
      <c r="A79" s="7" t="str">
        <f>A46</f>
        <v>500 Mt Baseline</v>
      </c>
      <c r="B79" s="7" t="str">
        <f>B46</f>
        <v>500 Mt</v>
      </c>
      <c r="C79" s="8">
        <f>F12</f>
        <v>22.899921722103699</v>
      </c>
      <c r="D79">
        <f>D46</f>
        <v>13.1371090828438</v>
      </c>
      <c r="I79" s="8">
        <f>C79</f>
        <v>22.899921722103699</v>
      </c>
    </row>
    <row r="80" spans="1:10" x14ac:dyDescent="0.25">
      <c r="A80" s="7" t="str">
        <f>A47</f>
        <v>Procure3B</v>
      </c>
      <c r="B80" s="7" t="str">
        <f>B47</f>
        <v>500 Mt</v>
      </c>
      <c r="C80" s="8">
        <f>F13</f>
        <v>38.516546691544299</v>
      </c>
      <c r="D80">
        <f>D47</f>
        <v>9.2006200346008296</v>
      </c>
      <c r="G80" s="8">
        <f>C80</f>
        <v>38.516546691544299</v>
      </c>
    </row>
    <row r="81" spans="1:9" x14ac:dyDescent="0.25">
      <c r="A81" s="7" t="str">
        <f>A48</f>
        <v>ProcureRhodium</v>
      </c>
      <c r="B81" s="7" t="str">
        <f>B48</f>
        <v>500 Mt</v>
      </c>
      <c r="C81" s="8">
        <f>F14</f>
        <v>236.62134520618201</v>
      </c>
      <c r="D81">
        <f>D48</f>
        <v>1.9261438344295101</v>
      </c>
      <c r="G81" s="8">
        <f>C81</f>
        <v>236.62134520618201</v>
      </c>
    </row>
    <row r="82" spans="1:9" x14ac:dyDescent="0.25">
      <c r="A82" s="7" t="str">
        <f>A49</f>
        <v>ProcureScaling</v>
      </c>
      <c r="B82" s="7" t="str">
        <f>B49</f>
        <v>500 Mt</v>
      </c>
      <c r="C82" s="8">
        <f>F15</f>
        <v>29.835672107540901</v>
      </c>
      <c r="D82">
        <f>D49</f>
        <v>10.199345228143001</v>
      </c>
      <c r="G82" s="8">
        <f>C82</f>
        <v>29.835672107540901</v>
      </c>
    </row>
    <row r="83" spans="1:9" x14ac:dyDescent="0.25">
      <c r="A83" s="7" t="str">
        <f>A50</f>
        <v>45Q-2040</v>
      </c>
      <c r="B83" s="7" t="str">
        <f>B50</f>
        <v>1.5 Gt</v>
      </c>
      <c r="C83" s="8">
        <f>F16</f>
        <v>33.296985970000001</v>
      </c>
      <c r="D83">
        <f>D50</f>
        <v>4.2929028440000003</v>
      </c>
      <c r="F83" s="8">
        <f>C83</f>
        <v>33.296985970000001</v>
      </c>
    </row>
    <row r="84" spans="1:9" x14ac:dyDescent="0.25">
      <c r="A84" s="7" t="str">
        <f>A51</f>
        <v>45Q-2050</v>
      </c>
      <c r="B84" s="7" t="str">
        <f>B51</f>
        <v>1.5 Gt</v>
      </c>
      <c r="C84" s="8">
        <f>F17</f>
        <v>73.808838069999993</v>
      </c>
      <c r="D84">
        <f>D51</f>
        <v>9.0041609660000006</v>
      </c>
      <c r="F84" s="8">
        <f>C84</f>
        <v>73.808838069999993</v>
      </c>
    </row>
    <row r="85" spans="1:9" x14ac:dyDescent="0.25">
      <c r="A85" s="7" t="str">
        <f>A52</f>
        <v>CDRIA-2035</v>
      </c>
      <c r="B85" s="7" t="str">
        <f>B52</f>
        <v>1.5 Gt</v>
      </c>
      <c r="C85" s="8">
        <f>F18</f>
        <v>29.945423567779098</v>
      </c>
      <c r="D85">
        <f>D52</f>
        <v>4.5299326625634597</v>
      </c>
      <c r="F85" s="8">
        <f>C85</f>
        <v>29.945423567779098</v>
      </c>
    </row>
    <row r="86" spans="1:9" x14ac:dyDescent="0.25">
      <c r="A86" s="7" t="str">
        <f>A53</f>
        <v>CDRIA-2050</v>
      </c>
      <c r="B86" s="7" t="str">
        <f>B53</f>
        <v>1.5 Gt</v>
      </c>
      <c r="C86" s="8">
        <f>F19</f>
        <v>36.852170288475101</v>
      </c>
      <c r="D86">
        <f>D53</f>
        <v>46.908433540766197</v>
      </c>
      <c r="F86" s="8">
        <f>C86</f>
        <v>36.852170288475101</v>
      </c>
    </row>
    <row r="87" spans="1:9" x14ac:dyDescent="0.25">
      <c r="A87" s="7" t="str">
        <f>A54</f>
        <v>1500 Mt Baseline</v>
      </c>
      <c r="B87" s="7" t="str">
        <f>B54</f>
        <v>1.5 Gt</v>
      </c>
      <c r="C87" s="8">
        <f>F20</f>
        <v>24.7795344738106</v>
      </c>
      <c r="D87">
        <f>D54</f>
        <v>8.4504572715756492</v>
      </c>
      <c r="I87" s="8">
        <f>C87</f>
        <v>24.7795344738106</v>
      </c>
    </row>
    <row r="88" spans="1:9" x14ac:dyDescent="0.25">
      <c r="A88" s="7" t="str">
        <f>A55</f>
        <v>Innovation-DACHubs</v>
      </c>
      <c r="B88" s="7" t="str">
        <f>B55</f>
        <v>1.5 Gt</v>
      </c>
      <c r="C88" s="8">
        <f>F21</f>
        <v>25.703142301648999</v>
      </c>
      <c r="D88">
        <f>D55</f>
        <v>7.9367565067817498</v>
      </c>
      <c r="E88" s="8">
        <f>C88</f>
        <v>25.703142301648999</v>
      </c>
    </row>
    <row r="89" spans="1:9" x14ac:dyDescent="0.25">
      <c r="A89" s="7" t="str">
        <f>A56</f>
        <v>Innovation-maintain</v>
      </c>
      <c r="B89" s="7" t="str">
        <f>B56</f>
        <v>1.5 Gt</v>
      </c>
      <c r="C89" s="8">
        <f>F22</f>
        <v>23.678534872133099</v>
      </c>
      <c r="D89">
        <f>D56</f>
        <v>4.5221188649834598</v>
      </c>
      <c r="E89" s="8">
        <f>C89</f>
        <v>23.678534872133099</v>
      </c>
    </row>
    <row r="90" spans="1:9" x14ac:dyDescent="0.25">
      <c r="A90" s="7" t="str">
        <f>A57</f>
        <v>Innovation-rhodium18b</v>
      </c>
      <c r="B90" s="7" t="str">
        <f>B57</f>
        <v>1.5 Gt</v>
      </c>
      <c r="C90" s="8">
        <f>F23</f>
        <v>24.125784406163799</v>
      </c>
      <c r="D90">
        <f>D57</f>
        <v>-0.46285562453315499</v>
      </c>
      <c r="E90" s="8">
        <f>C90</f>
        <v>24.125784406163799</v>
      </c>
    </row>
    <row r="91" spans="1:9" x14ac:dyDescent="0.25">
      <c r="A91" s="7" t="str">
        <f>A58</f>
        <v>Innovation-rhodium6b</v>
      </c>
      <c r="B91" s="7" t="str">
        <f>B58</f>
        <v>1.5 Gt</v>
      </c>
      <c r="C91" s="8">
        <f>F24</f>
        <v>24.987148118530001</v>
      </c>
      <c r="D91">
        <f>D58</f>
        <v>7.1441239026772303</v>
      </c>
      <c r="E91" s="8">
        <f>C91</f>
        <v>24.987148118530001</v>
      </c>
    </row>
    <row r="92" spans="1:9" x14ac:dyDescent="0.25">
      <c r="A92" s="7" t="str">
        <f>A59</f>
        <v>Innovation-triple</v>
      </c>
      <c r="B92" s="7" t="str">
        <f>B59</f>
        <v>1.5 Gt</v>
      </c>
      <c r="C92" s="8">
        <f>F25</f>
        <v>23.117427169999999</v>
      </c>
      <c r="D92">
        <f>D59</f>
        <v>1.4728076189999999</v>
      </c>
      <c r="E92" s="8">
        <f>C92</f>
        <v>23.117427169999999</v>
      </c>
    </row>
    <row r="93" spans="1:9" x14ac:dyDescent="0.25">
      <c r="A93" s="7" t="str">
        <f>A60</f>
        <v>Procure3B</v>
      </c>
      <c r="B93" s="7" t="str">
        <f>B60</f>
        <v>1.5 Gt</v>
      </c>
      <c r="C93" s="8">
        <f>F26</f>
        <v>28.633791110000001</v>
      </c>
      <c r="D93">
        <f>D60</f>
        <v>3.0910263379999998</v>
      </c>
      <c r="G93" s="8">
        <f>C93</f>
        <v>28.633791110000001</v>
      </c>
    </row>
    <row r="94" spans="1:9" x14ac:dyDescent="0.25">
      <c r="A94" s="7" t="str">
        <f>A61</f>
        <v>ProcureRhodium</v>
      </c>
      <c r="B94" s="7" t="str">
        <f>B61</f>
        <v>1.5 Gt</v>
      </c>
      <c r="C94" s="8">
        <f>F27</f>
        <v>81.360565601751006</v>
      </c>
      <c r="D94">
        <f>D61</f>
        <v>1.3040601447008899</v>
      </c>
      <c r="G94" s="8">
        <f>C94</f>
        <v>81.360565601751006</v>
      </c>
    </row>
    <row r="95" spans="1:9" x14ac:dyDescent="0.25">
      <c r="A95" s="7" t="str">
        <f>A62</f>
        <v>ProcureScaling</v>
      </c>
      <c r="B95" s="7" t="str">
        <f>B62</f>
        <v>1.5 Gt</v>
      </c>
      <c r="C95" s="8">
        <f>F28</f>
        <v>25.60012553</v>
      </c>
      <c r="D95">
        <f>D62</f>
        <v>4.2508096210000001</v>
      </c>
      <c r="G95" s="8">
        <f>C95</f>
        <v>25.60012553</v>
      </c>
    </row>
    <row r="96" spans="1:9" x14ac:dyDescent="0.25">
      <c r="A96" s="7" t="str">
        <f>A63</f>
        <v>2.4 Gt Baseline</v>
      </c>
      <c r="B96" s="7" t="str">
        <f>B63</f>
        <v>2.4 Gt</v>
      </c>
      <c r="C96" s="8">
        <f>F29</f>
        <v>17.558327755798199</v>
      </c>
      <c r="D96">
        <f>D63</f>
        <v>-3.29955859800915</v>
      </c>
      <c r="I96" s="8">
        <f>C96</f>
        <v>17.558327755798199</v>
      </c>
    </row>
    <row r="97" spans="1:10" x14ac:dyDescent="0.25">
      <c r="A97" s="7" t="str">
        <f>A64</f>
        <v>4.1 Gt Baseline</v>
      </c>
      <c r="B97" s="7" t="str">
        <f>B64</f>
        <v>4.1 Gt</v>
      </c>
      <c r="C97" s="8">
        <f>F30</f>
        <v>17.155655410000001</v>
      </c>
      <c r="D97">
        <f>D64</f>
        <v>23.65954266</v>
      </c>
      <c r="I97" s="8">
        <f>C97</f>
        <v>17.155655410000001</v>
      </c>
    </row>
    <row r="98" spans="1:10" x14ac:dyDescent="0.25">
      <c r="A98" s="7" t="str">
        <f>A65</f>
        <v>45Q-2040-maintain-l</v>
      </c>
      <c r="B98" s="7" t="str">
        <f>B65</f>
        <v>500 Mt</v>
      </c>
      <c r="C98" s="8">
        <f>F31</f>
        <v>43.116454249999997</v>
      </c>
      <c r="D98">
        <f>D65</f>
        <v>8.4505067559999993</v>
      </c>
      <c r="H98" s="8">
        <f>C98</f>
        <v>43.116454249999997</v>
      </c>
    </row>
    <row r="99" spans="1:10" x14ac:dyDescent="0.25">
      <c r="A99" s="7" t="str">
        <f>A66</f>
        <v>procure-scaling-maintain-h</v>
      </c>
      <c r="B99" s="7" t="str">
        <f>B66</f>
        <v>1.5 Gt</v>
      </c>
      <c r="C99" s="8">
        <f>F32</f>
        <v>27.824134675364</v>
      </c>
      <c r="D99">
        <f>D66</f>
        <v>11.3709295826815</v>
      </c>
      <c r="H99" s="8">
        <f>C99</f>
        <v>27.824134675364</v>
      </c>
    </row>
    <row r="101" spans="1:10" x14ac:dyDescent="0.25">
      <c r="A101" s="7">
        <v>0.2</v>
      </c>
      <c r="B101" t="str">
        <f>B1</f>
        <v>Baseline</v>
      </c>
      <c r="C101" t="str">
        <f>H1</f>
        <v>20% discount rate</v>
      </c>
      <c r="D101" s="7" t="str">
        <f t="shared" ref="D101" si="33">D68</f>
        <v>As snapshot of CDR prices in 2050</v>
      </c>
      <c r="E101" t="s">
        <v>62</v>
      </c>
      <c r="F101" t="s">
        <v>63</v>
      </c>
      <c r="G101" t="s">
        <v>64</v>
      </c>
      <c r="H101" t="s">
        <v>65</v>
      </c>
      <c r="I101" t="s">
        <v>66</v>
      </c>
      <c r="J101" t="s">
        <v>67</v>
      </c>
    </row>
    <row r="102" spans="1:10" x14ac:dyDescent="0.25">
      <c r="A102" s="7" t="str">
        <f>A69</f>
        <v>100 Mt Baseline</v>
      </c>
      <c r="B102" s="7" t="str">
        <f>B69</f>
        <v>100 Mt</v>
      </c>
      <c r="C102">
        <f>H2</f>
        <v>1.9267683221889798E-6</v>
      </c>
      <c r="D102" s="8">
        <f>D69</f>
        <v>4.4107347383287797E-12</v>
      </c>
      <c r="I102" s="8"/>
      <c r="J102">
        <v>0</v>
      </c>
    </row>
    <row r="103" spans="1:10" x14ac:dyDescent="0.25">
      <c r="A103" s="7" t="str">
        <f t="shared" ref="A103:B103" si="34">A70</f>
        <v>45Q-2040</v>
      </c>
      <c r="B103" s="7" t="str">
        <f t="shared" si="34"/>
        <v>500 Mt</v>
      </c>
      <c r="C103">
        <f>H3</f>
        <v>43.944236486980699</v>
      </c>
      <c r="D103" s="8">
        <f>D70</f>
        <v>10.903288298281099</v>
      </c>
      <c r="F103" s="8">
        <f>C103</f>
        <v>43.944236486980699</v>
      </c>
    </row>
    <row r="104" spans="1:10" x14ac:dyDescent="0.25">
      <c r="A104" s="7" t="str">
        <f t="shared" ref="A104:B104" si="35">A71</f>
        <v>45Q-2050</v>
      </c>
      <c r="B104" s="7" t="str">
        <f t="shared" si="35"/>
        <v>500 Mt</v>
      </c>
      <c r="C104">
        <f>H4</f>
        <v>66.213331229999994</v>
      </c>
      <c r="D104" s="8">
        <f>D71</f>
        <v>77.537456390000003</v>
      </c>
      <c r="F104" s="8">
        <f>C104</f>
        <v>66.213331229999994</v>
      </c>
    </row>
    <row r="105" spans="1:10" x14ac:dyDescent="0.25">
      <c r="A105" s="7" t="str">
        <f t="shared" ref="A105:B105" si="36">A72</f>
        <v>CDRIA-2035</v>
      </c>
      <c r="B105" s="7" t="str">
        <f t="shared" si="36"/>
        <v>500 Mt</v>
      </c>
      <c r="C105">
        <f>H5</f>
        <v>47.160196832255302</v>
      </c>
      <c r="D105" s="8">
        <f>D72</f>
        <v>10.7774242857275</v>
      </c>
      <c r="F105" s="8">
        <f>C105</f>
        <v>47.160196832255302</v>
      </c>
    </row>
    <row r="106" spans="1:10" x14ac:dyDescent="0.25">
      <c r="A106" s="7" t="str">
        <f t="shared" ref="A106:B106" si="37">A73</f>
        <v>CDRIA-2050</v>
      </c>
      <c r="B106" s="7" t="str">
        <f t="shared" si="37"/>
        <v>500 Mt</v>
      </c>
      <c r="C106">
        <f>H6</f>
        <v>75.5013687287978</v>
      </c>
      <c r="D106" s="8">
        <f>D73</f>
        <v>92.865196996374294</v>
      </c>
      <c r="F106" s="8">
        <f>C106</f>
        <v>75.5013687287978</v>
      </c>
    </row>
    <row r="107" spans="1:10" x14ac:dyDescent="0.25">
      <c r="A107" s="7" t="str">
        <f t="shared" ref="A107:B107" si="38">A74</f>
        <v>Innovation-DACHubs</v>
      </c>
      <c r="B107" s="7" t="str">
        <f t="shared" si="38"/>
        <v>500 Mt</v>
      </c>
      <c r="C107">
        <f>H7</f>
        <v>30.623022649999999</v>
      </c>
      <c r="D107" s="8">
        <f>D74</f>
        <v>12.61015407</v>
      </c>
      <c r="E107" s="8">
        <f>C107</f>
        <v>30.623022649999999</v>
      </c>
    </row>
    <row r="108" spans="1:10" x14ac:dyDescent="0.25">
      <c r="A108" s="7" t="str">
        <f t="shared" ref="A108:B108" si="39">A75</f>
        <v>Innovation-maintain</v>
      </c>
      <c r="B108" s="7" t="str">
        <f t="shared" si="39"/>
        <v>500 Mt</v>
      </c>
      <c r="C108">
        <f>H8</f>
        <v>25.579182240000002</v>
      </c>
      <c r="D108" s="8">
        <f>D75</f>
        <v>10.690108459999999</v>
      </c>
      <c r="E108" s="8">
        <f>C108</f>
        <v>25.579182240000002</v>
      </c>
    </row>
    <row r="109" spans="1:10" x14ac:dyDescent="0.25">
      <c r="A109" s="7" t="str">
        <f t="shared" ref="A109:B109" si="40">A76</f>
        <v>Innovation-rhodium18b</v>
      </c>
      <c r="B109" s="7" t="str">
        <f t="shared" si="40"/>
        <v>500 Mt</v>
      </c>
      <c r="C109">
        <f>H9</f>
        <v>34.1831762439313</v>
      </c>
      <c r="D109" s="8">
        <f>D76</f>
        <v>6.5878222614765596</v>
      </c>
      <c r="E109" s="8">
        <f>C109</f>
        <v>34.1831762439313</v>
      </c>
    </row>
    <row r="110" spans="1:10" x14ac:dyDescent="0.25">
      <c r="A110" s="7" t="str">
        <f t="shared" ref="A110:B110" si="41">A77</f>
        <v>Innovation-rhodium6b</v>
      </c>
      <c r="B110" s="7" t="str">
        <f t="shared" si="41"/>
        <v>500 Mt</v>
      </c>
      <c r="C110">
        <f>H10</f>
        <v>27.845083686462701</v>
      </c>
      <c r="D110" s="8">
        <f>D77</f>
        <v>9.0841009242921409</v>
      </c>
      <c r="E110" s="8">
        <f>C110</f>
        <v>27.845083686462701</v>
      </c>
    </row>
    <row r="111" spans="1:10" x14ac:dyDescent="0.25">
      <c r="A111" s="7" t="str">
        <f t="shared" ref="A111:B111" si="42">A78</f>
        <v>Innovation-triple</v>
      </c>
      <c r="B111" s="7" t="str">
        <f t="shared" si="42"/>
        <v>500 Mt</v>
      </c>
      <c r="C111">
        <f>H11</f>
        <v>28.329187040000001</v>
      </c>
      <c r="D111" s="8">
        <f>D78</f>
        <v>8.5063978210000002</v>
      </c>
      <c r="E111" s="8">
        <f>C111</f>
        <v>28.329187040000001</v>
      </c>
    </row>
    <row r="112" spans="1:10" x14ac:dyDescent="0.25">
      <c r="A112" s="7" t="str">
        <f t="shared" ref="A112:B112" si="43">A79</f>
        <v>500 Mt Baseline</v>
      </c>
      <c r="B112" s="7" t="str">
        <f t="shared" si="43"/>
        <v>500 Mt</v>
      </c>
      <c r="C112">
        <f>H12</f>
        <v>24.134127641377798</v>
      </c>
      <c r="D112" s="8">
        <f>D79</f>
        <v>13.1371090828438</v>
      </c>
      <c r="I112" s="8">
        <f>C112</f>
        <v>24.134127641377798</v>
      </c>
    </row>
    <row r="113" spans="1:9" x14ac:dyDescent="0.25">
      <c r="A113" s="7" t="str">
        <f t="shared" ref="A113:B113" si="44">A80</f>
        <v>Procure3B</v>
      </c>
      <c r="B113" s="7" t="str">
        <f t="shared" si="44"/>
        <v>500 Mt</v>
      </c>
      <c r="C113">
        <f>H13</f>
        <v>48.6695660201867</v>
      </c>
      <c r="D113" s="8">
        <f>D80</f>
        <v>9.2006200346008296</v>
      </c>
      <c r="G113" s="8">
        <f>C113</f>
        <v>48.6695660201867</v>
      </c>
    </row>
    <row r="114" spans="1:9" x14ac:dyDescent="0.25">
      <c r="A114" s="7" t="str">
        <f t="shared" ref="A114:B114" si="45">A81</f>
        <v>ProcureRhodium</v>
      </c>
      <c r="B114" s="7" t="str">
        <f t="shared" si="45"/>
        <v>500 Mt</v>
      </c>
      <c r="C114">
        <f>H14</f>
        <v>515.18468127639301</v>
      </c>
      <c r="D114" s="8">
        <f>D81</f>
        <v>1.9261438344295101</v>
      </c>
      <c r="G114" s="8">
        <f>C114</f>
        <v>515.18468127639301</v>
      </c>
    </row>
    <row r="115" spans="1:9" x14ac:dyDescent="0.25">
      <c r="A115" s="7" t="str">
        <f t="shared" ref="A115:B115" si="46">A82</f>
        <v>ProcureScaling</v>
      </c>
      <c r="B115" s="7" t="str">
        <f t="shared" si="46"/>
        <v>500 Mt</v>
      </c>
      <c r="C115">
        <f>H15</f>
        <v>33.564098898715201</v>
      </c>
      <c r="D115" s="8">
        <f>D82</f>
        <v>10.199345228143001</v>
      </c>
      <c r="G115" s="8">
        <f>C115</f>
        <v>33.564098898715201</v>
      </c>
    </row>
    <row r="116" spans="1:9" x14ac:dyDescent="0.25">
      <c r="A116" s="7" t="str">
        <f t="shared" ref="A116:B116" si="47">A83</f>
        <v>45Q-2040</v>
      </c>
      <c r="B116" s="7" t="str">
        <f t="shared" si="47"/>
        <v>1.5 Gt</v>
      </c>
      <c r="C116">
        <f>H16</f>
        <v>45.4824609</v>
      </c>
      <c r="D116" s="8">
        <f>D83</f>
        <v>4.2929028440000003</v>
      </c>
      <c r="F116" s="8">
        <f>C116</f>
        <v>45.4824609</v>
      </c>
    </row>
    <row r="117" spans="1:9" x14ac:dyDescent="0.25">
      <c r="A117" s="7" t="str">
        <f t="shared" ref="A117:B117" si="48">A84</f>
        <v>45Q-2050</v>
      </c>
      <c r="B117" s="7" t="str">
        <f t="shared" si="48"/>
        <v>1.5 Gt</v>
      </c>
      <c r="C117">
        <f>H17</f>
        <v>75.18194579</v>
      </c>
      <c r="D117" s="8">
        <f>D84</f>
        <v>9.0041609660000006</v>
      </c>
      <c r="F117" s="8">
        <f>C117</f>
        <v>75.18194579</v>
      </c>
    </row>
    <row r="118" spans="1:9" x14ac:dyDescent="0.25">
      <c r="A118" s="7" t="str">
        <f t="shared" ref="A118:B118" si="49">A85</f>
        <v>CDRIA-2035</v>
      </c>
      <c r="B118" s="7" t="str">
        <f t="shared" si="49"/>
        <v>1.5 Gt</v>
      </c>
      <c r="C118">
        <f>H18</f>
        <v>44.9719994818999</v>
      </c>
      <c r="D118" s="8">
        <f>D85</f>
        <v>4.5299326625634597</v>
      </c>
      <c r="F118" s="8">
        <f>C118</f>
        <v>44.9719994818999</v>
      </c>
    </row>
    <row r="119" spans="1:9" x14ac:dyDescent="0.25">
      <c r="A119" s="7" t="str">
        <f t="shared" ref="A119:B119" si="50">A86</f>
        <v>CDRIA-2050</v>
      </c>
      <c r="B119" s="7" t="str">
        <f t="shared" si="50"/>
        <v>1.5 Gt</v>
      </c>
      <c r="C119">
        <f>H19</f>
        <v>-67.569012270245395</v>
      </c>
      <c r="D119" s="8">
        <f>D86</f>
        <v>46.908433540766197</v>
      </c>
      <c r="F119" s="8">
        <f>C119</f>
        <v>-67.569012270245395</v>
      </c>
    </row>
    <row r="120" spans="1:9" x14ac:dyDescent="0.25">
      <c r="A120" s="7" t="str">
        <f t="shared" ref="A120:B120" si="51">A87</f>
        <v>1500 Mt Baseline</v>
      </c>
      <c r="B120" s="7" t="str">
        <f t="shared" si="51"/>
        <v>1.5 Gt</v>
      </c>
      <c r="C120">
        <f>H20</f>
        <v>29.445243255130102</v>
      </c>
      <c r="D120" s="8">
        <f t="shared" ref="D120:D132" si="52">D87</f>
        <v>8.4504572715756492</v>
      </c>
      <c r="I120" s="8">
        <f>C120</f>
        <v>29.445243255130102</v>
      </c>
    </row>
    <row r="121" spans="1:9" x14ac:dyDescent="0.25">
      <c r="A121" s="7" t="str">
        <f t="shared" ref="A121:B121" si="53">A88</f>
        <v>Innovation-DACHubs</v>
      </c>
      <c r="B121" s="7" t="str">
        <f t="shared" si="53"/>
        <v>1.5 Gt</v>
      </c>
      <c r="C121">
        <f>H21</f>
        <v>32.714646653492899</v>
      </c>
      <c r="D121" s="8">
        <f t="shared" si="52"/>
        <v>7.9367565067817498</v>
      </c>
      <c r="E121" s="8">
        <f>C121</f>
        <v>32.714646653492899</v>
      </c>
    </row>
    <row r="122" spans="1:9" x14ac:dyDescent="0.25">
      <c r="A122" s="7" t="str">
        <f t="shared" ref="A122:B122" si="54">A89</f>
        <v>Innovation-maintain</v>
      </c>
      <c r="B122" s="7" t="str">
        <f t="shared" si="54"/>
        <v>1.5 Gt</v>
      </c>
      <c r="C122">
        <f>H22</f>
        <v>28.918131262142602</v>
      </c>
      <c r="D122" s="8">
        <f t="shared" si="52"/>
        <v>4.5221188649834598</v>
      </c>
      <c r="E122" s="8">
        <f>C122</f>
        <v>28.918131262142602</v>
      </c>
    </row>
    <row r="123" spans="1:9" x14ac:dyDescent="0.25">
      <c r="A123" s="7" t="str">
        <f t="shared" ref="A123:B123" si="55">A90</f>
        <v>Innovation-rhodium18b</v>
      </c>
      <c r="B123" s="7" t="str">
        <f t="shared" si="55"/>
        <v>1.5 Gt</v>
      </c>
      <c r="C123">
        <f>H23</f>
        <v>30.9495242703358</v>
      </c>
      <c r="D123" s="8">
        <f t="shared" si="52"/>
        <v>-0.46285562453315499</v>
      </c>
      <c r="E123" s="8">
        <f>C123</f>
        <v>30.9495242703358</v>
      </c>
    </row>
    <row r="124" spans="1:9" x14ac:dyDescent="0.25">
      <c r="A124" s="7" t="str">
        <f t="shared" ref="A124:B124" si="56">A91</f>
        <v>Innovation-rhodium6b</v>
      </c>
      <c r="B124" s="7" t="str">
        <f t="shared" si="56"/>
        <v>1.5 Gt</v>
      </c>
      <c r="C124">
        <f>H24</f>
        <v>29.9878066423265</v>
      </c>
      <c r="D124" s="8">
        <f t="shared" si="52"/>
        <v>7.1441239026772303</v>
      </c>
      <c r="E124" s="8">
        <f>C124</f>
        <v>29.9878066423265</v>
      </c>
    </row>
    <row r="125" spans="1:9" x14ac:dyDescent="0.25">
      <c r="A125" s="7" t="str">
        <f t="shared" ref="A125:B125" si="57">A92</f>
        <v>Innovation-triple</v>
      </c>
      <c r="B125" s="7" t="str">
        <f t="shared" si="57"/>
        <v>1.5 Gt</v>
      </c>
      <c r="C125">
        <f>H25</f>
        <v>29.111208619999999</v>
      </c>
      <c r="D125" s="8">
        <f t="shared" si="52"/>
        <v>1.4728076189999999</v>
      </c>
      <c r="E125" s="8">
        <f>C125</f>
        <v>29.111208619999999</v>
      </c>
    </row>
    <row r="126" spans="1:9" x14ac:dyDescent="0.25">
      <c r="A126" s="7" t="str">
        <f t="shared" ref="A126:B126" si="58">A93</f>
        <v>Procure3B</v>
      </c>
      <c r="B126" s="7" t="str">
        <f t="shared" si="58"/>
        <v>1.5 Gt</v>
      </c>
      <c r="C126">
        <f>H26</f>
        <v>40.0745121</v>
      </c>
      <c r="D126" s="8">
        <f t="shared" si="52"/>
        <v>3.0910263379999998</v>
      </c>
      <c r="G126" s="8">
        <f>C126</f>
        <v>40.0745121</v>
      </c>
    </row>
    <row r="127" spans="1:9" x14ac:dyDescent="0.25">
      <c r="A127" s="7" t="str">
        <f t="shared" ref="A127:B127" si="59">A94</f>
        <v>ProcureRhodium</v>
      </c>
      <c r="B127" s="7" t="str">
        <f t="shared" si="59"/>
        <v>1.5 Gt</v>
      </c>
      <c r="C127">
        <f>H27</f>
        <v>164.08104308165801</v>
      </c>
      <c r="D127" s="8">
        <f t="shared" si="52"/>
        <v>1.3040601447008899</v>
      </c>
      <c r="G127" s="8">
        <f>C127</f>
        <v>164.08104308165801</v>
      </c>
    </row>
    <row r="128" spans="1:9" x14ac:dyDescent="0.25">
      <c r="A128" s="7" t="str">
        <f t="shared" ref="A128:B128" si="60">A95</f>
        <v>ProcureScaling</v>
      </c>
      <c r="B128" s="7" t="str">
        <f t="shared" si="60"/>
        <v>1.5 Gt</v>
      </c>
      <c r="C128">
        <f>H28</f>
        <v>32.824176229999999</v>
      </c>
      <c r="D128" s="8">
        <f t="shared" si="52"/>
        <v>4.2508096210000001</v>
      </c>
      <c r="G128" s="8">
        <f>C128</f>
        <v>32.824176229999999</v>
      </c>
    </row>
    <row r="129" spans="1:9" x14ac:dyDescent="0.25">
      <c r="A129" s="7" t="str">
        <f t="shared" ref="A129:B129" si="61">A96</f>
        <v>2.4 Gt Baseline</v>
      </c>
      <c r="B129" s="7" t="str">
        <f t="shared" si="61"/>
        <v>2.4 Gt</v>
      </c>
      <c r="C129">
        <f>H29</f>
        <v>25.800721172369698</v>
      </c>
      <c r="D129" s="8">
        <f t="shared" si="52"/>
        <v>-3.29955859800915</v>
      </c>
      <c r="I129" s="8">
        <f>C129</f>
        <v>25.800721172369698</v>
      </c>
    </row>
    <row r="130" spans="1:9" x14ac:dyDescent="0.25">
      <c r="A130" s="7" t="str">
        <f t="shared" ref="A130:B130" si="62">A97</f>
        <v>4.1 Gt Baseline</v>
      </c>
      <c r="B130" s="7" t="str">
        <f t="shared" si="62"/>
        <v>4.1 Gt</v>
      </c>
      <c r="C130">
        <f>H30</f>
        <v>24.32157226</v>
      </c>
      <c r="D130" s="8">
        <f t="shared" si="52"/>
        <v>23.65954266</v>
      </c>
      <c r="I130" s="8">
        <f>C130</f>
        <v>24.32157226</v>
      </c>
    </row>
    <row r="131" spans="1:9" x14ac:dyDescent="0.25">
      <c r="A131" s="7" t="str">
        <f t="shared" ref="A131:B131" si="63">A98</f>
        <v>45Q-2040-maintain-l</v>
      </c>
      <c r="B131" s="7" t="str">
        <f t="shared" si="63"/>
        <v>500 Mt</v>
      </c>
      <c r="C131">
        <f>H31</f>
        <v>48.172775999999999</v>
      </c>
      <c r="D131" s="8">
        <f t="shared" si="52"/>
        <v>8.4505067559999993</v>
      </c>
      <c r="H131" s="8">
        <f>C131</f>
        <v>48.172775999999999</v>
      </c>
    </row>
    <row r="132" spans="1:9" x14ac:dyDescent="0.25">
      <c r="A132" s="7" t="str">
        <f t="shared" ref="A132:B132" si="64">A99</f>
        <v>procure-scaling-maintain-h</v>
      </c>
      <c r="B132" s="7" t="str">
        <f t="shared" si="64"/>
        <v>1.5 Gt</v>
      </c>
      <c r="C132">
        <f>H32</f>
        <v>34.255471921305499</v>
      </c>
      <c r="D132" s="8">
        <f t="shared" si="52"/>
        <v>11.3709295826815</v>
      </c>
      <c r="H132">
        <f>C132</f>
        <v>34.255471921305499</v>
      </c>
    </row>
  </sheetData>
  <autoFilter ref="A1:H30" xr:uid="{66EF8D6B-AAC7-4D47-8A22-E3B6AC50568B}">
    <sortState xmlns:xlrd2="http://schemas.microsoft.com/office/spreadsheetml/2017/richdata2" ref="A16:H28">
      <sortCondition ref="A1:A30"/>
    </sortState>
  </autoFilter>
  <phoneticPr fontId="3" type="noConversion"/>
  <conditionalFormatting sqref="D2:D32 F2:F32 H2:I3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41:Z41 E42:E45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2026-07-14T13:14:25Z</dcterms:modified>
</cp:coreProperties>
</file>