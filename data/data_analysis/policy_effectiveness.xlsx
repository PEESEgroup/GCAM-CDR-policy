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75B2891-915F-4A6B-AF75-CCA9A2ED5776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Plotting Marginal CostsBenefits" sheetId="5" r:id="rId3"/>
    <sheet name="Marginal C emissions" sheetId="6" r:id="rId4"/>
    <sheet name="Net-Zero Mandate" sheetId="3" r:id="rId5"/>
    <sheet name="Counterproductive Intervention" sheetId="4" r:id="rId6"/>
  </sheets>
  <definedNames>
    <definedName name="_xlnm._FilterDatabase" localSheetId="5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4" hidden="1">'Net-Zero Mandate'!$A$1:$H$26</definedName>
    <definedName name="_xlchart.v1.0" hidden="1">'Net-Zero Mandate'!$A$2:$B$28</definedName>
    <definedName name="_xlchart.v1.1" hidden="1">'Net-Zero Mandate'!$D$1</definedName>
    <definedName name="_xlchart.v1.10" hidden="1">'Net-Zero Mandate'!$D$1</definedName>
    <definedName name="_xlchart.v1.11" hidden="1">'Net-Zero Mandate'!$D$2:$D$28</definedName>
    <definedName name="_xlchart.v1.12" hidden="1">'Net-Zero Mandate'!$F$1</definedName>
    <definedName name="_xlchart.v1.13" hidden="1">'Net-Zero Mandate'!$F$2:$F$28</definedName>
    <definedName name="_xlchart.v1.14" hidden="1">'Net-Zero Mandate'!$H$1</definedName>
    <definedName name="_xlchart.v1.15" hidden="1">'Net-Zero Mandate'!$H$2:$H$28</definedName>
    <definedName name="_xlchart.v1.16" hidden="1">'Net-Zero Mandate'!$I$1</definedName>
    <definedName name="_xlchart.v1.17" hidden="1">'Net-Zero Mandate'!$I$2:$I$28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  <definedName name="_xlchart.v1.9" hidden="1">'Net-Zero Mandate'!$A$2:$B$28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5" l="1"/>
  <c r="L60" i="5"/>
  <c r="L59" i="5"/>
  <c r="L58" i="5"/>
  <c r="J57" i="5"/>
  <c r="J56" i="5"/>
  <c r="J55" i="5"/>
  <c r="J54" i="5"/>
  <c r="J53" i="5"/>
  <c r="N52" i="5"/>
  <c r="K51" i="5"/>
  <c r="K50" i="5"/>
  <c r="K49" i="5"/>
  <c r="K48" i="5"/>
  <c r="H47" i="5"/>
  <c r="G46" i="5"/>
  <c r="G45" i="5"/>
  <c r="G44" i="5"/>
  <c r="I43" i="5"/>
  <c r="E42" i="5"/>
  <c r="E41" i="5"/>
  <c r="E40" i="5"/>
  <c r="E39" i="5"/>
  <c r="E38" i="5"/>
  <c r="F37" i="5"/>
  <c r="F36" i="5"/>
  <c r="F35" i="5"/>
  <c r="F34" i="5"/>
  <c r="A33" i="5"/>
  <c r="F2" i="5"/>
  <c r="E8" i="6"/>
  <c r="D8" i="6"/>
  <c r="E20" i="6"/>
  <c r="E19" i="6"/>
  <c r="E18" i="6"/>
  <c r="E23" i="6"/>
  <c r="E22" i="6"/>
  <c r="E21" i="6"/>
  <c r="E9" i="6"/>
  <c r="E10" i="6"/>
  <c r="E11" i="6"/>
  <c r="E12" i="6"/>
  <c r="E13" i="6"/>
  <c r="E3" i="6"/>
  <c r="D9" i="6"/>
  <c r="D10" i="6"/>
  <c r="D11" i="6"/>
  <c r="D12" i="6"/>
  <c r="D13" i="6"/>
  <c r="D23" i="6"/>
  <c r="D22" i="6"/>
  <c r="D21" i="6"/>
  <c r="D20" i="6"/>
  <c r="D19" i="6"/>
  <c r="D18" i="6"/>
  <c r="D17" i="6"/>
  <c r="D7" i="6"/>
  <c r="D2" i="6"/>
  <c r="C3" i="6"/>
  <c r="D3" i="6" s="1"/>
  <c r="C2" i="6"/>
  <c r="A87" i="3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L27" i="5"/>
  <c r="L28" i="5"/>
  <c r="L26" i="5"/>
  <c r="N20" i="5"/>
  <c r="M29" i="5"/>
  <c r="K19" i="5"/>
  <c r="K18" i="5"/>
  <c r="K17" i="5"/>
  <c r="K16" i="5"/>
  <c r="J22" i="5"/>
  <c r="J23" i="5"/>
  <c r="J24" i="5"/>
  <c r="J25" i="5"/>
  <c r="J21" i="5"/>
  <c r="E10" i="5"/>
  <c r="E6" i="5"/>
  <c r="F3" i="5"/>
  <c r="F4" i="5"/>
  <c r="F5" i="5"/>
  <c r="E7" i="5"/>
  <c r="E8" i="5"/>
  <c r="E9" i="5"/>
  <c r="I11" i="5"/>
  <c r="G12" i="5"/>
  <c r="G13" i="5"/>
  <c r="G14" i="5"/>
  <c r="H15" i="5"/>
  <c r="A1" i="5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D60" i="3" s="1"/>
  <c r="D89" i="3" s="1"/>
  <c r="B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<sst xmlns="http://schemas.openxmlformats.org/spreadsheetml/2006/main" count="491" uniqueCount="93">
  <si>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</si>
  <si>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</si>
  <si>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</si>
  <si>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</si>
  <si>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</si>
  <si>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</si>
  <si>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</si>
  <si>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</si>
  <si>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</si>
  <si>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</si>
  <si>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</si>
  <si>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</si>
  <si>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</si>
  <si>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</si>
  <si>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</si>
  <si>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</si>
  <si>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</si>
  <si>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</si>
  <si>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</si>
  <si>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</si>
  <si>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</si>
  <si>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</si>
  <si>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</si>
  <si>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</si>
  <si>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</si>
  <si>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</si>
  <si>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</si>
  <si>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</si>
  <si>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</si>
  <si>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</si>
  <si>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</si>
  <si>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</si>
  <si>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</si>
  <si>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</si>
  <si>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</si>
  <si>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</si>
  <si>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</si>
  <si>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</si>
  <si>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</si>
  <si>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</si>
  <si>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</si>
  <si>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</si>
  <si>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</si>
  <si>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</si>
  <si>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</si>
  <si>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</si>
  <si>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</si>
  <si>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</si>
  <si>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</si>
  <si>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</si>
  <si>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CDRIA-Rhodium18b</t>
  </si>
  <si>
    <t>Optimal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</si>
  <si>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</si>
  <si>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</si>
  <si>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</si>
  <si>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</si>
  <si>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</si>
  <si>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</si>
  <si>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</si>
  <si>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Effectiveness of CDR</t>
  </si>
  <si>
    <t>CDR (Mt)</t>
  </si>
  <si>
    <t>nzn baseline</t>
  </si>
  <si>
    <t>low baseline</t>
  </si>
  <si>
    <t>rhodium100b low</t>
  </si>
  <si>
    <t>high baseline</t>
  </si>
  <si>
    <t>rhodium100b high</t>
  </si>
  <si>
    <t>excess</t>
  </si>
  <si>
    <t>4gt</t>
  </si>
  <si>
    <t>C emissions (Mt C)</t>
  </si>
  <si>
    <t>C emission (Mt CO2-eq)</t>
  </si>
  <si>
    <t>N/A</t>
  </si>
  <si>
    <t>Additionality of CDR</t>
  </si>
  <si>
    <t>12% discount rate</t>
  </si>
  <si>
    <t>2% discount rate</t>
  </si>
  <si>
    <t>20% discount rate</t>
  </si>
  <si>
    <t>As snapshot of CDR prices in 2050</t>
  </si>
  <si>
    <t>Innovation Scenarios</t>
  </si>
  <si>
    <t>Subsidy Scenarios</t>
  </si>
  <si>
    <t>Procurement Scenarios</t>
  </si>
  <si>
    <t>Optimal Scenarios</t>
  </si>
  <si>
    <t>Baseline Pathways</t>
  </si>
  <si>
    <t>Efficient Pathway</t>
  </si>
  <si>
    <t>Innovation - 500 Mt</t>
  </si>
  <si>
    <t>Subsidy - 500 Mt</t>
  </si>
  <si>
    <t>Procurement - 500 Mt</t>
  </si>
  <si>
    <t>Optimal - 500 Mt</t>
  </si>
  <si>
    <t>Baseline - 500 Mt</t>
  </si>
  <si>
    <t>Innovation - 1.5 Gt</t>
  </si>
  <si>
    <t>Subsidy - 1.5 Gt</t>
  </si>
  <si>
    <t>Procurement - 1.5 Gt</t>
  </si>
  <si>
    <t>Optimal - 1.5 Gt</t>
  </si>
  <si>
    <t>Baseline - 1.5 Gt</t>
  </si>
  <si>
    <t>Negative Benefits are 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</si>
</sst>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28382480630785"/>
          <c:y val="3.5891588464031364E-2"/>
          <c:w val="0.77849941303208037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BEA-8473-035688DC5CEE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2-4BEA-8473-035688DC5CEE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02-4BEA-8473-035688DC5CEE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02-4BEA-8473-035688DC5CEE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F02-4BEA-8473-035688DC5CEE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2-4BEA-8473-035688DC5CEE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2-4BEA-8473-035688DC5CEE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F02-4BEA-8473-035688DC5CEE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F02-4BEA-8473-035688DC5CEE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F02-4BEA-8473-035688DC5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40428462165753376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1.8422165847419448E-2"/>
              <c:y val="0.190911803582218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8834788650856363"/>
          <c:y val="4.1329731692388301E-2"/>
          <c:w val="0.58055115121129164"/>
          <c:h val="0.17552510097756399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5651968444981"/>
          <c:y val="3.5891588464031364E-2"/>
          <c:w val="0.84051491130011358"/>
          <c:h val="0.9016372069533262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CostsBenefits'!$E$2:$E$29</c:f>
              <c:numCache>
                <c:formatCode>General</c:formatCode>
                <c:ptCount val="28"/>
                <c:pt idx="4" formatCode="&quot;$&quot;#,##0.00_);[Red]\(&quot;$&quot;#,##0.00\)">
                  <c:v>5.7182312864800897</c:v>
                </c:pt>
                <c:pt idx="5" formatCode="&quot;$&quot;#,##0.00_);[Red]\(&quot;$&quot;#,##0.00\)">
                  <c:v>6.1003980291767999</c:v>
                </c:pt>
                <c:pt idx="6" formatCode="&quot;$&quot;#,##0.00_);[Red]\(&quot;$&quot;#,##0.00\)">
                  <c:v>20.9724031247715</c:v>
                </c:pt>
                <c:pt idx="7" formatCode="&quot;$&quot;#,##0.00_);[Red]\(&quot;$&quot;#,##0.00\)">
                  <c:v>9.1759801601351985</c:v>
                </c:pt>
                <c:pt idx="8" formatCode="&quot;$&quot;#,##0.00_);[Red]\(&quot;$&quot;#,##0.00\)">
                  <c:v>10.472884531638799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01-4267-86F7-6B632FC5E2B9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CostsBenefits'!$F$2:$F$29</c:f>
              <c:numCache>
                <c:formatCode>"$"#,##0.00_);[Red]\("$"#,##0.00\)</c:formatCode>
                <c:ptCount val="28"/>
                <c:pt idx="0">
                  <c:v>11.644658803537901</c:v>
                </c:pt>
                <c:pt idx="1">
                  <c:v>30.8488092279228</c:v>
                </c:pt>
                <c:pt idx="2">
                  <c:v>48.889259790475499</c:v>
                </c:pt>
                <c:pt idx="3">
                  <c:v>124.837112954951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01-4267-86F7-6B632FC5E2B9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CostsBenefits'!$G$2:$G$29</c:f>
              <c:numCache>
                <c:formatCode>General</c:formatCode>
                <c:ptCount val="28"/>
                <c:pt idx="10" formatCode="&quot;$&quot;#,##0.00_);[Red]\(&quot;$&quot;#,##0.00\)">
                  <c:v>3.2085743248811902E-2</c:v>
                </c:pt>
                <c:pt idx="11" formatCode="&quot;$&quot;#,##0.00_);[Red]\(&quot;$&quot;#,##0.00\)">
                  <c:v>-4.4606170443716504</c:v>
                </c:pt>
                <c:pt idx="12" formatCode="&quot;$&quot;#,##0.00_);[Red]\(&quot;$&quot;#,##0.00\)">
                  <c:v>0.18416268361230301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201-4267-86F7-6B632FC5E2B9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CostsBenefits'!$H$2:$H$29</c:f>
              <c:numCache>
                <c:formatCode>General</c:formatCode>
                <c:ptCount val="28"/>
                <c:pt idx="13" formatCode="&quot;$&quot;#,##0.00_);[Red]\(&quot;$&quot;#,##0.00\)">
                  <c:v>55.3942403007933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201-4267-86F7-6B632FC5E2B9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CostsBenefits'!$I$2:$I$29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201-4267-86F7-6B632FC5E2B9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CostsBenefits'!$J$2:$J$29</c:f>
              <c:numCache>
                <c:formatCode>General</c:formatCode>
                <c:ptCount val="28"/>
                <c:pt idx="19" formatCode="&quot;$&quot;#,##0.00_);[Red]\(&quot;$&quot;#,##0.00\)">
                  <c:v>14.041807010664401</c:v>
                </c:pt>
                <c:pt idx="20" formatCode="&quot;$&quot;#,##0.00_);[Red]\(&quot;$&quot;#,##0.00\)">
                  <c:v>12.795920628411601</c:v>
                </c:pt>
                <c:pt idx="21" formatCode="&quot;$&quot;#,##0.00_);[Red]\(&quot;$&quot;#,##0.00\)">
                  <c:v>38.626101035459101</c:v>
                </c:pt>
                <c:pt idx="22" formatCode="&quot;$&quot;#,##0.00_);[Red]\(&quot;$&quot;#,##0.00\)">
                  <c:v>17.986986790839499</c:v>
                </c:pt>
                <c:pt idx="23" formatCode="&quot;$&quot;#,##0.00_);[Red]\(&quot;$&quot;#,##0.00\)">
                  <c:v>20.252154009836197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201-4267-86F7-6B632FC5E2B9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CostsBenefits'!$K$2:$K$29</c:f>
              <c:numCache>
                <c:formatCode>General</c:formatCode>
                <c:ptCount val="28"/>
                <c:pt idx="14" formatCode="&quot;$&quot;#,##0.00_);[Red]\(&quot;$&quot;#,##0.00\)">
                  <c:v>24.0124014868552</c:v>
                </c:pt>
                <c:pt idx="15" formatCode="&quot;$&quot;#,##0.00_);[Red]\(&quot;$&quot;#,##0.00\)">
                  <c:v>84.257525916830588</c:v>
                </c:pt>
                <c:pt idx="16" formatCode="&quot;$&quot;#,##0.00_);[Red]\(&quot;$&quot;#,##0.00\)">
                  <c:v>74.162147660175606</c:v>
                </c:pt>
                <c:pt idx="17" formatCode="&quot;$&quot;#,##0.00_);[Red]\(&quot;$&quot;#,##0.00\)">
                  <c:v>265.90276421105403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201-4267-86F7-6B632FC5E2B9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CostsBenefits'!$L$2:$L$29</c:f>
              <c:numCache>
                <c:formatCode>General</c:formatCode>
                <c:ptCount val="28"/>
                <c:pt idx="24" formatCode="&quot;$&quot;#,##0.00_);[Red]\(&quot;$&quot;#,##0.00\)">
                  <c:v>2.5552191726661397</c:v>
                </c:pt>
                <c:pt idx="25" formatCode="&quot;$&quot;#,##0.00_);[Red]\(&quot;$&quot;#,##0.00\)">
                  <c:v>-5.1575221174354304</c:v>
                </c:pt>
                <c:pt idx="26" formatCode="&quot;$&quot;#,##0.00_);[Red]\(&quot;$&quot;#,##0.00\)">
                  <c:v>2.70791448460225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201-4267-86F7-6B632FC5E2B9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Pt>
            <c:idx val="27"/>
            <c:marker>
              <c:symbol val="circle"/>
              <c:size val="5"/>
              <c:spPr>
                <a:solidFill>
                  <a:schemeClr val="accent6">
                    <a:lumMod val="75000"/>
                  </a:schemeClr>
                </a:solidFill>
                <a:ln w="19050">
                  <a:solidFill>
                    <a:schemeClr val="accent4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A201-4267-86F7-6B632FC5E2B9}"/>
              </c:ext>
            </c:extLst>
          </c:dPt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CostsBenefits'!$M$2:$M$29</c:f>
              <c:numCache>
                <c:formatCode>General</c:formatCode>
                <c:ptCount val="28"/>
                <c:pt idx="27" formatCode="&quot;$&quot;#,##0.00_);[Red]\(&quot;$&quot;#,##0.00\)">
                  <c:v>100.07899781724501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201-4267-86F7-6B632FC5E2B9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CostsBenefits'!$D$2:$D$29</c:f>
              <c:numCache>
                <c:formatCode>"$"#,##0.00_);[Red]\("$"#,##0.00\)</c:formatCode>
                <c:ptCount val="28"/>
                <c:pt idx="0">
                  <c:v>20.995318762810705</c:v>
                </c:pt>
                <c:pt idx="1">
                  <c:v>57.295127698267699</c:v>
                </c:pt>
                <c:pt idx="2">
                  <c:v>17.1979631434811</c:v>
                </c:pt>
                <c:pt idx="3">
                  <c:v>114.2747717876463</c:v>
                </c:pt>
                <c:pt idx="4">
                  <c:v>4.1659214180670006</c:v>
                </c:pt>
                <c:pt idx="5">
                  <c:v>1.180627920843901</c:v>
                </c:pt>
                <c:pt idx="6">
                  <c:v>6.8639098429973</c:v>
                </c:pt>
                <c:pt idx="7">
                  <c:v>2.3271051036413009</c:v>
                </c:pt>
                <c:pt idx="8">
                  <c:v>3.3537537925179004</c:v>
                </c:pt>
                <c:pt idx="9">
                  <c:v>0</c:v>
                </c:pt>
                <c:pt idx="10">
                  <c:v>20.766988076812304</c:v>
                </c:pt>
                <c:pt idx="11">
                  <c:v>210.7920060033253</c:v>
                </c:pt>
                <c:pt idx="12">
                  <c:v>6.3180926480786024</c:v>
                </c:pt>
                <c:pt idx="13">
                  <c:v>32.817166808422193</c:v>
                </c:pt>
                <c:pt idx="14">
                  <c:v>35.808276148183701</c:v>
                </c:pt>
                <c:pt idx="15">
                  <c:v>128.0220106422783</c:v>
                </c:pt>
                <c:pt idx="16">
                  <c:v>27.285354272450402</c:v>
                </c:pt>
                <c:pt idx="17">
                  <c:v>253.71793079119632</c:v>
                </c:pt>
                <c:pt idx="18">
                  <c:v>0</c:v>
                </c:pt>
                <c:pt idx="19">
                  <c:v>4.4587286396716008</c:v>
                </c:pt>
                <c:pt idx="20">
                  <c:v>1.2062085655634001</c:v>
                </c:pt>
                <c:pt idx="21">
                  <c:v>6.9536838408824986</c:v>
                </c:pt>
                <c:pt idx="22">
                  <c:v>2.3645824738394001</c:v>
                </c:pt>
                <c:pt idx="23">
                  <c:v>3.3936502690387989</c:v>
                </c:pt>
                <c:pt idx="24">
                  <c:v>20.786948308100502</c:v>
                </c:pt>
                <c:pt idx="25">
                  <c:v>223.00696647797531</c:v>
                </c:pt>
                <c:pt idx="26">
                  <c:v>6.3290725084344013</c:v>
                </c:pt>
                <c:pt idx="27">
                  <c:v>33.740132463993199</c:v>
                </c:pt>
              </c:numCache>
            </c:numRef>
          </c:xVal>
          <c:yVal>
            <c:numRef>
              <c:f>'Plotting Marginal CostsBenefits'!$N$2:$N$29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201-4267-86F7-6B632FC5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5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50"/>
        <c:crossBetween val="midCat"/>
      </c:valAx>
      <c:valAx>
        <c:axId val="688359152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929267788491885"/>
          <c:y val="3.5891588464031364E-2"/>
          <c:w val="0.75093696935739895"/>
          <c:h val="0.85183951497832233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66-4AEC-9A2C-E59A2ECCA531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666-4AEC-9A2C-E59A2ECCA531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666-4AEC-9A2C-E59A2ECCA531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666-4AEC-9A2C-E59A2ECCA531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666-4AEC-9A2C-E59A2ECCA531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666-4AEC-9A2C-E59A2ECCA531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666-4AEC-9A2C-E59A2ECCA531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666-4AEC-9A2C-E59A2ECCA531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666-4AEC-9A2C-E59A2ECCA531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666-4AEC-9A2C-E59A2ECCA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Costs (Billion $ NPV)</a:t>
                </a:r>
              </a:p>
            </c:rich>
          </c:tx>
          <c:layout>
            <c:manualLayout>
              <c:xMode val="edge"/>
              <c:yMode val="edge"/>
              <c:x val="0.40428462165753376"/>
              <c:y val="0.940018680016107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Benefits (Billion $ NPV)</a:t>
                </a:r>
              </a:p>
            </c:rich>
          </c:tx>
          <c:layout>
            <c:manualLayout>
              <c:xMode val="edge"/>
              <c:yMode val="edge"/>
              <c:x val="1.8422165847419448E-2"/>
              <c:y val="0.190911803582218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934698530346633"/>
          <c:y val="0.49448872866492388"/>
          <c:w val="0.30492671446447739"/>
          <c:h val="0.34234736909382707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416779053555597"/>
          <c:y val="3.5891588464031364E-2"/>
          <c:w val="0.71404882608851972"/>
          <c:h val="0.90412709155207638"/>
        </c:manualLayout>
      </c:layout>
      <c:scatterChart>
        <c:scatterStyle val="lineMarker"/>
        <c:varyColors val="0"/>
        <c:ser>
          <c:idx val="0"/>
          <c:order val="0"/>
          <c:tx>
            <c:strRef>
              <c:f>'Plotting Marginal CostsBenefits'!$E$1</c:f>
              <c:strCache>
                <c:ptCount val="1"/>
                <c:pt idx="0">
                  <c:v>Innovation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CostsBenefits'!$E$34:$E$61</c:f>
              <c:numCache>
                <c:formatCode>General</c:formatCode>
                <c:ptCount val="28"/>
                <c:pt idx="4" formatCode="&quot;$&quot;#,##0.00_);[Red]\(&quot;$&quot;#,##0.00\)">
                  <c:v>23.639052484741402</c:v>
                </c:pt>
                <c:pt idx="5" formatCode="&quot;$&quot;#,##0.00_);[Red]\(&quot;$&quot;#,##0.00\)">
                  <c:v>30.682746255407402</c:v>
                </c:pt>
                <c:pt idx="6" formatCode="&quot;$&quot;#,##0.00_);[Red]\(&quot;$&quot;#,##0.00\)">
                  <c:v>97.079650583780889</c:v>
                </c:pt>
                <c:pt idx="7" formatCode="&quot;$&quot;#,##0.00_);[Red]\(&quot;$&quot;#,##0.00\)">
                  <c:v>43.683158017839396</c:v>
                </c:pt>
                <c:pt idx="8" formatCode="&quot;$&quot;#,##0.00_);[Red]\(&quot;$&quot;#,##0.00\)">
                  <c:v>50.470555104885598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8-4E19-9FB8-2E103ED34F81}"/>
            </c:ext>
          </c:extLst>
        </c:ser>
        <c:ser>
          <c:idx val="1"/>
          <c:order val="1"/>
          <c:tx>
            <c:strRef>
              <c:f>'Plotting Marginal CostsBenefits'!$F$1</c:f>
              <c:strCache>
                <c:ptCount val="1"/>
                <c:pt idx="0">
                  <c:v>Subsidy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CostsBenefits'!$F$34:$F$61</c:f>
              <c:numCache>
                <c:formatCode>"$"#,##0.00_);[Red]\("$"#,##0.00\)</c:formatCode>
                <c:ptCount val="28"/>
                <c:pt idx="0">
                  <c:v>40.991392169844005</c:v>
                </c:pt>
                <c:pt idx="1">
                  <c:v>190.30731757226701</c:v>
                </c:pt>
                <c:pt idx="2">
                  <c:v>112.322040618713</c:v>
                </c:pt>
                <c:pt idx="3">
                  <c:v>611.71112191152508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8-4E19-9FB8-2E103ED34F81}"/>
            </c:ext>
          </c:extLst>
        </c:ser>
        <c:ser>
          <c:idx val="2"/>
          <c:order val="2"/>
          <c:tx>
            <c:strRef>
              <c:f>'Plotting Marginal CostsBenefits'!$G$1</c:f>
              <c:strCache>
                <c:ptCount val="1"/>
                <c:pt idx="0">
                  <c:v>Procurement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CostsBenefits'!$G$34:$G$61</c:f>
              <c:numCache>
                <c:formatCode>General</c:formatCode>
                <c:ptCount val="28"/>
                <c:pt idx="10" formatCode="&quot;$&quot;#,##0.00_);[Red]\(&quot;$&quot;#,##0.00\)">
                  <c:v>1.4045679010868701</c:v>
                </c:pt>
                <c:pt idx="11" formatCode="&quot;$&quot;#,##0.00_);[Red]\(&quot;$&quot;#,##0.00\)">
                  <c:v>-40.603419309400401</c:v>
                </c:pt>
                <c:pt idx="12" formatCode="&quot;$&quot;#,##0.00_);[Red]\(&quot;$&quot;#,##0.00\)">
                  <c:v>2.6267782954144598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B98-4E19-9FB8-2E103ED34F81}"/>
            </c:ext>
          </c:extLst>
        </c:ser>
        <c:ser>
          <c:idx val="3"/>
          <c:order val="3"/>
          <c:tx>
            <c:strRef>
              <c:f>'Plotting Marginal CostsBenefits'!$H$1</c:f>
              <c:strCache>
                <c:ptCount val="1"/>
                <c:pt idx="0">
                  <c:v>Optimal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CostsBenefits'!$H$34:$H$61</c:f>
              <c:numCache>
                <c:formatCode>General</c:formatCode>
                <c:ptCount val="28"/>
                <c:pt idx="13" formatCode="&quot;$&quot;#,##0.00_);[Red]\(&quot;$&quot;#,##0.00\)">
                  <c:v>177.56027976733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8-4E19-9FB8-2E103ED34F81}"/>
            </c:ext>
          </c:extLst>
        </c:ser>
        <c:ser>
          <c:idx val="4"/>
          <c:order val="4"/>
          <c:tx>
            <c:strRef>
              <c:f>'Plotting Marginal CostsBenefits'!$I$1</c:f>
              <c:strCache>
                <c:ptCount val="1"/>
                <c:pt idx="0">
                  <c:v>Baseline - 500 Mt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CostsBenefits'!$I$34:$I$61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B98-4E19-9FB8-2E103ED34F81}"/>
            </c:ext>
          </c:extLst>
        </c:ser>
        <c:ser>
          <c:idx val="5"/>
          <c:order val="5"/>
          <c:tx>
            <c:strRef>
              <c:f>'Plotting Marginal CostsBenefits'!$J$1</c:f>
              <c:strCache>
                <c:ptCount val="1"/>
                <c:pt idx="0">
                  <c:v>Innovation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CostsBenefits'!$J$34:$J$61</c:f>
              <c:numCache>
                <c:formatCode>General</c:formatCode>
                <c:ptCount val="28"/>
                <c:pt idx="19" formatCode="&quot;$&quot;#,##0.00_);[Red]\(&quot;$&quot;#,##0.00\)">
                  <c:v>81.711783899172602</c:v>
                </c:pt>
                <c:pt idx="20" formatCode="&quot;$&quot;#,##0.00_);[Red]\(&quot;$&quot;#,##0.00\)">
                  <c:v>74.78762320090479</c:v>
                </c:pt>
                <c:pt idx="21" formatCode="&quot;$&quot;#,##0.00_);[Red]\(&quot;$&quot;#,##0.00\)">
                  <c:v>201.38240255214799</c:v>
                </c:pt>
                <c:pt idx="22" formatCode="&quot;$&quot;#,##0.00_);[Red]\(&quot;$&quot;#,##0.00\)">
                  <c:v>98.338675448048605</c:v>
                </c:pt>
                <c:pt idx="23" formatCode="&quot;$&quot;#,##0.00_);[Red]\(&quot;$&quot;#,##0.00\)">
                  <c:v>112.560083841115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8-4E19-9FB8-2E103ED34F81}"/>
            </c:ext>
          </c:extLst>
        </c:ser>
        <c:ser>
          <c:idx val="6"/>
          <c:order val="6"/>
          <c:tx>
            <c:strRef>
              <c:f>'Plotting Marginal CostsBenefits'!$K$1</c:f>
              <c:strCache>
                <c:ptCount val="1"/>
                <c:pt idx="0">
                  <c:v>Subsidy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CostsBenefits'!$K$34:$K$61</c:f>
              <c:numCache>
                <c:formatCode>General</c:formatCode>
                <c:ptCount val="28"/>
                <c:pt idx="14" formatCode="&quot;$&quot;#,##0.00_);[Red]\(&quot;$&quot;#,##0.00\)">
                  <c:v>94.8647314703082</c:v>
                </c:pt>
                <c:pt idx="15" formatCode="&quot;$&quot;#,##0.00_);[Red]\(&quot;$&quot;#,##0.00\)">
                  <c:v>573.81981405192494</c:v>
                </c:pt>
                <c:pt idx="16" formatCode="&quot;$&quot;#,##0.00_);[Red]\(&quot;$&quot;#,##0.00\)">
                  <c:v>189.54767770812401</c:v>
                </c:pt>
                <c:pt idx="17" formatCode="&quot;$&quot;#,##0.00_);[Red]\(&quot;$&quot;#,##0.00\)">
                  <c:v>1529.26070418628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B98-4E19-9FB8-2E103ED34F81}"/>
            </c:ext>
          </c:extLst>
        </c:ser>
        <c:ser>
          <c:idx val="7"/>
          <c:order val="7"/>
          <c:tx>
            <c:strRef>
              <c:f>'Plotting Marginal CostsBenefits'!$L$1</c:f>
              <c:strCache>
                <c:ptCount val="1"/>
                <c:pt idx="0">
                  <c:v>Procurement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CostsBenefits'!$L$34:$L$61</c:f>
              <c:numCache>
                <c:formatCode>General</c:formatCode>
                <c:ptCount val="28"/>
                <c:pt idx="24" formatCode="&quot;$&quot;#,##0.00_);[Red]\(&quot;$&quot;#,##0.00\)">
                  <c:v>20.6128411262535</c:v>
                </c:pt>
                <c:pt idx="25" formatCode="&quot;$&quot;#,##0.00_);[Red]\(&quot;$&quot;#,##0.00\)">
                  <c:v>-33.750559282223406</c:v>
                </c:pt>
                <c:pt idx="26" formatCode="&quot;$&quot;#,##0.00_);[Red]\(&quot;$&quot;#,##0.00\)">
                  <c:v>22.101075343330997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B98-4E19-9FB8-2E103ED34F81}"/>
            </c:ext>
          </c:extLst>
        </c:ser>
        <c:ser>
          <c:idx val="8"/>
          <c:order val="8"/>
          <c:tx>
            <c:strRef>
              <c:f>'Plotting Marginal CostsBenefits'!$M$1</c:f>
              <c:strCache>
                <c:ptCount val="1"/>
                <c:pt idx="0">
                  <c:v>Optimal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CostsBenefits'!$M$34:$M$61</c:f>
              <c:numCache>
                <c:formatCode>General</c:formatCode>
                <c:ptCount val="28"/>
                <c:pt idx="27" formatCode="&quot;$&quot;#,##0.00_);[Red]\(&quot;$&quot;#,##0.00\)">
                  <c:v>343.06427648368401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0B98-4E19-9FB8-2E103ED34F81}"/>
            </c:ext>
          </c:extLst>
        </c:ser>
        <c:ser>
          <c:idx val="9"/>
          <c:order val="9"/>
          <c:tx>
            <c:strRef>
              <c:f>'Plotting Marginal CostsBenefits'!$N$1</c:f>
              <c:strCache>
                <c:ptCount val="1"/>
                <c:pt idx="0">
                  <c:v>Baseline - 1.5 Gt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'Plotting Marginal CostsBenefits'!$D$34:$D$61</c:f>
              <c:numCache>
                <c:formatCode>"$"#,##0.00_);[Red]\("$"#,##0.00\)</c:formatCode>
                <c:ptCount val="28"/>
                <c:pt idx="0">
                  <c:v>59.4787370107423</c:v>
                </c:pt>
                <c:pt idx="1">
                  <c:v>327.23642892221409</c:v>
                </c:pt>
                <c:pt idx="2">
                  <c:v>42.255357612054198</c:v>
                </c:pt>
                <c:pt idx="3">
                  <c:v>618.48096790879902</c:v>
                </c:pt>
                <c:pt idx="4">
                  <c:v>5.1967019918885997</c:v>
                </c:pt>
                <c:pt idx="5">
                  <c:v>2.6047893640988988</c:v>
                </c:pt>
                <c:pt idx="6">
                  <c:v>15.4915645497712</c:v>
                </c:pt>
                <c:pt idx="7">
                  <c:v>5.2154990279757003</c:v>
                </c:pt>
                <c:pt idx="8">
                  <c:v>7.5615187567422</c:v>
                </c:pt>
                <c:pt idx="9">
                  <c:v>0</c:v>
                </c:pt>
                <c:pt idx="10">
                  <c:v>30.645956721305598</c:v>
                </c:pt>
                <c:pt idx="11">
                  <c:v>813.68307561047015</c:v>
                </c:pt>
                <c:pt idx="12">
                  <c:v>11.2811978684907</c:v>
                </c:pt>
                <c:pt idx="13">
                  <c:v>70.162474951677609</c:v>
                </c:pt>
                <c:pt idx="14">
                  <c:v>105.08096196454019</c:v>
                </c:pt>
                <c:pt idx="15">
                  <c:v>798.73901931422722</c:v>
                </c:pt>
                <c:pt idx="16">
                  <c:v>64.787876392268402</c:v>
                </c:pt>
                <c:pt idx="17">
                  <c:v>1518.8165934068911</c:v>
                </c:pt>
                <c:pt idx="18">
                  <c:v>0</c:v>
                </c:pt>
                <c:pt idx="19">
                  <c:v>5.6051284844642977</c:v>
                </c:pt>
                <c:pt idx="20">
                  <c:v>2.6403666692845982</c:v>
                </c:pt>
                <c:pt idx="21">
                  <c:v>15.616703859231301</c:v>
                </c:pt>
                <c:pt idx="22">
                  <c:v>5.2676678858786001</c:v>
                </c:pt>
                <c:pt idx="23">
                  <c:v>7.6170945780759975</c:v>
                </c:pt>
                <c:pt idx="24">
                  <c:v>30.693055206306003</c:v>
                </c:pt>
                <c:pt idx="25">
                  <c:v>897.18483790330924</c:v>
                </c:pt>
                <c:pt idx="26">
                  <c:v>11.3081758052999</c:v>
                </c:pt>
                <c:pt idx="27">
                  <c:v>79.712141348113391</c:v>
                </c:pt>
              </c:numCache>
            </c:numRef>
          </c:xVal>
          <c:yVal>
            <c:numRef>
              <c:f>'Plotting Marginal CostsBenefits'!$N$34:$N$61</c:f>
              <c:numCache>
                <c:formatCode>General</c:formatCode>
                <c:ptCount val="28"/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B98-4E19-9FB8-2E103ED34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120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_);[Red]\(&quot;$&quot;#,##0\)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200"/>
        <c:crossBetween val="midCat"/>
      </c:valAx>
      <c:valAx>
        <c:axId val="688359152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&quot;$&quot;#,##0" sourceLinked="0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6-407F-94DA-4FE9742D9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0312921934495736"/>
          <c:y val="2.1410654902386739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69-4630-A422-526D25E52A1C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69-4630-A422-526D25E52A1C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69-4630-A422-526D25E52A1C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69-4630-A422-526D25E52A1C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69-4630-A422-526D25E52A1C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Mandate'!$J$32:$J$58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B69-4630-A422-526D25E52A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2"/>
          <c:min val="-6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4"/>
        <c:crossBetween val="midCat"/>
      </c:valAx>
      <c:valAx>
        <c:axId val="688359152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63-4DD8-ABE7-3D78BE972182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3-4DD8-ABE7-3D78BE972182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A63-4DD8-ABE7-3D78BE972182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3-4DD8-ABE7-3D78BE972182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A63-4DD8-ABE7-3D78BE972182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63-4DD8-ABE7-3D78BE972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0644283478551695E-2"/>
          <c:y val="3.5891588464031364E-2"/>
          <c:w val="0.88326466228266431"/>
          <c:h val="0.90894903735571908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A8-4728-8741-439E240FC25B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A8-4728-8741-439E240FC25B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A8-4728-8741-439E240FC25B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A8-4728-8741-439E240FC25B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6A8-4728-8741-439E240FC25B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Mandate'!$J$61:$J$87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6A8-4728-8741-439E240FC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98616723931959"/>
          <c:y val="3.5891588464031364E-2"/>
          <c:w val="0.83992277852189623"/>
          <c:h val="0.8642889379720732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2F-4014-A1E1-C3D25F69425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2F-4014-A1E1-C3D25F69425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2F-4014-A1E1-C3D25F69425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2F-4014-A1E1-C3D25F69425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2F-4014-A1E1-C3D25F694256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2F-4014-A1E1-C3D25F694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</a:t>
                </a:r>
                <a:r>
                  <a:rPr lang="en-US" sz="1400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as</a:t>
                </a:r>
                <a:r>
                  <a:rPr lang="en-US" sz="140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Snapshot of CDR Prices in 2050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NPV Ratio to Most Efficient Pathway (%)</a:t>
                </a:r>
              </a:p>
            </c:rich>
          </c:tx>
          <c:layout>
            <c:manualLayout>
              <c:xMode val="edge"/>
              <c:yMode val="edge"/>
              <c:x val="2.5312701902139308E-2"/>
              <c:y val="0.146093880804715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1909728178313508"/>
          <c:y val="3.6349962494887894E-2"/>
          <c:w val="0.35847707433483322"/>
          <c:h val="0.29509347654156204"/>
        </c:manualLayout>
      </c:layout>
      <c:overlay val="0"/>
      <c:spPr>
        <a:solidFill>
          <a:schemeClr val="bg1">
            <a:alpha val="50000"/>
          </a:schemeClr>
        </a:solidFill>
        <a:ln>
          <a:solidFill>
            <a:schemeClr val="bg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6081979924786658E-2"/>
          <c:y val="3.5891588464031364E-2"/>
          <c:w val="0.88782696583642939"/>
          <c:h val="0.89914732235457606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 Scenarios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F8-4E1A-A795-4BF49B2488CA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8-4E1A-A795-4BF49B2488CA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F8-4E1A-A795-4BF49B2488CA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 Scenarios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9050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8-4E1A-A795-4BF49B2488CA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 Pathways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0F8-4E1A-A795-4BF49B2488CA}"/>
            </c:ext>
          </c:extLst>
        </c:ser>
        <c:ser>
          <c:idx val="5"/>
          <c:order val="5"/>
          <c:tx>
            <c:strRef>
              <c:f>'Net-Zero Mandate'!$J$31</c:f>
              <c:strCache>
                <c:ptCount val="1"/>
                <c:pt idx="0">
                  <c:v>Efficient Pathway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19050">
                <a:solidFill>
                  <a:schemeClr val="accent6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Mandate'!$J$90:$J$116</c:f>
              <c:numCache>
                <c:formatCode>General</c:formatCode>
                <c:ptCount val="27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8-4E1A-A795-4BF49B248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  <c:max val="3"/>
          <c:min val="-3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9152"/>
        <c:crossesAt val="-6"/>
        <c:crossBetween val="midCat"/>
      </c:valAx>
      <c:valAx>
        <c:axId val="68835915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low"/>
        <c:spPr>
          <a:noFill/>
          <a:ln w="9525" cap="flat" cmpd="sng" algn="ctr">
            <a:solidFill>
              <a:schemeClr val="bg2">
                <a:lumMod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300" b="0" i="0" u="none" strike="noStrike" kern="1200" baseline="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8358192"/>
        <c:crossesAt val="-1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plotArea>
      <cx:plotAreaRegion>
        <cx:series layoutId="boxWhisker" uniqueId="{D7DDA11E-BB64-49A4-92FD-2B8AA1488A96}">
          <cx:tx>
            <cx:txData>
              <cx:f>_xlchart.v1.1</cx:f>
              <cx:v>2%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12%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20%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As snapshot of CDR prices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0.349999994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600" b="0" i="0" u="none" strike="noStrike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Supply in 2050</a:t>
                </a:r>
                <a:endParaRPr lang="en-US" sz="14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-5"/>
        <cx:title>
          <cx:tx>
            <cx:txData>
              <cx:v>NPV Ratio to Most Efficient Pathway (%)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5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Arial" panose="020B0604020202020204" pitchFamily="34" charset="0"/>
                  <a:cs typeface="Arial" panose="020B0604020202020204" pitchFamily="34" charset="0"/>
                </a:defRPr>
              </a:pPr>
              <a:r>
                <a:rPr lang="en-US" sz="1500" b="0" i="0" u="none" strike="noStrike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NPV Ratio to Most Efficient Pathway (%)</a:t>
              </a:r>
            </a:p>
          </cx:txPr>
        </cx:title>
        <cx:majorGridlines>
          <cx:spPr>
            <a:ln>
              <a:noFill/>
            </a:ln>
          </cx:spPr>
        </cx:majorGridlines>
        <cx:majorTickMarks type="in"/>
        <cx:tickLabels/>
        <cx:spPr>
          <a:ln>
            <a:solidFill>
              <a:schemeClr val="bg2">
                <a:lumMod val="25000"/>
              </a:schemeClr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30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300" b="0" i="0" u="none" strike="noStrike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t" align="ctr" overlay="1">
      <cx:spPr>
        <a:ln>
          <a:solidFill>
            <a:schemeClr val="bg2"/>
          </a:solidFill>
        </a:ln>
      </cx:spPr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tx1">
                <a:lumMod val="85000"/>
                <a:lumOff val="1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microsoft.com/office/2014/relationships/chartEx" Target="../charts/chartEx1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152400</xdr:colOff>
      <xdr:row>4</xdr:row>
      <xdr:rowOff>142875</xdr:rowOff>
    </xdr:from>
    <xdr:to>
      <xdr:col>20</xdr:col>
      <xdr:colOff>195263</xdr:colOff>
      <xdr:row>31</xdr:row>
      <xdr:rowOff>100013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90213B-0A6F-407F-B98B-2CFEF45206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396876</xdr:colOff>
      <xdr:row>21</xdr:row>
      <xdr:rowOff>152400</xdr:rowOff>
    </xdr:from>
    <xdr:to>
      <xdr:col>13</xdr:col>
      <xdr:colOff>295276</xdr:colOff>
      <xdr:row>25</xdr:row>
      <xdr:rowOff>107950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12183F5-6FCC-493B-8F23-6404C755CE5A}"/>
            </a:ext>
          </a:extLst>
        </xdr:cNvPr>
        <xdr:cNvSpPr/>
      </xdr:nvSpPr>
      <xdr:spPr>
        <a:xfrm>
          <a:off x="9988551" y="4152900"/>
          <a:ext cx="508000" cy="7175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400050</xdr:colOff>
      <xdr:row>12</xdr:row>
      <xdr:rowOff>104775</xdr:rowOff>
    </xdr:from>
    <xdr:to>
      <xdr:col>16</xdr:col>
      <xdr:colOff>66675</xdr:colOff>
      <xdr:row>21</xdr:row>
      <xdr:rowOff>142875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79FCDF6-E576-49A3-A8D8-01E70741D384}"/>
            </a:ext>
          </a:extLst>
        </xdr:cNvPr>
        <xdr:cNvCxnSpPr/>
      </xdr:nvCxnSpPr>
      <xdr:spPr>
        <a:xfrm flipV="1">
          <a:off x="9991725" y="2390775"/>
          <a:ext cx="2105025" cy="175260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314325</xdr:colOff>
      <xdr:row>23</xdr:row>
      <xdr:rowOff>123825</xdr:rowOff>
    </xdr:from>
    <xdr:to>
      <xdr:col>20</xdr:col>
      <xdr:colOff>180975</xdr:colOff>
      <xdr:row>25</xdr:row>
      <xdr:rowOff>104775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378C693-7BA7-49EE-8892-35B191A54B32}"/>
            </a:ext>
          </a:extLst>
        </xdr:cNvPr>
        <xdr:cNvCxnSpPr/>
      </xdr:nvCxnSpPr>
      <xdr:spPr>
        <a:xfrm flipV="1">
          <a:off x="10515600" y="4505325"/>
          <a:ext cx="4133850" cy="3619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76200</xdr:colOff>
      <xdr:row>12</xdr:row>
      <xdr:rowOff>104774</xdr:rowOff>
    </xdr:from>
    <xdr:to>
      <xdr:col>20</xdr:col>
      <xdr:colOff>185738</xdr:colOff>
      <xdr:row>23</xdr:row>
      <xdr:rowOff>128587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E7D68B-3A34-46A0-AE55-1489B34DD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40</xdr:row>
      <xdr:rowOff>0</xdr:rowOff>
    </xdr:from>
    <xdr:to>
      <xdr:col>21</xdr:col>
      <xdr:colOff>42863</xdr:colOff>
      <xdr:row>66</xdr:row>
      <xdr:rowOff>147638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C23960E-191E-47DA-ABCB-8CA6F3B51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40</xdr:row>
      <xdr:rowOff>47624</xdr:rowOff>
    </xdr:from>
    <xdr:to>
      <xdr:col>18</xdr:col>
      <xdr:colOff>342900</xdr:colOff>
      <xdr:row>51</xdr:row>
      <xdr:rowOff>33337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4ED3408-10F3-43B7-87AB-AF51EBAA5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400050</xdr:colOff>
      <xdr:row>59</xdr:row>
      <xdr:rowOff>57150</xdr:rowOff>
    </xdr:from>
    <xdr:to>
      <xdr:col>14</xdr:col>
      <xdr:colOff>133350</xdr:colOff>
      <xdr:row>61</xdr:row>
      <xdr:rowOff>165100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34BAEF0D-6E87-4702-BDFB-748D3DB48D27}"/>
            </a:ext>
          </a:extLst>
        </xdr:cNvPr>
        <xdr:cNvSpPr/>
      </xdr:nvSpPr>
      <xdr:spPr>
        <a:xfrm>
          <a:off x="10601325" y="11296650"/>
          <a:ext cx="342900" cy="48895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403224</xdr:colOff>
      <xdr:row>40</xdr:row>
      <xdr:rowOff>57150</xdr:rowOff>
    </xdr:from>
    <xdr:to>
      <xdr:col>14</xdr:col>
      <xdr:colOff>0</xdr:colOff>
      <xdr:row>58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9430A3B3-6D57-4A8A-B720-FAEBEBF8849D}"/>
            </a:ext>
          </a:extLst>
        </xdr:cNvPr>
        <xdr:cNvCxnSpPr/>
      </xdr:nvCxnSpPr>
      <xdr:spPr>
        <a:xfrm flipV="1">
          <a:off x="10604499" y="7677150"/>
          <a:ext cx="206376" cy="338137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104775</xdr:colOff>
      <xdr:row>51</xdr:row>
      <xdr:rowOff>38100</xdr:rowOff>
    </xdr:from>
    <xdr:to>
      <xdr:col>18</xdr:col>
      <xdr:colOff>342900</xdr:colOff>
      <xdr:row>61</xdr:row>
      <xdr:rowOff>161925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6FD42DC-7275-4956-83A1-5D19D8B8F4E3}"/>
            </a:ext>
          </a:extLst>
        </xdr:cNvPr>
        <xdr:cNvCxnSpPr/>
      </xdr:nvCxnSpPr>
      <xdr:spPr>
        <a:xfrm flipV="1">
          <a:off x="10915650" y="9753600"/>
          <a:ext cx="2676525" cy="2028825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495300</xdr:colOff>
      <xdr:row>20</xdr:row>
      <xdr:rowOff>47094</xdr:rowOff>
    </xdr:from>
    <xdr:to>
      <xdr:col>28</xdr:col>
      <xdr:colOff>582083</xdr:colOff>
      <xdr:row>47</xdr:row>
      <xdr:rowOff>42333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037550" y="3857094"/>
              <a:ext cx="5611283" cy="51387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476250</xdr:colOff>
      <xdr:row>41</xdr:row>
      <xdr:rowOff>10583</xdr:rowOff>
    </xdr:from>
    <xdr:to>
      <xdr:col>18</xdr:col>
      <xdr:colOff>31751</xdr:colOff>
      <xdr:row>54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A4F01B-9784-46C6-810D-201E64F05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179917</xdr:colOff>
      <xdr:row>40</xdr:row>
      <xdr:rowOff>31750</xdr:rowOff>
    </xdr:from>
    <xdr:to>
      <xdr:col>13</xdr:col>
      <xdr:colOff>0</xdr:colOff>
      <xdr:row>47</xdr:row>
      <xdr:rowOff>158750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5BB506B7-834F-F352-0FDC-BC3237071A4B}"/>
            </a:ext>
          </a:extLst>
        </xdr:cNvPr>
        <xdr:cNvSpPr/>
      </xdr:nvSpPr>
      <xdr:spPr>
        <a:xfrm>
          <a:off x="15811500" y="7651750"/>
          <a:ext cx="1047750" cy="1460500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10583</xdr:colOff>
      <xdr:row>40</xdr:row>
      <xdr:rowOff>31750</xdr:rowOff>
    </xdr:from>
    <xdr:to>
      <xdr:col>18</xdr:col>
      <xdr:colOff>31750</xdr:colOff>
      <xdr:row>41</xdr:row>
      <xdr:rowOff>10583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2DA94ACC-BD50-587B-9E76-ED4043D005CD}"/>
            </a:ext>
          </a:extLst>
        </xdr:cNvPr>
        <xdr:cNvCxnSpPr/>
      </xdr:nvCxnSpPr>
      <xdr:spPr>
        <a:xfrm>
          <a:off x="16869833" y="7651750"/>
          <a:ext cx="3090334" cy="1693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47</xdr:row>
      <xdr:rowOff>158750</xdr:rowOff>
    </xdr:from>
    <xdr:to>
      <xdr:col>13</xdr:col>
      <xdr:colOff>486833</xdr:colOff>
      <xdr:row>54</xdr:row>
      <xdr:rowOff>0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09AAA52-6562-4915-AC84-D7872AEAEB9C}"/>
            </a:ext>
          </a:extLst>
        </xdr:cNvPr>
        <xdr:cNvCxnSpPr/>
      </xdr:nvCxnSpPr>
      <xdr:spPr>
        <a:xfrm>
          <a:off x="15822083" y="9112250"/>
          <a:ext cx="1524000" cy="1174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63</xdr:row>
      <xdr:rowOff>0</xdr:rowOff>
    </xdr:from>
    <xdr:to>
      <xdr:col>23</xdr:col>
      <xdr:colOff>42863</xdr:colOff>
      <xdr:row>89</xdr:row>
      <xdr:rowOff>147638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31269C7-99C6-4FE5-9808-FFD3E90AB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264582</xdr:colOff>
      <xdr:row>74</xdr:row>
      <xdr:rowOff>169333</xdr:rowOff>
    </xdr:from>
    <xdr:to>
      <xdr:col>22</xdr:col>
      <xdr:colOff>497416</xdr:colOff>
      <xdr:row>86</xdr:row>
      <xdr:rowOff>31221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642DC2-3796-4314-9A70-833AD3506F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120650</xdr:colOff>
      <xdr:row>73</xdr:row>
      <xdr:rowOff>14816</xdr:rowOff>
    </xdr:from>
    <xdr:to>
      <xdr:col>17</xdr:col>
      <xdr:colOff>554567</xdr:colOff>
      <xdr:row>79</xdr:row>
      <xdr:rowOff>127000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C81D1C6-39F0-4DB8-AF77-764EB5C223DA}"/>
            </a:ext>
          </a:extLst>
        </xdr:cNvPr>
        <xdr:cNvSpPr/>
      </xdr:nvSpPr>
      <xdr:spPr>
        <a:xfrm>
          <a:off x="18821400" y="13921316"/>
          <a:ext cx="1047750" cy="1255184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565150</xdr:colOff>
      <xdr:row>73</xdr:row>
      <xdr:rowOff>14816</xdr:rowOff>
    </xdr:from>
    <xdr:to>
      <xdr:col>22</xdr:col>
      <xdr:colOff>486833</xdr:colOff>
      <xdr:row>74</xdr:row>
      <xdr:rowOff>179917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8C3F2A69-8D80-4528-B297-906CB3E8F706}"/>
            </a:ext>
          </a:extLst>
        </xdr:cNvPr>
        <xdr:cNvCxnSpPr/>
      </xdr:nvCxnSpPr>
      <xdr:spPr>
        <a:xfrm>
          <a:off x="19879733" y="13921316"/>
          <a:ext cx="2990850" cy="355601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127000</xdr:colOff>
      <xdr:row>79</xdr:row>
      <xdr:rowOff>116417</xdr:rowOff>
    </xdr:from>
    <xdr:to>
      <xdr:col>18</xdr:col>
      <xdr:colOff>264583</xdr:colOff>
      <xdr:row>86</xdr:row>
      <xdr:rowOff>31750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742F93A0-3EA9-4A86-A815-559F9B8B86DD}"/>
            </a:ext>
          </a:extLst>
        </xdr:cNvPr>
        <xdr:cNvCxnSpPr/>
      </xdr:nvCxnSpPr>
      <xdr:spPr>
        <a:xfrm>
          <a:off x="18827750" y="15165917"/>
          <a:ext cx="1365250" cy="1248833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232833</xdr:colOff>
      <xdr:row>90</xdr:row>
      <xdr:rowOff>74083</xdr:rowOff>
    </xdr:from>
    <xdr:to>
      <xdr:col>22</xdr:col>
      <xdr:colOff>275696</xdr:colOff>
      <xdr:row>117</xdr:row>
      <xdr:rowOff>31221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D1155679-B632-483C-81DD-7DB228A5CA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603250</xdr:colOff>
      <xdr:row>102</xdr:row>
      <xdr:rowOff>137583</xdr:rowOff>
    </xdr:from>
    <xdr:to>
      <xdr:col>22</xdr:col>
      <xdr:colOff>64031</xdr:colOff>
      <xdr:row>113</xdr:row>
      <xdr:rowOff>41804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511A368-0FBC-4D8D-A8BB-068496D76F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31749</xdr:colOff>
      <xdr:row>102</xdr:row>
      <xdr:rowOff>0</xdr:rowOff>
    </xdr:from>
    <xdr:to>
      <xdr:col>17</xdr:col>
      <xdr:colOff>222249</xdr:colOff>
      <xdr:row>107</xdr:row>
      <xdr:rowOff>169333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D6CD52E-B70B-44A5-AB3A-AFD6FB698977}"/>
            </a:ext>
          </a:extLst>
        </xdr:cNvPr>
        <xdr:cNvSpPr/>
      </xdr:nvSpPr>
      <xdr:spPr>
        <a:xfrm>
          <a:off x="18732499" y="19431000"/>
          <a:ext cx="804333" cy="1121833"/>
        </a:xfrm>
        <a:prstGeom prst="rect">
          <a:avLst/>
        </a:prstGeom>
        <a:noFill/>
        <a:ln>
          <a:solidFill>
            <a:schemeClr val="bg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201084</xdr:colOff>
      <xdr:row>101</xdr:row>
      <xdr:rowOff>179917</xdr:rowOff>
    </xdr:from>
    <xdr:to>
      <xdr:col>22</xdr:col>
      <xdr:colOff>21167</xdr:colOff>
      <xdr:row>102</xdr:row>
      <xdr:rowOff>148167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8F5A5B05-C8FA-46AF-89C0-FAB3EAE9E8A0}"/>
            </a:ext>
          </a:extLst>
        </xdr:cNvPr>
        <xdr:cNvCxnSpPr/>
      </xdr:nvCxnSpPr>
      <xdr:spPr>
        <a:xfrm>
          <a:off x="19515667" y="19420417"/>
          <a:ext cx="2889250" cy="158750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42333</xdr:colOff>
      <xdr:row>107</xdr:row>
      <xdr:rowOff>169333</xdr:rowOff>
    </xdr:from>
    <xdr:to>
      <xdr:col>17</xdr:col>
      <xdr:colOff>592667</xdr:colOff>
      <xdr:row>113</xdr:row>
      <xdr:rowOff>31750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954F8AB6-D2A5-43DD-AEA5-8CF8067683A4}"/>
            </a:ext>
          </a:extLst>
        </xdr:cNvPr>
        <xdr:cNvCxnSpPr/>
      </xdr:nvCxnSpPr>
      <xdr:spPr>
        <a:xfrm>
          <a:off x="18743083" y="20552833"/>
          <a:ext cx="1164167" cy="1005417"/>
        </a:xfrm>
        <a:prstGeom prst="line">
          <a:avLst/>
        </a:prstGeom>
        <a:ln>
          <a:solidFill>
            <a:schemeClr val="bg2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16861"/>
      </a:accent1>
      <a:accent2>
        <a:srgbClr val="74A751"/>
      </a:accent2>
      <a:accent3>
        <a:srgbClr val="698FC6"/>
      </a:accent3>
      <a:accent4>
        <a:srgbClr val="DD9452"/>
      </a:accent4>
      <a:accent5>
        <a:srgbClr val="BFBE43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B18" sqref="B18:C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51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52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51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workbookViewId="0">
      <selection activeCell="B18" sqref="B18:C31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51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52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51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53</v>
      </c>
      <c r="C33" t="s">
        <v>54</v>
      </c>
      <c r="F33" t="s">
        <v>55</v>
      </c>
      <c r="G33" t="s">
        <v>56</v>
      </c>
      <c r="J33" t="s">
        <v>57</v>
      </c>
      <c r="K33" t="s">
        <v>58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P71"/>
  <sheetViews>
    <sheetView tabSelected="1" topLeftCell="A31" workbookViewId="0">
      <selection activeCell="G69" sqref="G69"/>
    </sheetView>
  </sheetViews>
  <sheetFormatPr defaultRowHeight="15" x14ac:dyDescent="0.25"/>
  <cols>
    <col min="1" max="1" width="22.28515625" bestFit="1" customWidth="1"/>
    <col min="2" max="2" width="8.5703125" bestFit="1" customWidth="1"/>
    <col min="3" max="3" width="15.140625" bestFit="1" customWidth="1"/>
    <col min="4" max="4" width="12.85546875" bestFit="1" customWidth="1"/>
    <col min="5" max="5" width="11.5703125" bestFit="1" customWidth="1"/>
    <col min="6" max="6" width="12.5703125" bestFit="1" customWidth="1"/>
    <col min="7" max="7" width="12.28515625" bestFit="1" customWidth="1"/>
    <col min="8" max="8" width="12.5703125" bestFit="1" customWidth="1"/>
    <col min="9" max="9" width="8.5703125" bestFit="1" customWidth="1"/>
  </cols>
  <sheetData>
    <row r="1" spans="1:16" x14ac:dyDescent="0.25">
      <c r="A1" t="str">
        <f>Low!A1</f>
        <v>Scenario</v>
      </c>
      <c r="B1" t="s">
        <v>28</v>
      </c>
      <c r="C1" t="s">
        <v>15</v>
      </c>
      <c r="D1" t="s">
        <v>16</v>
      </c>
      <c r="E1" t="s">
        <v>82</v>
      </c>
      <c r="F1" t="s">
        <v>83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P1" s="7">
        <v>0.12</v>
      </c>
    </row>
    <row r="2" spans="1:16" x14ac:dyDescent="0.25">
      <c r="A2" t="s">
        <v>1</v>
      </c>
      <c r="B2" t="s">
        <v>30</v>
      </c>
      <c r="C2" s="1">
        <v>11.644658803537901</v>
      </c>
      <c r="D2" s="1">
        <v>20.995318762810705</v>
      </c>
      <c r="F2" s="1">
        <f>C2</f>
        <v>11.644658803537901</v>
      </c>
    </row>
    <row r="3" spans="1:16" x14ac:dyDescent="0.25">
      <c r="A3" t="s">
        <v>2</v>
      </c>
      <c r="B3" t="s">
        <v>30</v>
      </c>
      <c r="C3" s="1">
        <v>30.8488092279228</v>
      </c>
      <c r="D3" s="1">
        <v>57.295127698267699</v>
      </c>
      <c r="F3" s="1">
        <f>C3</f>
        <v>30.8488092279228</v>
      </c>
    </row>
    <row r="4" spans="1:16" x14ac:dyDescent="0.25">
      <c r="A4" t="s">
        <v>3</v>
      </c>
      <c r="B4" t="s">
        <v>30</v>
      </c>
      <c r="C4" s="1">
        <v>48.889259790475499</v>
      </c>
      <c r="D4" s="1">
        <v>17.1979631434811</v>
      </c>
      <c r="F4" s="1">
        <f>C4</f>
        <v>48.889259790475499</v>
      </c>
    </row>
    <row r="5" spans="1:16" x14ac:dyDescent="0.25">
      <c r="A5" t="s">
        <v>4</v>
      </c>
      <c r="B5" t="s">
        <v>30</v>
      </c>
      <c r="C5" s="1">
        <v>124.837112954951</v>
      </c>
      <c r="D5" s="1">
        <v>114.2747717876463</v>
      </c>
      <c r="F5" s="1">
        <f>C5</f>
        <v>124.837112954951</v>
      </c>
    </row>
    <row r="6" spans="1:16" x14ac:dyDescent="0.25">
      <c r="A6" t="s">
        <v>6</v>
      </c>
      <c r="B6" t="s">
        <v>30</v>
      </c>
      <c r="C6" s="1">
        <v>5.7182312864800897</v>
      </c>
      <c r="D6" s="1">
        <v>4.1659214180670006</v>
      </c>
      <c r="E6" s="1">
        <f>C6</f>
        <v>5.7182312864800897</v>
      </c>
    </row>
    <row r="7" spans="1:16" x14ac:dyDescent="0.25">
      <c r="A7" t="s">
        <v>5</v>
      </c>
      <c r="B7" t="s">
        <v>30</v>
      </c>
      <c r="C7" s="1">
        <v>6.1003980291767999</v>
      </c>
      <c r="D7" s="1">
        <v>1.180627920843901</v>
      </c>
      <c r="E7" s="1">
        <f>C7</f>
        <v>6.1003980291767999</v>
      </c>
    </row>
    <row r="8" spans="1:16" x14ac:dyDescent="0.25">
      <c r="A8" t="s">
        <v>8</v>
      </c>
      <c r="B8" t="s">
        <v>30</v>
      </c>
      <c r="C8" s="1">
        <v>20.9724031247715</v>
      </c>
      <c r="D8" s="1">
        <v>6.8639098429973</v>
      </c>
      <c r="E8" s="1">
        <f>C8</f>
        <v>20.9724031247715</v>
      </c>
    </row>
    <row r="9" spans="1:16" x14ac:dyDescent="0.25">
      <c r="A9" t="s">
        <v>7</v>
      </c>
      <c r="B9" t="s">
        <v>30</v>
      </c>
      <c r="C9" s="1">
        <v>9.1759801601351985</v>
      </c>
      <c r="D9" s="1">
        <v>2.3271051036413009</v>
      </c>
      <c r="E9" s="1">
        <f>C9</f>
        <v>9.1759801601351985</v>
      </c>
    </row>
    <row r="10" spans="1:16" x14ac:dyDescent="0.25">
      <c r="A10" t="s">
        <v>9</v>
      </c>
      <c r="B10" t="s">
        <v>30</v>
      </c>
      <c r="C10" s="1">
        <v>10.472884531638799</v>
      </c>
      <c r="D10" s="1">
        <v>3.3537537925179004</v>
      </c>
      <c r="E10" s="1">
        <f>C10</f>
        <v>10.472884531638799</v>
      </c>
    </row>
    <row r="11" spans="1:16" x14ac:dyDescent="0.25">
      <c r="A11" t="s">
        <v>13</v>
      </c>
      <c r="B11" t="s">
        <v>30</v>
      </c>
      <c r="C11" s="1">
        <v>0</v>
      </c>
      <c r="D11" s="1">
        <v>0</v>
      </c>
      <c r="I11" s="1">
        <f>C11</f>
        <v>0</v>
      </c>
    </row>
    <row r="12" spans="1:16" x14ac:dyDescent="0.25">
      <c r="A12" t="s">
        <v>10</v>
      </c>
      <c r="B12" t="s">
        <v>30</v>
      </c>
      <c r="C12" s="1">
        <v>3.2085743248811902E-2</v>
      </c>
      <c r="D12" s="1">
        <v>20.766988076812304</v>
      </c>
      <c r="G12" s="1">
        <f>C12</f>
        <v>3.2085743248811902E-2</v>
      </c>
    </row>
    <row r="13" spans="1:16" x14ac:dyDescent="0.25">
      <c r="A13" t="s">
        <v>11</v>
      </c>
      <c r="B13" t="s">
        <v>30</v>
      </c>
      <c r="C13" s="1">
        <v>-4.4606170443716504</v>
      </c>
      <c r="D13" s="1">
        <v>210.7920060033253</v>
      </c>
      <c r="G13" s="1">
        <f>C13</f>
        <v>-4.4606170443716504</v>
      </c>
    </row>
    <row r="14" spans="1:16" x14ac:dyDescent="0.25">
      <c r="A14" t="s">
        <v>12</v>
      </c>
      <c r="B14" t="s">
        <v>30</v>
      </c>
      <c r="C14" s="1">
        <v>0.18416268361230301</v>
      </c>
      <c r="D14" s="1">
        <v>6.3180926480786024</v>
      </c>
      <c r="G14" s="1">
        <f>C14</f>
        <v>0.18416268361230301</v>
      </c>
    </row>
    <row r="15" spans="1:16" x14ac:dyDescent="0.25">
      <c r="A15" t="s">
        <v>51</v>
      </c>
      <c r="B15" t="s">
        <v>30</v>
      </c>
      <c r="C15" s="1">
        <v>55.3942403007933</v>
      </c>
      <c r="D15" s="1">
        <v>32.817166808422193</v>
      </c>
      <c r="H15" s="1">
        <f>C15</f>
        <v>55.3942403007933</v>
      </c>
    </row>
    <row r="16" spans="1:16" x14ac:dyDescent="0.25">
      <c r="A16" t="s">
        <v>1</v>
      </c>
      <c r="B16" t="s">
        <v>32</v>
      </c>
      <c r="C16" s="1">
        <v>24.0124014868552</v>
      </c>
      <c r="D16" s="1">
        <v>35.808276148183701</v>
      </c>
      <c r="K16" s="1">
        <f>C16</f>
        <v>24.0124014868552</v>
      </c>
    </row>
    <row r="17" spans="1:14" x14ac:dyDescent="0.25">
      <c r="A17" t="s">
        <v>2</v>
      </c>
      <c r="B17" t="s">
        <v>32</v>
      </c>
      <c r="C17" s="1">
        <v>84.257525916830588</v>
      </c>
      <c r="D17" s="1">
        <v>128.0220106422783</v>
      </c>
      <c r="K17" s="1">
        <f>C17</f>
        <v>84.257525916830588</v>
      </c>
    </row>
    <row r="18" spans="1:14" x14ac:dyDescent="0.25">
      <c r="A18" t="s">
        <v>3</v>
      </c>
      <c r="B18" t="s">
        <v>32</v>
      </c>
      <c r="C18" s="1">
        <v>74.162147660175606</v>
      </c>
      <c r="D18" s="1">
        <v>27.285354272450402</v>
      </c>
      <c r="K18" s="1">
        <f>C18</f>
        <v>74.162147660175606</v>
      </c>
    </row>
    <row r="19" spans="1:14" x14ac:dyDescent="0.25">
      <c r="A19" t="s">
        <v>4</v>
      </c>
      <c r="B19" t="s">
        <v>32</v>
      </c>
      <c r="C19" s="1">
        <v>265.90276421105403</v>
      </c>
      <c r="D19" s="1">
        <v>253.71793079119632</v>
      </c>
      <c r="K19" s="1">
        <f>C19</f>
        <v>265.90276421105403</v>
      </c>
    </row>
    <row r="20" spans="1:14" x14ac:dyDescent="0.25">
      <c r="A20" t="s">
        <v>14</v>
      </c>
      <c r="B20" t="s">
        <v>32</v>
      </c>
      <c r="C20" s="1">
        <v>0</v>
      </c>
      <c r="D20" s="1">
        <v>0</v>
      </c>
      <c r="N20" s="1">
        <f>C20</f>
        <v>0</v>
      </c>
    </row>
    <row r="21" spans="1:14" x14ac:dyDescent="0.25">
      <c r="A21" t="s">
        <v>6</v>
      </c>
      <c r="B21" t="s">
        <v>32</v>
      </c>
      <c r="C21" s="1">
        <v>14.041807010664401</v>
      </c>
      <c r="D21" s="1">
        <v>4.4587286396716008</v>
      </c>
      <c r="J21" s="1">
        <f>C21</f>
        <v>14.041807010664401</v>
      </c>
    </row>
    <row r="22" spans="1:14" x14ac:dyDescent="0.25">
      <c r="A22" t="s">
        <v>5</v>
      </c>
      <c r="B22" t="s">
        <v>32</v>
      </c>
      <c r="C22" s="1">
        <v>12.795920628411601</v>
      </c>
      <c r="D22" s="1">
        <v>1.2062085655634001</v>
      </c>
      <c r="J22" s="1">
        <f>C22</f>
        <v>12.795920628411601</v>
      </c>
    </row>
    <row r="23" spans="1:14" x14ac:dyDescent="0.25">
      <c r="A23" t="s">
        <v>8</v>
      </c>
      <c r="B23" t="s">
        <v>32</v>
      </c>
      <c r="C23" s="1">
        <v>38.626101035459101</v>
      </c>
      <c r="D23" s="1">
        <v>6.9536838408824986</v>
      </c>
      <c r="J23" s="1">
        <f>C23</f>
        <v>38.626101035459101</v>
      </c>
    </row>
    <row r="24" spans="1:14" x14ac:dyDescent="0.25">
      <c r="A24" t="s">
        <v>7</v>
      </c>
      <c r="B24" t="s">
        <v>32</v>
      </c>
      <c r="C24" s="1">
        <v>17.986986790839499</v>
      </c>
      <c r="D24" s="1">
        <v>2.3645824738394001</v>
      </c>
      <c r="J24" s="1">
        <f>C24</f>
        <v>17.986986790839499</v>
      </c>
    </row>
    <row r="25" spans="1:14" x14ac:dyDescent="0.25">
      <c r="A25" t="s">
        <v>9</v>
      </c>
      <c r="B25" t="s">
        <v>32</v>
      </c>
      <c r="C25" s="1">
        <v>20.252154009836197</v>
      </c>
      <c r="D25" s="1">
        <v>3.3936502690387989</v>
      </c>
      <c r="J25" s="1">
        <f>C25</f>
        <v>20.252154009836197</v>
      </c>
    </row>
    <row r="26" spans="1:14" x14ac:dyDescent="0.25">
      <c r="A26" t="s">
        <v>10</v>
      </c>
      <c r="B26" t="s">
        <v>32</v>
      </c>
      <c r="C26" s="1">
        <v>2.5552191726661397</v>
      </c>
      <c r="D26" s="1">
        <v>20.786948308100502</v>
      </c>
      <c r="L26" s="1">
        <f>C26</f>
        <v>2.5552191726661397</v>
      </c>
    </row>
    <row r="27" spans="1:14" x14ac:dyDescent="0.25">
      <c r="A27" t="s">
        <v>11</v>
      </c>
      <c r="B27" t="s">
        <v>32</v>
      </c>
      <c r="C27" s="1">
        <v>-5.1575221174354304</v>
      </c>
      <c r="D27" s="1">
        <v>223.00696647797531</v>
      </c>
      <c r="L27" s="1">
        <f>C27</f>
        <v>-5.1575221174354304</v>
      </c>
    </row>
    <row r="28" spans="1:14" x14ac:dyDescent="0.25">
      <c r="A28" t="s">
        <v>12</v>
      </c>
      <c r="B28" t="s">
        <v>32</v>
      </c>
      <c r="C28" s="1">
        <v>2.70791448460225</v>
      </c>
      <c r="D28" s="1">
        <v>6.3290725084344013</v>
      </c>
      <c r="L28" s="1">
        <f>C28</f>
        <v>2.70791448460225</v>
      </c>
    </row>
    <row r="29" spans="1:14" x14ac:dyDescent="0.25">
      <c r="A29" t="s">
        <v>51</v>
      </c>
      <c r="B29" t="s">
        <v>32</v>
      </c>
      <c r="C29" s="1">
        <v>100.07899781724501</v>
      </c>
      <c r="D29" s="1">
        <v>33.740132463993199</v>
      </c>
      <c r="M29" s="1">
        <f>C29</f>
        <v>100.07899781724501</v>
      </c>
    </row>
    <row r="32" spans="1:14" x14ac:dyDescent="0.25">
      <c r="C32" s="1" t="s">
        <v>92</v>
      </c>
      <c r="D32" s="1"/>
    </row>
    <row r="33" spans="1:16" x14ac:dyDescent="0.25">
      <c r="A33" t="str">
        <f>Low!A33</f>
        <v>Low Baseline</v>
      </c>
      <c r="B33" t="s">
        <v>28</v>
      </c>
      <c r="C33" t="s">
        <v>38</v>
      </c>
      <c r="D33" t="s">
        <v>39</v>
      </c>
      <c r="E33" t="s">
        <v>82</v>
      </c>
      <c r="F33" t="s">
        <v>83</v>
      </c>
      <c r="G33" t="s">
        <v>84</v>
      </c>
      <c r="H33" t="s">
        <v>85</v>
      </c>
      <c r="I33" t="s">
        <v>86</v>
      </c>
      <c r="J33" t="s">
        <v>87</v>
      </c>
      <c r="K33" t="s">
        <v>88</v>
      </c>
      <c r="L33" t="s">
        <v>89</v>
      </c>
      <c r="M33" t="s">
        <v>90</v>
      </c>
      <c r="N33" t="s">
        <v>91</v>
      </c>
      <c r="P33" s="7">
        <v>0.02</v>
      </c>
    </row>
    <row r="34" spans="1:16" x14ac:dyDescent="0.25">
      <c r="A34" t="s">
        <v>1</v>
      </c>
      <c r="B34" t="s">
        <v>30</v>
      </c>
      <c r="C34" s="1">
        <v>40.991392169844005</v>
      </c>
      <c r="D34" s="1">
        <v>59.4787370107423</v>
      </c>
      <c r="F34" s="1">
        <f>C34</f>
        <v>40.991392169844005</v>
      </c>
    </row>
    <row r="35" spans="1:16" x14ac:dyDescent="0.25">
      <c r="A35" t="s">
        <v>2</v>
      </c>
      <c r="B35" t="s">
        <v>30</v>
      </c>
      <c r="C35" s="1">
        <v>190.30731757226701</v>
      </c>
      <c r="D35" s="1">
        <v>327.23642892221409</v>
      </c>
      <c r="F35" s="1">
        <f>C35</f>
        <v>190.30731757226701</v>
      </c>
    </row>
    <row r="36" spans="1:16" x14ac:dyDescent="0.25">
      <c r="A36" t="s">
        <v>3</v>
      </c>
      <c r="B36" t="s">
        <v>30</v>
      </c>
      <c r="C36" s="1">
        <v>112.322040618713</v>
      </c>
      <c r="D36" s="1">
        <v>42.255357612054198</v>
      </c>
      <c r="F36" s="1">
        <f>C36</f>
        <v>112.322040618713</v>
      </c>
    </row>
    <row r="37" spans="1:16" x14ac:dyDescent="0.25">
      <c r="A37" t="s">
        <v>4</v>
      </c>
      <c r="B37" t="s">
        <v>30</v>
      </c>
      <c r="C37" s="1">
        <v>611.71112191152508</v>
      </c>
      <c r="D37" s="1">
        <v>618.48096790879902</v>
      </c>
      <c r="F37" s="1">
        <f>C37</f>
        <v>611.71112191152508</v>
      </c>
    </row>
    <row r="38" spans="1:16" x14ac:dyDescent="0.25">
      <c r="A38" t="s">
        <v>6</v>
      </c>
      <c r="B38" t="s">
        <v>30</v>
      </c>
      <c r="C38" s="1">
        <v>23.639052484741402</v>
      </c>
      <c r="D38" s="1">
        <v>5.1967019918885997</v>
      </c>
      <c r="E38" s="1">
        <f>C38</f>
        <v>23.639052484741402</v>
      </c>
    </row>
    <row r="39" spans="1:16" x14ac:dyDescent="0.25">
      <c r="A39" t="s">
        <v>5</v>
      </c>
      <c r="B39" t="s">
        <v>30</v>
      </c>
      <c r="C39" s="1">
        <v>30.682746255407402</v>
      </c>
      <c r="D39" s="1">
        <v>2.6047893640988988</v>
      </c>
      <c r="E39" s="1">
        <f>C39</f>
        <v>30.682746255407402</v>
      </c>
    </row>
    <row r="40" spans="1:16" x14ac:dyDescent="0.25">
      <c r="A40" t="s">
        <v>8</v>
      </c>
      <c r="B40" t="s">
        <v>30</v>
      </c>
      <c r="C40" s="1">
        <v>97.079650583780889</v>
      </c>
      <c r="D40" s="1">
        <v>15.4915645497712</v>
      </c>
      <c r="E40" s="1">
        <f>C40</f>
        <v>97.079650583780889</v>
      </c>
    </row>
    <row r="41" spans="1:16" x14ac:dyDescent="0.25">
      <c r="A41" t="s">
        <v>7</v>
      </c>
      <c r="B41" t="s">
        <v>30</v>
      </c>
      <c r="C41" s="1">
        <v>43.683158017839396</v>
      </c>
      <c r="D41" s="1">
        <v>5.2154990279757003</v>
      </c>
      <c r="E41" s="1">
        <f>C41</f>
        <v>43.683158017839396</v>
      </c>
    </row>
    <row r="42" spans="1:16" x14ac:dyDescent="0.25">
      <c r="A42" t="s">
        <v>9</v>
      </c>
      <c r="B42" t="s">
        <v>30</v>
      </c>
      <c r="C42" s="1">
        <v>50.470555104885598</v>
      </c>
      <c r="D42" s="1">
        <v>7.5615187567422</v>
      </c>
      <c r="E42" s="1">
        <f>C42</f>
        <v>50.470555104885598</v>
      </c>
    </row>
    <row r="43" spans="1:16" x14ac:dyDescent="0.25">
      <c r="A43" t="s">
        <v>13</v>
      </c>
      <c r="B43" t="s">
        <v>30</v>
      </c>
      <c r="C43" s="1">
        <v>0</v>
      </c>
      <c r="D43" s="1">
        <v>0</v>
      </c>
      <c r="I43" s="1">
        <f>C43</f>
        <v>0</v>
      </c>
    </row>
    <row r="44" spans="1:16" x14ac:dyDescent="0.25">
      <c r="A44" t="s">
        <v>10</v>
      </c>
      <c r="B44" t="s">
        <v>30</v>
      </c>
      <c r="C44" s="1">
        <v>1.4045679010868701</v>
      </c>
      <c r="D44" s="1">
        <v>30.645956721305598</v>
      </c>
      <c r="G44" s="1">
        <f>C44</f>
        <v>1.4045679010868701</v>
      </c>
    </row>
    <row r="45" spans="1:16" x14ac:dyDescent="0.25">
      <c r="A45" t="s">
        <v>11</v>
      </c>
      <c r="B45" t="s">
        <v>30</v>
      </c>
      <c r="C45" s="1">
        <v>-40.603419309400401</v>
      </c>
      <c r="D45" s="1">
        <v>813.68307561047015</v>
      </c>
      <c r="G45" s="1">
        <f>C45</f>
        <v>-40.603419309400401</v>
      </c>
    </row>
    <row r="46" spans="1:16" x14ac:dyDescent="0.25">
      <c r="A46" t="s">
        <v>12</v>
      </c>
      <c r="B46" t="s">
        <v>30</v>
      </c>
      <c r="C46" s="1">
        <v>2.6267782954144598</v>
      </c>
      <c r="D46" s="1">
        <v>11.2811978684907</v>
      </c>
      <c r="G46" s="1">
        <f>C46</f>
        <v>2.6267782954144598</v>
      </c>
    </row>
    <row r="47" spans="1:16" x14ac:dyDescent="0.25">
      <c r="A47" t="s">
        <v>51</v>
      </c>
      <c r="B47" t="s">
        <v>30</v>
      </c>
      <c r="C47" s="1">
        <v>177.56027976733</v>
      </c>
      <c r="D47" s="1">
        <v>70.162474951677609</v>
      </c>
      <c r="H47" s="1">
        <f>C47</f>
        <v>177.56027976733</v>
      </c>
    </row>
    <row r="48" spans="1:16" x14ac:dyDescent="0.25">
      <c r="A48" t="s">
        <v>1</v>
      </c>
      <c r="B48" t="s">
        <v>32</v>
      </c>
      <c r="C48" s="1">
        <v>94.8647314703082</v>
      </c>
      <c r="D48" s="1">
        <v>105.08096196454019</v>
      </c>
      <c r="K48" s="1">
        <f>C48</f>
        <v>94.8647314703082</v>
      </c>
    </row>
    <row r="49" spans="1:14" x14ac:dyDescent="0.25">
      <c r="A49" t="s">
        <v>2</v>
      </c>
      <c r="B49" t="s">
        <v>32</v>
      </c>
      <c r="C49" s="1">
        <v>573.81981405192494</v>
      </c>
      <c r="D49" s="1">
        <v>798.73901931422722</v>
      </c>
      <c r="K49" s="1">
        <f>C49</f>
        <v>573.81981405192494</v>
      </c>
    </row>
    <row r="50" spans="1:14" x14ac:dyDescent="0.25">
      <c r="A50" t="s">
        <v>3</v>
      </c>
      <c r="B50" t="s">
        <v>32</v>
      </c>
      <c r="C50" s="1">
        <v>189.54767770812401</v>
      </c>
      <c r="D50" s="1">
        <v>64.787876392268402</v>
      </c>
      <c r="K50" s="1">
        <f>C50</f>
        <v>189.54767770812401</v>
      </c>
    </row>
    <row r="51" spans="1:14" x14ac:dyDescent="0.25">
      <c r="A51" t="s">
        <v>4</v>
      </c>
      <c r="B51" t="s">
        <v>32</v>
      </c>
      <c r="C51" s="1">
        <v>1529.26070418628</v>
      </c>
      <c r="D51" s="1">
        <v>1518.8165934068911</v>
      </c>
      <c r="K51" s="1">
        <f>C51</f>
        <v>1529.26070418628</v>
      </c>
    </row>
    <row r="52" spans="1:14" x14ac:dyDescent="0.25">
      <c r="A52" t="s">
        <v>14</v>
      </c>
      <c r="B52" t="s">
        <v>32</v>
      </c>
      <c r="C52" s="1">
        <v>0</v>
      </c>
      <c r="D52" s="1">
        <v>0</v>
      </c>
      <c r="N52" s="1">
        <f>C52</f>
        <v>0</v>
      </c>
    </row>
    <row r="53" spans="1:14" x14ac:dyDescent="0.25">
      <c r="A53" t="s">
        <v>6</v>
      </c>
      <c r="B53" t="s">
        <v>32</v>
      </c>
      <c r="C53" s="1">
        <v>81.711783899172602</v>
      </c>
      <c r="D53" s="1">
        <v>5.6051284844642977</v>
      </c>
      <c r="J53" s="1">
        <f>C53</f>
        <v>81.711783899172602</v>
      </c>
    </row>
    <row r="54" spans="1:14" x14ac:dyDescent="0.25">
      <c r="A54" t="s">
        <v>5</v>
      </c>
      <c r="B54" t="s">
        <v>32</v>
      </c>
      <c r="C54" s="1">
        <v>74.78762320090479</v>
      </c>
      <c r="D54" s="1">
        <v>2.6403666692845982</v>
      </c>
      <c r="J54" s="1">
        <f>C54</f>
        <v>74.78762320090479</v>
      </c>
    </row>
    <row r="55" spans="1:14" x14ac:dyDescent="0.25">
      <c r="A55" t="s">
        <v>8</v>
      </c>
      <c r="B55" t="s">
        <v>32</v>
      </c>
      <c r="C55" s="1">
        <v>201.38240255214799</v>
      </c>
      <c r="D55" s="1">
        <v>15.616703859231301</v>
      </c>
      <c r="J55" s="1">
        <f>C55</f>
        <v>201.38240255214799</v>
      </c>
    </row>
    <row r="56" spans="1:14" x14ac:dyDescent="0.25">
      <c r="A56" t="s">
        <v>7</v>
      </c>
      <c r="B56" t="s">
        <v>32</v>
      </c>
      <c r="C56" s="1">
        <v>98.338675448048605</v>
      </c>
      <c r="D56" s="1">
        <v>5.2676678858786001</v>
      </c>
      <c r="J56" s="1">
        <f>C56</f>
        <v>98.338675448048605</v>
      </c>
    </row>
    <row r="57" spans="1:14" x14ac:dyDescent="0.25">
      <c r="A57" t="s">
        <v>9</v>
      </c>
      <c r="B57" t="s">
        <v>32</v>
      </c>
      <c r="C57" s="1">
        <v>112.560083841115</v>
      </c>
      <c r="D57" s="1">
        <v>7.6170945780759975</v>
      </c>
      <c r="J57" s="1">
        <f>C57</f>
        <v>112.560083841115</v>
      </c>
    </row>
    <row r="58" spans="1:14" x14ac:dyDescent="0.25">
      <c r="A58" t="s">
        <v>10</v>
      </c>
      <c r="B58" t="s">
        <v>32</v>
      </c>
      <c r="C58" s="1">
        <v>20.6128411262535</v>
      </c>
      <c r="D58" s="1">
        <v>30.693055206306003</v>
      </c>
      <c r="L58" s="1">
        <f>C58</f>
        <v>20.6128411262535</v>
      </c>
    </row>
    <row r="59" spans="1:14" x14ac:dyDescent="0.25">
      <c r="A59" t="s">
        <v>11</v>
      </c>
      <c r="B59" t="s">
        <v>32</v>
      </c>
      <c r="C59" s="1">
        <v>-33.750559282223406</v>
      </c>
      <c r="D59" s="1">
        <v>897.18483790330924</v>
      </c>
      <c r="L59" s="1">
        <f>C59</f>
        <v>-33.750559282223406</v>
      </c>
    </row>
    <row r="60" spans="1:14" x14ac:dyDescent="0.25">
      <c r="A60" t="s">
        <v>12</v>
      </c>
      <c r="B60" t="s">
        <v>32</v>
      </c>
      <c r="C60" s="1">
        <v>22.101075343330997</v>
      </c>
      <c r="D60" s="1">
        <v>11.3081758052999</v>
      </c>
      <c r="L60" s="1">
        <f>C60</f>
        <v>22.101075343330997</v>
      </c>
    </row>
    <row r="61" spans="1:14" x14ac:dyDescent="0.25">
      <c r="A61" t="s">
        <v>51</v>
      </c>
      <c r="B61" t="s">
        <v>32</v>
      </c>
      <c r="C61" s="1">
        <v>343.06427648368401</v>
      </c>
      <c r="D61" s="1">
        <v>79.712141348113391</v>
      </c>
      <c r="M61" s="1">
        <f>C61</f>
        <v>343.06427648368401</v>
      </c>
    </row>
    <row r="62" spans="1:14" x14ac:dyDescent="0.25">
      <c r="C62" s="1"/>
    </row>
    <row r="63" spans="1:14" x14ac:dyDescent="0.25">
      <c r="C63" s="1"/>
    </row>
    <row r="64" spans="1:14" x14ac:dyDescent="0.25">
      <c r="C64" s="1"/>
    </row>
    <row r="65" spans="3:3" x14ac:dyDescent="0.25">
      <c r="C65" s="1"/>
    </row>
    <row r="66" spans="3:3" x14ac:dyDescent="0.25">
      <c r="C66" s="1"/>
    </row>
    <row r="67" spans="3:3" x14ac:dyDescent="0.25">
      <c r="C67" s="1"/>
    </row>
    <row r="68" spans="3:3" x14ac:dyDescent="0.25">
      <c r="C68" s="1"/>
    </row>
    <row r="69" spans="3:3" x14ac:dyDescent="0.25">
      <c r="C69" s="1"/>
    </row>
    <row r="70" spans="3:3" x14ac:dyDescent="0.25">
      <c r="C70" s="1"/>
    </row>
    <row r="71" spans="3:3" x14ac:dyDescent="0.25">
      <c r="C71" s="1"/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3F2EE-3EBE-4333-896F-8C9A54E14DBD}">
  <dimension ref="A1:E23"/>
  <sheetViews>
    <sheetView workbookViewId="0">
      <selection activeCell="H12" sqref="H12"/>
    </sheetView>
  </sheetViews>
  <sheetFormatPr defaultRowHeight="15" x14ac:dyDescent="0.25"/>
  <cols>
    <col min="1" max="1" width="17.28515625" bestFit="1" customWidth="1"/>
    <col min="2" max="2" width="9.5703125" bestFit="1" customWidth="1"/>
    <col min="3" max="3" width="12" bestFit="1" customWidth="1"/>
    <col min="4" max="4" width="9.7109375" bestFit="1" customWidth="1"/>
    <col min="5" max="5" width="9.42578125" bestFit="1" customWidth="1"/>
  </cols>
  <sheetData>
    <row r="1" spans="1:5" x14ac:dyDescent="0.25">
      <c r="A1" t="s">
        <v>0</v>
      </c>
      <c r="B1" t="s">
        <v>60</v>
      </c>
      <c r="C1" t="s">
        <v>68</v>
      </c>
      <c r="D1" t="s">
        <v>69</v>
      </c>
      <c r="E1" t="s">
        <v>71</v>
      </c>
    </row>
    <row r="2" spans="1:5" x14ac:dyDescent="0.25">
      <c r="A2" t="s">
        <v>13</v>
      </c>
      <c r="B2">
        <v>500</v>
      </c>
      <c r="C2">
        <f>C18</f>
        <v>44.95</v>
      </c>
      <c r="D2">
        <f>C2*44/12</f>
        <v>164.81666666666669</v>
      </c>
      <c r="E2" t="s">
        <v>70</v>
      </c>
    </row>
    <row r="3" spans="1:5" x14ac:dyDescent="0.25">
      <c r="A3" t="s">
        <v>14</v>
      </c>
      <c r="B3">
        <v>1500</v>
      </c>
      <c r="C3">
        <f>C20</f>
        <v>270.26</v>
      </c>
      <c r="D3">
        <f>C3*44/12</f>
        <v>990.95333333333326</v>
      </c>
      <c r="E3">
        <f>1-(D3-D2)/(B3-B2)</f>
        <v>0.17386333333333348</v>
      </c>
    </row>
    <row r="5" spans="1:5" x14ac:dyDescent="0.25">
      <c r="A5" s="3">
        <v>2040</v>
      </c>
    </row>
    <row r="6" spans="1:5" x14ac:dyDescent="0.25">
      <c r="A6" t="s">
        <v>0</v>
      </c>
      <c r="B6" t="s">
        <v>60</v>
      </c>
      <c r="C6" t="s">
        <v>68</v>
      </c>
      <c r="D6" t="s">
        <v>69</v>
      </c>
      <c r="E6" t="s">
        <v>59</v>
      </c>
    </row>
    <row r="7" spans="1:5" x14ac:dyDescent="0.25">
      <c r="A7" t="s">
        <v>61</v>
      </c>
      <c r="B7" s="8">
        <v>44.88</v>
      </c>
      <c r="C7" s="8">
        <v>697.52</v>
      </c>
      <c r="D7" s="8">
        <f>C7*44/12</f>
        <v>2557.5733333333333</v>
      </c>
      <c r="E7" s="8" t="s">
        <v>70</v>
      </c>
    </row>
    <row r="8" spans="1:5" x14ac:dyDescent="0.25">
      <c r="A8" t="s">
        <v>62</v>
      </c>
      <c r="B8" s="8">
        <v>117.9</v>
      </c>
      <c r="C8" s="8">
        <v>707.65</v>
      </c>
      <c r="D8" s="8">
        <f>C8*44/12</f>
        <v>2594.7166666666667</v>
      </c>
      <c r="E8" s="8">
        <f>1-(D8-D7)/(B8-B7)</f>
        <v>0.49132657719346173</v>
      </c>
    </row>
    <row r="9" spans="1:5" x14ac:dyDescent="0.25">
      <c r="A9" t="s">
        <v>64</v>
      </c>
      <c r="B9" s="8">
        <v>227.92</v>
      </c>
      <c r="C9" s="8">
        <v>723.71</v>
      </c>
      <c r="D9" s="8">
        <f t="shared" ref="D9:D13" si="0">C9*44/12</f>
        <v>2653.6033333333335</v>
      </c>
      <c r="E9" s="8">
        <f t="shared" ref="E9:E13" si="1">1-(D9-D8)/(B9-B8)</f>
        <v>0.46476398230624627</v>
      </c>
    </row>
    <row r="10" spans="1:5" x14ac:dyDescent="0.25">
      <c r="A10" t="s">
        <v>66</v>
      </c>
      <c r="B10" s="8">
        <v>302.17</v>
      </c>
      <c r="C10" s="8">
        <v>736.26</v>
      </c>
      <c r="D10" s="8">
        <f t="shared" si="0"/>
        <v>2699.62</v>
      </c>
      <c r="E10" s="8">
        <f t="shared" si="1"/>
        <v>0.38024691358025042</v>
      </c>
    </row>
    <row r="11" spans="1:5" x14ac:dyDescent="0.25">
      <c r="A11" t="s">
        <v>63</v>
      </c>
      <c r="B11" s="8">
        <v>364.81</v>
      </c>
      <c r="C11" s="8">
        <v>748.37</v>
      </c>
      <c r="D11" s="8">
        <f t="shared" si="0"/>
        <v>2744.0233333333331</v>
      </c>
      <c r="E11" s="8">
        <f t="shared" si="1"/>
        <v>0.29113452532992967</v>
      </c>
    </row>
    <row r="12" spans="1:5" x14ac:dyDescent="0.25">
      <c r="A12" t="s">
        <v>67</v>
      </c>
      <c r="B12" s="8">
        <v>416.68</v>
      </c>
      <c r="C12" s="8">
        <v>759.39</v>
      </c>
      <c r="D12" s="8">
        <f t="shared" si="0"/>
        <v>2784.43</v>
      </c>
      <c r="E12" s="8">
        <f t="shared" si="1"/>
        <v>0.22100122100121944</v>
      </c>
    </row>
    <row r="13" spans="1:5" x14ac:dyDescent="0.25">
      <c r="A13" t="s">
        <v>65</v>
      </c>
      <c r="B13" s="8">
        <v>470.99</v>
      </c>
      <c r="C13" s="8">
        <v>772.73</v>
      </c>
      <c r="D13" s="8">
        <f t="shared" si="0"/>
        <v>2833.3433333333337</v>
      </c>
      <c r="E13" s="8">
        <f t="shared" si="1"/>
        <v>9.9367826674021997E-2</v>
      </c>
    </row>
    <row r="15" spans="1:5" x14ac:dyDescent="0.25">
      <c r="A15" s="3">
        <v>2050</v>
      </c>
    </row>
    <row r="16" spans="1:5" x14ac:dyDescent="0.25">
      <c r="A16" t="s">
        <v>0</v>
      </c>
      <c r="B16" t="s">
        <v>60</v>
      </c>
      <c r="C16" t="s">
        <v>68</v>
      </c>
      <c r="D16" t="s">
        <v>69</v>
      </c>
      <c r="E16" t="s">
        <v>59</v>
      </c>
    </row>
    <row r="17" spans="1:5" x14ac:dyDescent="0.25">
      <c r="A17" t="s">
        <v>61</v>
      </c>
      <c r="B17" s="8">
        <v>100</v>
      </c>
      <c r="C17" s="8">
        <v>-18.37</v>
      </c>
      <c r="D17" s="8">
        <f>C17*44/12</f>
        <v>-67.356666666666669</v>
      </c>
      <c r="E17" s="8" t="s">
        <v>70</v>
      </c>
    </row>
    <row r="18" spans="1:5" x14ac:dyDescent="0.25">
      <c r="A18" t="s">
        <v>62</v>
      </c>
      <c r="B18" s="8">
        <v>500</v>
      </c>
      <c r="C18" s="8">
        <v>44.95</v>
      </c>
      <c r="D18" s="8">
        <f>C18*44/12</f>
        <v>164.81666666666669</v>
      </c>
      <c r="E18" s="8">
        <f>1-(D18-D17)/(B18-B17)</f>
        <v>0.41956666666666664</v>
      </c>
    </row>
    <row r="19" spans="1:5" x14ac:dyDescent="0.25">
      <c r="A19" t="s">
        <v>63</v>
      </c>
      <c r="B19" s="8">
        <v>1078.26</v>
      </c>
      <c r="C19" s="8">
        <v>146.37</v>
      </c>
      <c r="D19" s="8">
        <f t="shared" ref="D19:D23" si="2">C19*44/12</f>
        <v>536.69000000000005</v>
      </c>
      <c r="E19" s="8">
        <f>1-(D19-D18)/(B19-B18)</f>
        <v>0.35690980988943843</v>
      </c>
    </row>
    <row r="20" spans="1:5" x14ac:dyDescent="0.25">
      <c r="A20" t="s">
        <v>64</v>
      </c>
      <c r="B20" s="8">
        <v>1500</v>
      </c>
      <c r="C20" s="8">
        <v>270.26</v>
      </c>
      <c r="D20" s="8">
        <f t="shared" si="2"/>
        <v>990.95333333333326</v>
      </c>
      <c r="E20" s="8">
        <f>1-(D20-D19)/(B20-B19)</f>
        <v>-7.7117023126412443E-2</v>
      </c>
    </row>
    <row r="21" spans="1:5" x14ac:dyDescent="0.25">
      <c r="A21" t="s">
        <v>65</v>
      </c>
      <c r="B21" s="8">
        <v>1974.19</v>
      </c>
      <c r="C21" s="8">
        <v>384.97</v>
      </c>
      <c r="D21" s="8">
        <f t="shared" si="2"/>
        <v>1411.5566666666666</v>
      </c>
      <c r="E21" s="8">
        <f t="shared" ref="E21:E23" si="3">1-(D21-D20)/(B21-B20)</f>
        <v>0.11300674132028654</v>
      </c>
    </row>
    <row r="22" spans="1:5" x14ac:dyDescent="0.25">
      <c r="A22" t="s">
        <v>66</v>
      </c>
      <c r="B22" s="8">
        <v>2400</v>
      </c>
      <c r="C22" s="8">
        <v>507.25</v>
      </c>
      <c r="D22" s="8">
        <f t="shared" si="2"/>
        <v>1859.9166666666667</v>
      </c>
      <c r="E22" s="8">
        <f t="shared" si="3"/>
        <v>-5.2957892017567065E-2</v>
      </c>
    </row>
    <row r="23" spans="1:5" x14ac:dyDescent="0.25">
      <c r="A23" t="s">
        <v>67</v>
      </c>
      <c r="B23" s="8">
        <v>4100</v>
      </c>
      <c r="C23" s="8">
        <v>1075.8699999999999</v>
      </c>
      <c r="D23" s="8">
        <f t="shared" si="2"/>
        <v>3944.8566666666666</v>
      </c>
      <c r="E23" s="8">
        <f t="shared" si="3"/>
        <v>-0.22643529411764685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116"/>
  <sheetViews>
    <sheetView topLeftCell="A31" zoomScale="50" zoomScaleNormal="50" workbookViewId="0">
      <selection activeCell="AB82" sqref="AB8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0" x14ac:dyDescent="0.25">
      <c r="A1" t="s">
        <v>0</v>
      </c>
      <c r="B1" t="s">
        <v>28</v>
      </c>
      <c r="C1" t="s">
        <v>42</v>
      </c>
      <c r="D1" t="s">
        <v>73</v>
      </c>
      <c r="E1" t="s">
        <v>34</v>
      </c>
      <c r="F1" t="s">
        <v>72</v>
      </c>
      <c r="G1" t="s">
        <v>35</v>
      </c>
      <c r="H1" t="s">
        <v>74</v>
      </c>
      <c r="I1" t="s">
        <v>75</v>
      </c>
      <c r="J1" t="s">
        <v>43</v>
      </c>
    </row>
    <row r="2" spans="1:10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</row>
    <row r="3" spans="1:10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0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0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0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</row>
    <row r="7" spans="1:10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</row>
    <row r="8" spans="1:10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0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0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0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0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0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0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0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0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50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50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2% discount rate</v>
      </c>
      <c r="D31" t="str">
        <f>I1</f>
        <v>As snapshot of CDR prices in 2050</v>
      </c>
      <c r="E31" t="s">
        <v>76</v>
      </c>
      <c r="F31" t="s">
        <v>77</v>
      </c>
      <c r="G31" t="s">
        <v>78</v>
      </c>
      <c r="H31" t="s">
        <v>79</v>
      </c>
      <c r="I31" t="s">
        <v>80</v>
      </c>
      <c r="J31" t="s">
        <v>81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J32"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10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10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10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10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10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10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10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10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10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10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10" x14ac:dyDescent="0.25">
      <c r="A60" s="7">
        <v>0.12</v>
      </c>
      <c r="B60" s="7" t="str">
        <f t="shared" ref="B60:D61" si="59">B31</f>
        <v>Baseline</v>
      </c>
      <c r="C60" s="7" t="str">
        <f>F1</f>
        <v>12% discount rate</v>
      </c>
      <c r="D60" s="7" t="str">
        <f t="shared" si="59"/>
        <v>As snapshot of CDR prices in 2050</v>
      </c>
      <c r="E60" t="s">
        <v>76</v>
      </c>
      <c r="F60" t="s">
        <v>77</v>
      </c>
      <c r="G60" t="s">
        <v>78</v>
      </c>
      <c r="H60" t="s">
        <v>79</v>
      </c>
      <c r="I60" t="s">
        <v>80</v>
      </c>
      <c r="J60" t="s">
        <v>81</v>
      </c>
    </row>
    <row r="61" spans="1:10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/>
      <c r="J61">
        <v>0</v>
      </c>
    </row>
    <row r="62" spans="1:10" x14ac:dyDescent="0.25">
      <c r="A62" s="7" t="str">
        <f t="shared" ref="A62:D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10" x14ac:dyDescent="0.25">
      <c r="A63" s="7" t="str">
        <f t="shared" ref="A63:D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10" x14ac:dyDescent="0.25">
      <c r="A64" s="7" t="str">
        <f t="shared" ref="A64:D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D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D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D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D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D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D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D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D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D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D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D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D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D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D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D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D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10" x14ac:dyDescent="0.25">
      <c r="A81" s="7" t="str">
        <f t="shared" ref="A81:D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10" x14ac:dyDescent="0.25">
      <c r="A82" s="7" t="str">
        <f t="shared" ref="A82:D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10" x14ac:dyDescent="0.25">
      <c r="A83" s="7" t="str">
        <f t="shared" ref="A83:D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10" x14ac:dyDescent="0.25">
      <c r="A84" s="7" t="str">
        <f t="shared" ref="A84:D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10" x14ac:dyDescent="0.25">
      <c r="A85" s="7" t="str">
        <f t="shared" ref="A85:D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10" x14ac:dyDescent="0.25">
      <c r="A86" s="7" t="str">
        <f t="shared" ref="A86:D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10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10" x14ac:dyDescent="0.25">
      <c r="A89" s="7">
        <v>0.2</v>
      </c>
      <c r="B89" t="str">
        <f>B1</f>
        <v>Baseline</v>
      </c>
      <c r="C89" t="str">
        <f>H1</f>
        <v>20% discount rate</v>
      </c>
      <c r="D89" s="7" t="str">
        <f t="shared" ref="D89" si="87">D60</f>
        <v>As snapshot of CDR prices in 2050</v>
      </c>
      <c r="E89" t="s">
        <v>76</v>
      </c>
      <c r="F89" t="s">
        <v>77</v>
      </c>
      <c r="G89" t="s">
        <v>78</v>
      </c>
      <c r="H89" t="s">
        <v>79</v>
      </c>
      <c r="I89" t="s">
        <v>80</v>
      </c>
      <c r="J89" t="s">
        <v>81</v>
      </c>
    </row>
    <row r="90" spans="1:10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/>
      <c r="J90">
        <v>0</v>
      </c>
    </row>
    <row r="91" spans="1:10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10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10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10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10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10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J29" sqref="J29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Low</vt:lpstr>
      <vt:lpstr>High</vt:lpstr>
      <vt:lpstr>Plotting Marginal CostsBenefits</vt:lpstr>
      <vt:lpstr>Marginal C emissions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2026-03-26T19:09:39Z</dcterms:modified>
</cp:coreProperties>
</file>