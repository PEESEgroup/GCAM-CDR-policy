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4B0D931-9B36-462B-835C-95206C1E82E1}" xr6:coauthVersionLast="47" xr6:coauthVersionMax="47" xr10:uidLastSave="{00000000-0000-0000-0000-000000000000}"/>
  <bookViews>
    <workbookView xWindow="14295" yWindow="0" windowWidth="14580" windowHeight="17385" activeTab="3" xr2:uid="{5B094011-67C9-461D-BBBF-A6D3FE50B4AB}"/>
  </bookViews>
  <sheets>
    <sheet name="Low" sheetId="1" r:id="rId1"/>
    <sheet name="High" sheetId="2" r:id="rId2"/>
    <sheet name="Sheet1" sheetId="5" r:id="rId3"/>
    <sheet name="Marginal C emissions" sheetId="6" r:id="rId4"/>
    <sheet name="Net-Zero Mandate" sheetId="3" r:id="rId5"/>
    <sheet name="Counterproductive Intervention" sheetId="4" r:id="rId6"/>
  </sheets>
  <definedNames>
    <definedName name="_xlnm._FilterDatabase" localSheetId="5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90" i="3" s="1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D89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I61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D60" i="3"/>
  <c r="E60" i="3"/>
  <c r="F60" i="3"/>
  <c r="G60" i="3"/>
  <c r="H60" i="3"/>
  <c r="I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H27" i="5"/>
  <c r="H28" i="5"/>
  <c r="H26" i="5"/>
  <c r="J20" i="5"/>
  <c r="I29" i="5"/>
  <c r="G19" i="5"/>
  <c r="G18" i="5"/>
  <c r="G17" i="5"/>
  <c r="G16" i="5"/>
  <c r="G2" i="5"/>
  <c r="F22" i="5"/>
  <c r="F23" i="5"/>
  <c r="F24" i="5"/>
  <c r="F25" i="5"/>
  <c r="F21" i="5"/>
  <c r="F10" i="5"/>
  <c r="F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D16" i="5"/>
  <c r="C16" i="5"/>
  <c r="C2" i="5"/>
  <c r="D2" i="5"/>
  <c r="C3" i="5"/>
  <c r="G3" i="5" s="1"/>
  <c r="D3" i="5"/>
  <c r="C4" i="5"/>
  <c r="G4" i="5" s="1"/>
  <c r="D4" i="5"/>
  <c r="C5" i="5"/>
  <c r="G5" i="5" s="1"/>
  <c r="D5" i="5"/>
  <c r="C6" i="5"/>
  <c r="D6" i="5"/>
  <c r="C7" i="5"/>
  <c r="F7" i="5" s="1"/>
  <c r="D7" i="5"/>
  <c r="C8" i="5"/>
  <c r="F8" i="5" s="1"/>
  <c r="D8" i="5"/>
  <c r="C9" i="5"/>
  <c r="F9" i="5" s="1"/>
  <c r="D9" i="5"/>
  <c r="C10" i="5"/>
  <c r="D10" i="5"/>
  <c r="C11" i="5"/>
  <c r="J11" i="5" s="1"/>
  <c r="D11" i="5"/>
  <c r="C12" i="5"/>
  <c r="H12" i="5" s="1"/>
  <c r="D12" i="5"/>
  <c r="C13" i="5"/>
  <c r="H13" i="5" s="1"/>
  <c r="D13" i="5"/>
  <c r="C14" i="5"/>
  <c r="H14" i="5" s="1"/>
  <c r="D14" i="5"/>
  <c r="C15" i="5"/>
  <c r="I15" i="5" s="1"/>
  <c r="D15" i="5"/>
  <c r="D1" i="5"/>
  <c r="C1" i="5"/>
  <c r="A24" i="5"/>
  <c r="A25" i="5"/>
  <c r="A26" i="5"/>
  <c r="A27" i="5"/>
  <c r="A28" i="5"/>
  <c r="A29" i="5"/>
  <c r="A17" i="5"/>
  <c r="A18" i="5"/>
  <c r="A19" i="5"/>
  <c r="A20" i="5"/>
  <c r="A21" i="5"/>
  <c r="A22" i="5"/>
  <c r="A23" i="5"/>
  <c r="A16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" i="5"/>
  <c r="I32" i="3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B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<sst xmlns="http://schemas.openxmlformats.org/spreadsheetml/2006/main" count="381" uniqueCount="83">
  <si>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</si>
  <si>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</si>
  <si>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</si>
  <si>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</si>
  <si>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</si>
  <si>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</si>
  <si>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</si>
  <si>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</si>
  <si>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</si>
  <si>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</si>
  <si>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</si>
  <si>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</si>
  <si>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</si>
  <si>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</si>
  <si>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</si>
  <si>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</si>
  <si>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</si>
  <si>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</si>
  <si>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</si>
  <si>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</si>
  <si>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</si>
  <si>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</si>
  <si>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</si>
  <si>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</si>
  <si>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</si>
  <si>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</si>
  <si>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</si>
  <si>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</si>
  <si>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</si>
  <si>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</si>
  <si>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</si>
  <si>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</si>
  <si>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</si>
  <si>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</si>
  <si>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</si>
  <si>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</si>
  <si>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</si>
  <si>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</si>
  <si>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</si>
  <si>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</si>
  <si>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</si>
  <si>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</si>
  <si>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</si>
  <si>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</si>
  <si>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</si>
  <si>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</si>
  <si>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</si>
  <si>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</si>
  <si>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</si>
  <si>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</si>
  <si>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</si>
  <si>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</si>
  <si>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</si>
  <si>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</si>
  <si>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</si>
  <si>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</si>
  <si>
    <t>Innovation</t>
  </si>
  <si>
    <t>Subsidy</t>
  </si>
  <si>
    <t>Procurement</t>
  </si>
  <si>
    <t>500Mt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</si>
  <si>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</si>
  <si>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</si>
  <si>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</si>
  <si>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</si>
  <si>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</si>
  <si>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</si>
  <si>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</si>
  <si>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t C</t>
  </si>
  <si>
    <t>tC</t>
  </si>
  <si>
    <t>tCO2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</si>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</sst>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Sheet1!$F$2:$F$29</c:f>
              <c:numCache>
                <c:formatCode>General</c:formatCode>
                <c:ptCount val="28"/>
                <c:pt idx="4" formatCode="&quot;$&quot;#,##0.00_);[Red]\(&quot;$&quot;#,##0.00\)">
                  <c:v>-5718.2312864800897</c:v>
                </c:pt>
                <c:pt idx="5" formatCode="&quot;$&quot;#,##0.00_);[Red]\(&quot;$&quot;#,##0.00\)">
                  <c:v>-6100.3980291768003</c:v>
                </c:pt>
                <c:pt idx="6" formatCode="&quot;$&quot;#,##0.00_);[Red]\(&quot;$&quot;#,##0.00\)">
                  <c:v>-20972.403124771499</c:v>
                </c:pt>
                <c:pt idx="7" formatCode="&quot;$&quot;#,##0.00_);[Red]\(&quot;$&quot;#,##0.00\)">
                  <c:v>-9175.9801601351992</c:v>
                </c:pt>
                <c:pt idx="8" formatCode="&quot;$&quot;#,##0.00_);[Red]\(&quot;$&quot;#,##0.00\)">
                  <c:v>-10472.8845316388</c:v>
                </c:pt>
                <c:pt idx="19" formatCode="&quot;$&quot;#,##0.00_);[Red]\(&quot;$&quot;#,##0.00\)">
                  <c:v>-14041.807010664401</c:v>
                </c:pt>
                <c:pt idx="20" formatCode="&quot;$&quot;#,##0.00_);[Red]\(&quot;$&quot;#,##0.00\)">
                  <c:v>-12795.920628411601</c:v>
                </c:pt>
                <c:pt idx="21" formatCode="&quot;$&quot;#,##0.00_);[Red]\(&quot;$&quot;#,##0.00\)">
                  <c:v>-38626.101035459098</c:v>
                </c:pt>
                <c:pt idx="22" formatCode="&quot;$&quot;#,##0.00_);[Red]\(&quot;$&quot;#,##0.00\)">
                  <c:v>-17986.986790839499</c:v>
                </c:pt>
                <c:pt idx="23" formatCode="&quot;$&quot;#,##0.00_);[Red]\(&quot;$&quot;#,##0.00\)">
                  <c:v>-20252.154009836198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0-4C18-854E-01D95C52F04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Sheet1!$G$2:$G$29</c:f>
              <c:numCache>
                <c:formatCode>"$"#,##0.00_);[Red]\("$"#,##0.00\)</c:formatCode>
                <c:ptCount val="28"/>
                <c:pt idx="0">
                  <c:v>-11644.658803537901</c:v>
                </c:pt>
                <c:pt idx="1">
                  <c:v>-30848.8092279228</c:v>
                </c:pt>
                <c:pt idx="2">
                  <c:v>-48889.259790475502</c:v>
                </c:pt>
                <c:pt idx="3">
                  <c:v>-124837.11295495099</c:v>
                </c:pt>
                <c:pt idx="14">
                  <c:v>-24012.4014868552</c:v>
                </c:pt>
                <c:pt idx="15">
                  <c:v>-84257.525916830593</c:v>
                </c:pt>
                <c:pt idx="16">
                  <c:v>-74162.1476601756</c:v>
                </c:pt>
                <c:pt idx="17">
                  <c:v>-265902.76421105402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00-4C18-854E-01D95C52F040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Sheet1!$H$2:$H$29</c:f>
              <c:numCache>
                <c:formatCode>General</c:formatCode>
                <c:ptCount val="28"/>
                <c:pt idx="10" formatCode="&quot;$&quot;#,##0.00_);[Red]\(&quot;$&quot;#,##0.00\)">
                  <c:v>-32.085743248811902</c:v>
                </c:pt>
                <c:pt idx="11" formatCode="&quot;$&quot;#,##0.00_);[Red]\(&quot;$&quot;#,##0.00\)">
                  <c:v>4460.6170443716501</c:v>
                </c:pt>
                <c:pt idx="12" formatCode="&quot;$&quot;#,##0.00_);[Red]\(&quot;$&quot;#,##0.00\)">
                  <c:v>-184.162683612303</c:v>
                </c:pt>
                <c:pt idx="24" formatCode="&quot;$&quot;#,##0.00_);[Red]\(&quot;$&quot;#,##0.00\)">
                  <c:v>-2555.2191726661399</c:v>
                </c:pt>
                <c:pt idx="25" formatCode="&quot;$&quot;#,##0.00_);[Red]\(&quot;$&quot;#,##0.00\)">
                  <c:v>5157.5221174354301</c:v>
                </c:pt>
                <c:pt idx="26" formatCode="&quot;$&quot;#,##0.00_);[Red]\(&quot;$&quot;#,##0.00\)">
                  <c:v>-2707.91448460225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00-4C18-854E-01D95C52F040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Sheet1!$I$2:$I$29</c:f>
              <c:numCache>
                <c:formatCode>General</c:formatCode>
                <c:ptCount val="28"/>
                <c:pt idx="13" formatCode="&quot;$&quot;#,##0.00_);[Red]\(&quot;$&quot;#,##0.00\)">
                  <c:v>-55394.240300793303</c:v>
                </c:pt>
                <c:pt idx="27" formatCode="&quot;$&quot;#,##0.00_);[Red]\(&quot;$&quot;#,##0.00\)">
                  <c:v>-100078.99781724501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00-4C18-854E-01D95C52F040}"/>
            </c:ext>
          </c:extLst>
        </c:ser>
        <c:ser>
          <c:idx val="4"/>
          <c:order val="4"/>
          <c:tx>
            <c:strRef>
              <c:f>Sheet1!$J$1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Sheet1!$J$2:$J$29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00-4C18-854E-01D95C52F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86399"/>
        <c:axId val="1171888319"/>
      </c:scatterChart>
      <c:valAx>
        <c:axId val="117188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8319"/>
        <c:crosses val="autoZero"/>
        <c:crossBetween val="midCat"/>
      </c:valAx>
      <c:valAx>
        <c:axId val="1171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Benefits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Mandate'!$I$1</c:f>
              <c:strCache>
                <c:ptCount val="1"/>
                <c:pt idx="0">
                  <c:v>Cost Decrease necessary in size of the CDR market in 2050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Mandate'!$D$2:$D$28</c:f>
              <c:numCache>
                <c:formatCode>General</c:formatCode>
                <c:ptCount val="27"/>
                <c:pt idx="0">
                  <c:v>0</c:v>
                </c:pt>
                <c:pt idx="1">
                  <c:v>0.64785695536394483</c:v>
                </c:pt>
                <c:pt idx="2">
                  <c:v>2.2459408657409443E-3</c:v>
                </c:pt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8">
                  <c:v>1.5349199946093965</c:v>
                </c:pt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12">
                  <c:v>2.2923311819484971</c:v>
                </c:pt>
                <c:pt idx="13">
                  <c:v>2.3877980534629502</c:v>
                </c:pt>
                <c:pt idx="14">
                  <c:v>4.073413175736218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  <c:pt idx="23">
                  <c:v>3.3410490344405526</c:v>
                </c:pt>
                <c:pt idx="24">
                  <c:v>4.778714292207316</c:v>
                </c:pt>
                <c:pt idx="25">
                  <c:v>-2.1509758877512724</c:v>
                </c:pt>
                <c:pt idx="26">
                  <c:v>2.4526831516616943</c:v>
                </c:pt>
              </c:numCache>
            </c:numRef>
          </c:xVal>
          <c:yVal>
            <c:numRef>
              <c:f>'Net-Zero Mandate'!$I$2:$I$28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1-4C2D-91EF-23E150E8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875584"/>
        <c:axId val="678876544"/>
      </c:scatterChart>
      <c:valAx>
        <c:axId val="67887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6544"/>
        <c:crosses val="autoZero"/>
        <c:crossBetween val="midCat"/>
      </c:valAx>
      <c:valAx>
        <c:axId val="67887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0">
                  <c:v>0</c:v>
                </c:pt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6-4562-9FAE-205B641F3911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46-4562-9FAE-205B641F3911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46-4562-9FAE-205B641F3911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46-4562-9FAE-205B641F3911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0" formatCode="0.00">
                  <c:v>0</c:v>
                </c:pt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46-4562-9FAE-205B641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D-4403-A039-27329D583A2E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3D-4403-A039-27329D583A2E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3D-4403-A039-27329D583A2E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3D-4403-A039-27329D583A2E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0" formatCode="0.00">
                  <c:v>0</c:v>
                </c:pt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3D-4403-A039-27329D583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title>
          <cx:tx>
            <cx:txData>
              <cx:v>% of NPV of efficient pathway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NPV of efficient pathway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50"/>
          </a:pPr>
          <a:endParaRPr lang="en-US" sz="105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471487</xdr:colOff>
      <xdr:row>1</xdr:row>
      <xdr:rowOff>176211</xdr:rowOff>
    </xdr:from>
    <xdr:to>
      <xdr:col>20</xdr:col>
      <xdr:colOff>9525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73D92-4B67-960D-790D-512C61528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06775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57150</xdr:colOff>
      <xdr:row>10</xdr:row>
      <xdr:rowOff>23812</xdr:rowOff>
    </xdr:from>
    <xdr:to>
      <xdr:col>26</xdr:col>
      <xdr:colOff>361950</xdr:colOff>
      <xdr:row>24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1E21B9-27F7-E53F-D27D-873A4ABDA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49</xdr:row>
      <xdr:rowOff>171450</xdr:rowOff>
    </xdr:from>
    <xdr:to>
      <xdr:col>11</xdr:col>
      <xdr:colOff>400050</xdr:colOff>
      <xdr:row>55</xdr:row>
      <xdr:rowOff>171450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00627D-3012-C678-8F56-01D6FFA6A48E}"/>
            </a:ext>
          </a:extLst>
        </xdr:cNvPr>
        <xdr:cNvSpPr txBox="1"/>
      </xdr:nvSpPr>
      <xdr:spPr>
        <a:xfrm>
          <a:off x="9067800" y="9505950"/>
          <a:ext cx="933450" cy="114300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47625</xdr:colOff>
      <xdr:row>33</xdr:row>
      <xdr:rowOff>152400</xdr:rowOff>
    </xdr:from>
    <xdr:to>
      <xdr:col>17</xdr:col>
      <xdr:colOff>561975</xdr:colOff>
      <xdr:row>36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85F7EA-665D-4B5F-95C3-2833847D1568}"/>
            </a:ext>
          </a:extLst>
        </xdr:cNvPr>
        <xdr:cNvSpPr txBox="1"/>
      </xdr:nvSpPr>
      <xdr:spPr>
        <a:xfrm>
          <a:off x="12087225" y="6438900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10</xdr:col>
      <xdr:colOff>85725</xdr:colOff>
      <xdr:row>33</xdr:row>
      <xdr:rowOff>152399</xdr:rowOff>
    </xdr:from>
    <xdr:to>
      <xdr:col>11</xdr:col>
      <xdr:colOff>419100</xdr:colOff>
      <xdr:row>39</xdr:row>
      <xdr:rowOff>28575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D4D1B9-D1FE-4274-BDC5-DAACF31510B1}"/>
            </a:ext>
          </a:extLst>
        </xdr:cNvPr>
        <xdr:cNvSpPr txBox="1"/>
      </xdr:nvSpPr>
      <xdr:spPr>
        <a:xfrm>
          <a:off x="9077325" y="6438899"/>
          <a:ext cx="942975" cy="1019176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38100</xdr:colOff>
      <xdr:row>53</xdr:row>
      <xdr:rowOff>104775</xdr:rowOff>
    </xdr:from>
    <xdr:to>
      <xdr:col>17</xdr:col>
      <xdr:colOff>552450</xdr:colOff>
      <xdr:row>55</xdr:row>
      <xdr:rowOff>161925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15412F4-9FE3-4B65-B1F7-D83D9FE68030}"/>
            </a:ext>
          </a:extLst>
        </xdr:cNvPr>
        <xdr:cNvSpPr txBox="1"/>
      </xdr:nvSpPr>
      <xdr:spPr>
        <a:xfrm>
          <a:off x="12077700" y="10201275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9</xdr:col>
      <xdr:colOff>217714</xdr:colOff>
      <xdr:row>59</xdr:row>
      <xdr:rowOff>81643</xdr:rowOff>
    </xdr:from>
    <xdr:to>
      <xdr:col>18</xdr:col>
      <xdr:colOff>260577</xdr:colOff>
      <xdr:row>86</xdr:row>
      <xdr:rowOff>38781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220C49-AEBE-4CDA-8478-06D535AEB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435429</xdr:colOff>
      <xdr:row>88</xdr:row>
      <xdr:rowOff>108857</xdr:rowOff>
    </xdr:from>
    <xdr:to>
      <xdr:col>18</xdr:col>
      <xdr:colOff>478292</xdr:colOff>
      <xdr:row>115</xdr:row>
      <xdr:rowOff>65995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FFBF60-479F-456B-919C-CC27930EA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A17" sqref="A17:M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55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60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55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topLeftCell="A3" workbookViewId="0">
      <selection activeCell="I8" sqref="I8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55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60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55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N30"/>
  <sheetViews>
    <sheetView workbookViewId="0">
      <selection activeCell="H4" sqref="H4"/>
    </sheetView>
  </sheetViews>
  <sheetFormatPr defaultRowHeight="15" x14ac:dyDescent="0.25"/>
  <cols>
    <col min="3" max="3" width="15.140625" bestFit="1" customWidth="1"/>
    <col min="4" max="4" width="12.85546875" bestFit="1" customWidth="1"/>
    <col min="6" max="7" width="11.5703125" bestFit="1" customWidth="1"/>
    <col min="8" max="8" width="10.5703125" bestFit="1" customWidth="1"/>
    <col min="9" max="9" width="12.5703125" bestFit="1" customWidth="1"/>
  </cols>
  <sheetData>
    <row r="1" spans="1:10" x14ac:dyDescent="0.25">
      <c r="A1" t="str">
        <f>Low!A1</f>
        <v>Scenario</v>
      </c>
      <c r="B1" t="s">
        <v>28</v>
      </c>
      <c r="C1" t="str">
        <f>Low!F1</f>
        <v>Benefits | 12.0%</v>
      </c>
      <c r="D1" t="str">
        <f>Low!G1</f>
        <v>Costs | 12.0%</v>
      </c>
      <c r="F1" t="s">
        <v>56</v>
      </c>
      <c r="G1" t="s">
        <v>57</v>
      </c>
      <c r="H1" t="s">
        <v>58</v>
      </c>
      <c r="I1" t="s">
        <v>55</v>
      </c>
      <c r="J1" t="s">
        <v>28</v>
      </c>
    </row>
    <row r="2" spans="1:10" x14ac:dyDescent="0.25">
      <c r="A2" t="str">
        <f>Low!A2</f>
        <v>45Q-2040</v>
      </c>
      <c r="B2" t="s">
        <v>59</v>
      </c>
      <c r="C2" s="1">
        <f>Low!F2</f>
        <v>-11644.658803537901</v>
      </c>
      <c r="D2" s="1">
        <f>Low!G2</f>
        <v>32506.920082813402</v>
      </c>
      <c r="G2" s="1">
        <f>C2</f>
        <v>-11644.658803537901</v>
      </c>
    </row>
    <row r="3" spans="1:10" x14ac:dyDescent="0.25">
      <c r="A3" t="str">
        <f>Low!A3</f>
        <v>45Q-2050</v>
      </c>
      <c r="B3" t="s">
        <v>59</v>
      </c>
      <c r="C3" s="1">
        <f>Low!F3</f>
        <v>-30848.8092279228</v>
      </c>
      <c r="D3" s="1">
        <f>Low!G3</f>
        <v>68806.729018270402</v>
      </c>
      <c r="G3" s="1">
        <f t="shared" ref="G3:G5" si="0">C3</f>
        <v>-30848.8092279228</v>
      </c>
    </row>
    <row r="4" spans="1:10" x14ac:dyDescent="0.25">
      <c r="A4" t="str">
        <f>Low!A4</f>
        <v>CDRIA-2035</v>
      </c>
      <c r="B4" t="s">
        <v>59</v>
      </c>
      <c r="C4" s="1">
        <f>Low!F4</f>
        <v>-48889.259790475502</v>
      </c>
      <c r="D4" s="1">
        <f>Low!G4</f>
        <v>28709.564463483799</v>
      </c>
      <c r="G4" s="1">
        <f t="shared" si="0"/>
        <v>-48889.259790475502</v>
      </c>
    </row>
    <row r="5" spans="1:10" x14ac:dyDescent="0.25">
      <c r="A5" t="str">
        <f>Low!A5</f>
        <v>CDRIA-2050</v>
      </c>
      <c r="B5" t="s">
        <v>59</v>
      </c>
      <c r="C5" s="1">
        <f>Low!F5</f>
        <v>-124837.11295495099</v>
      </c>
      <c r="D5" s="1">
        <f>Low!G5</f>
        <v>125786.37310764899</v>
      </c>
      <c r="G5" s="1">
        <f t="shared" si="0"/>
        <v>-124837.11295495099</v>
      </c>
    </row>
    <row r="6" spans="1:10" x14ac:dyDescent="0.25">
      <c r="A6" t="str">
        <f>Low!A6</f>
        <v>Innovation-DACHubs</v>
      </c>
      <c r="B6" t="s">
        <v>59</v>
      </c>
      <c r="C6" s="1">
        <f>Low!F6</f>
        <v>-5718.2312864800897</v>
      </c>
      <c r="D6" s="1">
        <f>Low!G6</f>
        <v>15677.5227380697</v>
      </c>
      <c r="F6" s="1">
        <f>C6</f>
        <v>-5718.2312864800897</v>
      </c>
    </row>
    <row r="7" spans="1:10" x14ac:dyDescent="0.25">
      <c r="A7" t="str">
        <f>Low!A7</f>
        <v>Innovation-maintain</v>
      </c>
      <c r="B7" t="s">
        <v>59</v>
      </c>
      <c r="C7" s="1">
        <f>Low!F7</f>
        <v>-6100.3980291768003</v>
      </c>
      <c r="D7" s="1">
        <f>Low!G7</f>
        <v>12692.2292408466</v>
      </c>
      <c r="F7" s="1">
        <f t="shared" ref="F7:F10" si="1">C7</f>
        <v>-6100.3980291768003</v>
      </c>
    </row>
    <row r="8" spans="1:10" x14ac:dyDescent="0.25">
      <c r="A8" t="str">
        <f>Low!A8</f>
        <v>Innovation-rhodium18b</v>
      </c>
      <c r="B8" t="s">
        <v>59</v>
      </c>
      <c r="C8" s="1">
        <f>Low!F8</f>
        <v>-20972.403124771499</v>
      </c>
      <c r="D8" s="1">
        <f>Low!G8</f>
        <v>18375.511162999999</v>
      </c>
      <c r="F8" s="1">
        <f t="shared" si="1"/>
        <v>-20972.403124771499</v>
      </c>
    </row>
    <row r="9" spans="1:10" x14ac:dyDescent="0.25">
      <c r="A9" t="str">
        <f>Low!A9</f>
        <v>Innovation-rhodium6b</v>
      </c>
      <c r="B9" t="s">
        <v>59</v>
      </c>
      <c r="C9" s="1">
        <f>Low!F9</f>
        <v>-9175.9801601351992</v>
      </c>
      <c r="D9" s="1">
        <f>Low!G9</f>
        <v>13838.706423644</v>
      </c>
      <c r="F9" s="1">
        <f t="shared" si="1"/>
        <v>-9175.9801601351992</v>
      </c>
    </row>
    <row r="10" spans="1:10" x14ac:dyDescent="0.25">
      <c r="A10" t="str">
        <f>Low!A10</f>
        <v>Innovation-triple</v>
      </c>
      <c r="B10" t="s">
        <v>59</v>
      </c>
      <c r="C10" s="1">
        <f>Low!F10</f>
        <v>-10472.8845316388</v>
      </c>
      <c r="D10" s="1">
        <f>Low!G10</f>
        <v>14865.3551125206</v>
      </c>
      <c r="F10" s="1">
        <f t="shared" si="1"/>
        <v>-10472.8845316388</v>
      </c>
    </row>
    <row r="11" spans="1:10" x14ac:dyDescent="0.25">
      <c r="A11" t="str">
        <f>Low!A11</f>
        <v>Low Baseline</v>
      </c>
      <c r="B11" t="s">
        <v>59</v>
      </c>
      <c r="C11" s="1">
        <f>Low!F11</f>
        <v>0</v>
      </c>
      <c r="D11" s="1">
        <f>Low!G11</f>
        <v>11511.601320002699</v>
      </c>
      <c r="J11" s="1">
        <f>C11</f>
        <v>0</v>
      </c>
    </row>
    <row r="12" spans="1:10" x14ac:dyDescent="0.25">
      <c r="A12" t="str">
        <f>Low!A12</f>
        <v>Procure3B</v>
      </c>
      <c r="B12" t="s">
        <v>59</v>
      </c>
      <c r="C12" s="1">
        <f>Low!F12</f>
        <v>-32.085743248811902</v>
      </c>
      <c r="D12" s="1">
        <f>Low!G12</f>
        <v>32278.589396815001</v>
      </c>
      <c r="H12" s="1">
        <f>C12</f>
        <v>-32.085743248811902</v>
      </c>
    </row>
    <row r="13" spans="1:10" x14ac:dyDescent="0.25">
      <c r="A13" t="str">
        <f>Low!A13</f>
        <v>ProcureRhodium</v>
      </c>
      <c r="B13" t="s">
        <v>59</v>
      </c>
      <c r="C13" s="1">
        <f>Low!F13</f>
        <v>4460.6170443716501</v>
      </c>
      <c r="D13" s="1">
        <f>Low!G13</f>
        <v>222303.607323328</v>
      </c>
      <c r="H13" s="1">
        <f t="shared" ref="H13:H14" si="2">C13</f>
        <v>4460.6170443716501</v>
      </c>
    </row>
    <row r="14" spans="1:10" x14ac:dyDescent="0.25">
      <c r="A14" t="str">
        <f>Low!A14</f>
        <v>ProcureScaling</v>
      </c>
      <c r="B14" t="s">
        <v>59</v>
      </c>
      <c r="C14" s="1">
        <f>Low!F14</f>
        <v>-184.162683612303</v>
      </c>
      <c r="D14" s="1">
        <f>Low!G14</f>
        <v>17829.693968081301</v>
      </c>
      <c r="H14" s="1">
        <f t="shared" si="2"/>
        <v>-184.162683612303</v>
      </c>
    </row>
    <row r="15" spans="1:10" x14ac:dyDescent="0.25">
      <c r="A15" t="str">
        <f>Low!A15</f>
        <v>Optimal</v>
      </c>
      <c r="B15" t="s">
        <v>59</v>
      </c>
      <c r="C15" s="1">
        <f>Low!F15</f>
        <v>-55394.240300793303</v>
      </c>
      <c r="D15" s="1">
        <f>Low!G15</f>
        <v>44328.768128424897</v>
      </c>
      <c r="I15" s="1">
        <f>C15</f>
        <v>-55394.240300793303</v>
      </c>
    </row>
    <row r="16" spans="1:10" x14ac:dyDescent="0.25">
      <c r="A16" t="str">
        <f>High!A2</f>
        <v>45Q-2040</v>
      </c>
      <c r="B16" t="s">
        <v>32</v>
      </c>
      <c r="C16" s="1">
        <f>High!F2</f>
        <v>-24012.4014868552</v>
      </c>
      <c r="D16" s="1">
        <f>High!G2</f>
        <v>48730.788212699401</v>
      </c>
      <c r="G16" s="1">
        <f>C16</f>
        <v>-24012.4014868552</v>
      </c>
    </row>
    <row r="17" spans="1:14" x14ac:dyDescent="0.25">
      <c r="A17" t="str">
        <f>High!A3</f>
        <v>45Q-2050</v>
      </c>
      <c r="B17" t="s">
        <v>32</v>
      </c>
      <c r="C17" s="1">
        <f>High!F3</f>
        <v>-84257.525916830593</v>
      </c>
      <c r="D17" s="1">
        <f>High!G3</f>
        <v>140944.522706794</v>
      </c>
      <c r="G17" s="1">
        <f t="shared" ref="G17:G19" si="3">C17</f>
        <v>-84257.525916830593</v>
      </c>
    </row>
    <row r="18" spans="1:14" x14ac:dyDescent="0.25">
      <c r="A18" t="str">
        <f>High!A4</f>
        <v>CDRIA-2035</v>
      </c>
      <c r="B18" t="s">
        <v>32</v>
      </c>
      <c r="C18" s="1">
        <f>High!F4</f>
        <v>-74162.1476601756</v>
      </c>
      <c r="D18" s="1">
        <f>High!G4</f>
        <v>40207.866336966101</v>
      </c>
      <c r="G18" s="1">
        <f t="shared" si="3"/>
        <v>-74162.1476601756</v>
      </c>
    </row>
    <row r="19" spans="1:14" x14ac:dyDescent="0.25">
      <c r="A19" t="str">
        <f>High!A5</f>
        <v>CDRIA-2050</v>
      </c>
      <c r="B19" t="s">
        <v>32</v>
      </c>
      <c r="C19" s="1">
        <f>High!F5</f>
        <v>-265902.76421105402</v>
      </c>
      <c r="D19" s="1">
        <f>High!G5</f>
        <v>266640.44285571203</v>
      </c>
      <c r="G19" s="1">
        <f t="shared" si="3"/>
        <v>-265902.76421105402</v>
      </c>
    </row>
    <row r="20" spans="1:14" x14ac:dyDescent="0.25">
      <c r="A20" t="str">
        <f>High!A6</f>
        <v>High Baseline</v>
      </c>
      <c r="B20" t="s">
        <v>32</v>
      </c>
      <c r="C20" s="1">
        <f>High!F6</f>
        <v>0</v>
      </c>
      <c r="D20" s="1">
        <f>High!G6</f>
        <v>12922.5120645157</v>
      </c>
      <c r="J20" s="1">
        <f>C20</f>
        <v>0</v>
      </c>
    </row>
    <row r="21" spans="1:14" x14ac:dyDescent="0.25">
      <c r="A21" t="str">
        <f>High!A7</f>
        <v>Innovation-DACHubs</v>
      </c>
      <c r="B21" t="s">
        <v>32</v>
      </c>
      <c r="C21" s="1">
        <f>High!F7</f>
        <v>-14041.807010664401</v>
      </c>
      <c r="D21" s="1">
        <f>High!G7</f>
        <v>17381.240704187301</v>
      </c>
      <c r="F21" s="1">
        <f>C21</f>
        <v>-14041.807010664401</v>
      </c>
    </row>
    <row r="22" spans="1:14" x14ac:dyDescent="0.25">
      <c r="A22" t="str">
        <f>High!A8</f>
        <v>Innovation-maintain</v>
      </c>
      <c r="B22" t="s">
        <v>32</v>
      </c>
      <c r="C22" s="1">
        <f>High!F8</f>
        <v>-12795.920628411601</v>
      </c>
      <c r="D22" s="1">
        <f>High!G8</f>
        <v>14128.7206300791</v>
      </c>
      <c r="F22" s="1">
        <f t="shared" ref="F22:F25" si="4">C22</f>
        <v>-12795.920628411601</v>
      </c>
    </row>
    <row r="23" spans="1:14" x14ac:dyDescent="0.25">
      <c r="A23" t="str">
        <f>High!A9</f>
        <v>Innovation-rhodium18b</v>
      </c>
      <c r="B23" t="s">
        <v>32</v>
      </c>
      <c r="C23" s="1">
        <f>High!F9</f>
        <v>-38626.101035459098</v>
      </c>
      <c r="D23" s="1">
        <f>High!G9</f>
        <v>19876.195905398199</v>
      </c>
      <c r="F23" s="1">
        <f t="shared" si="4"/>
        <v>-38626.101035459098</v>
      </c>
    </row>
    <row r="24" spans="1:14" x14ac:dyDescent="0.25">
      <c r="A24" t="str">
        <f>High!A10</f>
        <v>Innovation-rhodium6b</v>
      </c>
      <c r="B24" t="s">
        <v>32</v>
      </c>
      <c r="C24" s="1">
        <f>High!F10</f>
        <v>-17986.986790839499</v>
      </c>
      <c r="D24" s="1">
        <f>High!G10</f>
        <v>15287.094538355101</v>
      </c>
      <c r="F24" s="1">
        <f t="shared" si="4"/>
        <v>-17986.986790839499</v>
      </c>
    </row>
    <row r="25" spans="1:14" x14ac:dyDescent="0.25">
      <c r="A25" t="str">
        <f>High!A11</f>
        <v>Innovation-triple</v>
      </c>
      <c r="B25" t="s">
        <v>32</v>
      </c>
      <c r="C25" s="1">
        <f>High!F11</f>
        <v>-20252.154009836198</v>
      </c>
      <c r="D25" s="1">
        <f>High!G11</f>
        <v>16316.162333554499</v>
      </c>
      <c r="F25" s="1">
        <f t="shared" si="4"/>
        <v>-20252.154009836198</v>
      </c>
    </row>
    <row r="26" spans="1:14" x14ac:dyDescent="0.25">
      <c r="A26" t="str">
        <f>High!A12</f>
        <v>Procure3B</v>
      </c>
      <c r="B26" t="s">
        <v>32</v>
      </c>
      <c r="C26" s="1">
        <f>High!F12</f>
        <v>-2555.2191726661399</v>
      </c>
      <c r="D26" s="1">
        <f>High!G12</f>
        <v>33709.460372616202</v>
      </c>
      <c r="H26" s="1">
        <f>C26</f>
        <v>-2555.2191726661399</v>
      </c>
    </row>
    <row r="27" spans="1:14" x14ac:dyDescent="0.25">
      <c r="A27" t="str">
        <f>High!A13</f>
        <v>ProcureRhodium</v>
      </c>
      <c r="B27" t="s">
        <v>32</v>
      </c>
      <c r="C27" s="1">
        <f>High!F13</f>
        <v>5157.5221174354301</v>
      </c>
      <c r="D27" s="1">
        <f>High!G13</f>
        <v>235929.47854249101</v>
      </c>
      <c r="H27" s="1">
        <f t="shared" ref="H27:H28" si="5">C27</f>
        <v>5157.5221174354301</v>
      </c>
    </row>
    <row r="28" spans="1:14" x14ac:dyDescent="0.25">
      <c r="A28" t="str">
        <f>High!A14</f>
        <v>ProcureScaling</v>
      </c>
      <c r="B28" t="s">
        <v>32</v>
      </c>
      <c r="C28" s="1">
        <f>High!F14</f>
        <v>-2707.91448460225</v>
      </c>
      <c r="D28" s="1">
        <f>High!G14</f>
        <v>19251.584572950102</v>
      </c>
      <c r="H28" s="1">
        <f t="shared" si="5"/>
        <v>-2707.91448460225</v>
      </c>
    </row>
    <row r="29" spans="1:14" x14ac:dyDescent="0.25">
      <c r="A29" t="str">
        <f>High!A15</f>
        <v>Optimal</v>
      </c>
      <c r="B29" t="s">
        <v>32</v>
      </c>
      <c r="C29" s="1">
        <f>High!F15</f>
        <v>-100078.99781724501</v>
      </c>
      <c r="D29" s="1">
        <f>High!G15</f>
        <v>46662.644528508899</v>
      </c>
      <c r="I29" s="1">
        <f>C29</f>
        <v>-100078.99781724501</v>
      </c>
      <c r="L29">
        <v>1990</v>
      </c>
      <c r="M29">
        <v>2025</v>
      </c>
      <c r="N29" t="s">
        <v>68</v>
      </c>
    </row>
    <row r="30" spans="1:14" x14ac:dyDescent="0.25">
      <c r="L30" t="s">
        <v>67</v>
      </c>
      <c r="M30">
        <v>1990</v>
      </c>
      <c r="N30" t="s">
        <v>69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tabSelected="1" workbookViewId="0">
      <selection activeCell="H12" sqref="H12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2" bestFit="1" customWidth="1"/>
    <col min="4" max="4" width="9.7109375" bestFit="1" customWidth="1"/>
    <col min="5" max="5" width="9.42578125" bestFit="1" customWidth="1"/>
  </cols>
  <sheetData>
    <row r="1" spans="1:5" x14ac:dyDescent="0.25">
      <c r="A1" t="s">
        <v>0</v>
      </c>
      <c r="B1" t="s">
        <v>71</v>
      </c>
      <c r="C1" t="s">
        <v>79</v>
      </c>
      <c r="D1" t="s">
        <v>80</v>
      </c>
      <c r="E1" t="s">
        <v>82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81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71</v>
      </c>
      <c r="C6" t="s">
        <v>79</v>
      </c>
      <c r="D6" t="s">
        <v>80</v>
      </c>
      <c r="E6" t="s">
        <v>70</v>
      </c>
    </row>
    <row r="7" spans="1:5" x14ac:dyDescent="0.25">
      <c r="A7" t="s">
        <v>72</v>
      </c>
      <c r="B7" s="8">
        <v>44.88</v>
      </c>
      <c r="C7" s="8">
        <v>697.52</v>
      </c>
      <c r="D7" s="8">
        <f>C7*44/12</f>
        <v>2557.5733333333333</v>
      </c>
      <c r="E7" s="8" t="s">
        <v>81</v>
      </c>
    </row>
    <row r="8" spans="1:5" x14ac:dyDescent="0.25">
      <c r="A8" t="s">
        <v>73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75</v>
      </c>
      <c r="B9" s="8">
        <v>227.92</v>
      </c>
      <c r="C9" s="8">
        <v>723.71</v>
      </c>
      <c r="D9" s="8">
        <f t="shared" ref="D8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77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74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78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76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71</v>
      </c>
      <c r="C16" t="s">
        <v>79</v>
      </c>
      <c r="D16" t="s">
        <v>80</v>
      </c>
      <c r="E16" t="s">
        <v>70</v>
      </c>
    </row>
    <row r="17" spans="1:5" x14ac:dyDescent="0.25">
      <c r="A17" t="s">
        <v>72</v>
      </c>
      <c r="B17" s="8">
        <v>100</v>
      </c>
      <c r="C17" s="8">
        <v>-18.37</v>
      </c>
      <c r="D17" s="8">
        <f>C17*44/12</f>
        <v>-67.356666666666669</v>
      </c>
      <c r="E17" s="8" t="s">
        <v>81</v>
      </c>
    </row>
    <row r="18" spans="1:5" x14ac:dyDescent="0.25">
      <c r="A18" t="s">
        <v>73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74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75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76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19:E23" si="3">1-(D21-D20)/(B21-B20)</f>
        <v>0.11300674132028654</v>
      </c>
    </row>
    <row r="22" spans="1:5" x14ac:dyDescent="0.25">
      <c r="A22" t="s">
        <v>77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78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116"/>
  <sheetViews>
    <sheetView zoomScale="70" zoomScaleNormal="70" workbookViewId="0">
      <selection activeCell="L22" sqref="L2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0" x14ac:dyDescent="0.25">
      <c r="A1" t="s">
        <v>0</v>
      </c>
      <c r="B1" t="s">
        <v>28</v>
      </c>
      <c r="C1" t="s">
        <v>42</v>
      </c>
      <c r="D1" t="s">
        <v>52</v>
      </c>
      <c r="E1" t="s">
        <v>34</v>
      </c>
      <c r="F1" t="s">
        <v>51</v>
      </c>
      <c r="G1" t="s">
        <v>35</v>
      </c>
      <c r="H1" t="s">
        <v>53</v>
      </c>
      <c r="I1" t="s">
        <v>50</v>
      </c>
      <c r="J1" t="s">
        <v>43</v>
      </c>
    </row>
    <row r="2" spans="1:10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</row>
    <row r="3" spans="1:10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0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0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0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</row>
    <row r="7" spans="1:10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</row>
    <row r="8" spans="1:10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0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0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0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0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0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0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0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0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54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54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Cost Decrease necessary in NPV of CDR market | 2.0% discount rate</v>
      </c>
      <c r="D31" t="str">
        <f>I1</f>
        <v>Cost Decrease necessary in size of the CDR market in 2050</v>
      </c>
      <c r="E31" t="s">
        <v>56</v>
      </c>
      <c r="F31" t="s">
        <v>57</v>
      </c>
      <c r="G31" t="s">
        <v>58</v>
      </c>
      <c r="H31" t="s">
        <v>55</v>
      </c>
      <c r="I31" t="s">
        <v>28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I32">
        <f>C32</f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9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9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9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9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9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9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9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9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9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9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9" x14ac:dyDescent="0.25">
      <c r="A60" s="7">
        <v>0.12</v>
      </c>
      <c r="B60" s="7" t="str">
        <f t="shared" ref="B60:I61" si="59">B31</f>
        <v>Baseline</v>
      </c>
      <c r="C60" s="7" t="str">
        <f>F1</f>
        <v>Cost Decrease necessary in NPV of CDR market | 12.0% discount rate</v>
      </c>
      <c r="D60" s="7" t="str">
        <f t="shared" si="59"/>
        <v>Cost Decrease necessary in size of the CDR market in 2050</v>
      </c>
      <c r="E60" s="7" t="str">
        <f t="shared" si="59"/>
        <v>Innovation</v>
      </c>
      <c r="F60" s="7" t="str">
        <f t="shared" si="59"/>
        <v>Subsidy</v>
      </c>
      <c r="G60" s="7" t="str">
        <f t="shared" si="59"/>
        <v>Procurement</v>
      </c>
      <c r="H60" s="7" t="str">
        <f t="shared" si="59"/>
        <v>Optimal</v>
      </c>
      <c r="I60" s="7" t="str">
        <f t="shared" si="59"/>
        <v>Baseline</v>
      </c>
    </row>
    <row r="61" spans="1:9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>
        <f>C61</f>
        <v>0</v>
      </c>
    </row>
    <row r="62" spans="1:9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9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9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9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9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9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9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9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9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9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9" x14ac:dyDescent="0.25">
      <c r="A89" s="7">
        <v>0.2</v>
      </c>
      <c r="B89" t="str">
        <f>B1</f>
        <v>Baseline</v>
      </c>
      <c r="C89" t="str">
        <f>H1</f>
        <v>Cost Decrease necessary in NPV of CDR market | 20.0% discount rate</v>
      </c>
      <c r="D89" s="7" t="str">
        <f t="shared" ref="D89" si="87">D60</f>
        <v>Cost Decrease necessary in size of the CDR market in 2050</v>
      </c>
      <c r="E89" t="s">
        <v>56</v>
      </c>
      <c r="F89" t="s">
        <v>57</v>
      </c>
      <c r="G89" t="s">
        <v>58</v>
      </c>
      <c r="H89" t="s">
        <v>55</v>
      </c>
      <c r="I89" t="s">
        <v>28</v>
      </c>
    </row>
    <row r="90" spans="1:9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>
        <f>C90</f>
        <v>0</v>
      </c>
    </row>
    <row r="91" spans="1:9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9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9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9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9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9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Low</vt:lpstr>
      <vt:lpstr>High</vt:lpstr>
      <vt:lpstr>Sheet1</vt:lpstr>
      <vt:lpstr>Marginal C emissions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2026-01-26T15:15:25Z</dcterms:modified>
</cp:coreProperties>
</file>