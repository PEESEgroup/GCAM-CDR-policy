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D6E389DF-F9AA-40E8-9A37-58DCB08A81F5}" xr6:coauthVersionLast="47" xr6:coauthVersionMax="47" xr10:uidLastSave="{00000000-0000-0000-0000-000000000000}"/>
  <bookViews>
    <workbookView xWindow="-120" yWindow="-120" windowWidth="29040" windowHeight="17520" activeTab="2" xr2:uid="{5B094011-67C9-461D-BBBF-A6D3FE50B4AB}"/>
  </bookViews>
  <sheets>
    <sheet name="Low" sheetId="1" r:id="rId1"/>
    <sheet name="High" sheetId="2" r:id="rId2"/>
    <sheet name="Sheet1" sheetId="5" r:id="rId3"/>
    <sheet name="Net-Zero Mandate" sheetId="3" r:id="rId4"/>
    <sheet name="Counterproductive Intervention" sheetId="4" r:id="rId5"/>
  </sheets>
  <definedNames>
    <definedName name="_xlnm._FilterDatabase" localSheetId="4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3" hidden="1">'Net-Zero Mandate'!$A$1:$H$26</definedName>
    <definedName name="_xlchart.v1.0" hidden="1">'Net-Zero Mandate'!$A$2:$B$28</definedName>
    <definedName name="_xlchart.v1.1" hidden="1">'Net-Zero Mandate'!$D$1</definedName>
    <definedName name="_xlchart.v1.10" hidden="1">'Net-Zero Mandate'!$D$1</definedName>
    <definedName name="_xlchart.v1.11" hidden="1">'Net-Zero Mandate'!$D$2:$D$28</definedName>
    <definedName name="_xlchart.v1.12" hidden="1">'Net-Zero Mandate'!$F$1</definedName>
    <definedName name="_xlchart.v1.13" hidden="1">'Net-Zero Mandate'!$F$2:$F$28</definedName>
    <definedName name="_xlchart.v1.14" hidden="1">'Net-Zero Mandate'!$H$1</definedName>
    <definedName name="_xlchart.v1.15" hidden="1">'Net-Zero Mandate'!$H$2:$H$28</definedName>
    <definedName name="_xlchart.v1.16" hidden="1">'Net-Zero Mandate'!$I$1</definedName>
    <definedName name="_xlchart.v1.17" hidden="1">'Net-Zero Mandate'!$I$2:$I$28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  <definedName name="_xlchart.v1.9" hidden="1">'Net-Zero Mandate'!$A$2:$B$28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1" i="2"/>
  <c r="J31" i="2"/>
  <c r="G31" i="2"/>
  <c r="F31" i="2"/>
  <c r="I31" i="2" s="1"/>
  <c r="C31" i="2"/>
  <c r="B31" i="2"/>
  <c r="E31" i="2" s="1"/>
  <c r="K30" i="2"/>
  <c r="J30" i="2"/>
  <c r="M30" i="2" s="1"/>
  <c r="G30" i="2"/>
  <c r="F30" i="2"/>
  <c r="I30" i="2" s="1"/>
  <c r="C30" i="2"/>
  <c r="B30" i="2"/>
  <c r="K29" i="2"/>
  <c r="J29" i="2"/>
  <c r="M29" i="2" s="1"/>
  <c r="G29" i="2"/>
  <c r="F29" i="2"/>
  <c r="I29" i="2" s="1"/>
  <c r="C29" i="2"/>
  <c r="B29" i="2"/>
  <c r="E29" i="2" s="1"/>
  <c r="K28" i="2"/>
  <c r="J28" i="2"/>
  <c r="M28" i="2" s="1"/>
  <c r="G28" i="2"/>
  <c r="F28" i="2"/>
  <c r="C28" i="2"/>
  <c r="B28" i="2"/>
  <c r="K27" i="2"/>
  <c r="J27" i="2"/>
  <c r="M27" i="2" s="1"/>
  <c r="G27" i="2"/>
  <c r="F27" i="2"/>
  <c r="C27" i="2"/>
  <c r="B27" i="2"/>
  <c r="E27" i="2" s="1"/>
  <c r="K26" i="2"/>
  <c r="J26" i="2"/>
  <c r="G26" i="2"/>
  <c r="F26" i="2"/>
  <c r="I26" i="2" s="1"/>
  <c r="C26" i="2"/>
  <c r="B26" i="2"/>
  <c r="E26" i="2" s="1"/>
  <c r="K25" i="2"/>
  <c r="J25" i="2"/>
  <c r="M25" i="2" s="1"/>
  <c r="G25" i="2"/>
  <c r="F25" i="2"/>
  <c r="C25" i="2"/>
  <c r="B25" i="2"/>
  <c r="K24" i="2"/>
  <c r="J24" i="2"/>
  <c r="M24" i="2" s="1"/>
  <c r="G24" i="2"/>
  <c r="F24" i="2"/>
  <c r="I24" i="2" s="1"/>
  <c r="C24" i="2"/>
  <c r="B24" i="2"/>
  <c r="E24" i="2" s="1"/>
  <c r="K23" i="2"/>
  <c r="J23" i="2"/>
  <c r="M23" i="2" s="1"/>
  <c r="G23" i="2"/>
  <c r="F23" i="2"/>
  <c r="C23" i="2"/>
  <c r="B23" i="2"/>
  <c r="E23" i="2" s="1"/>
  <c r="K22" i="2"/>
  <c r="J22" i="2"/>
  <c r="M22" i="2" s="1"/>
  <c r="G22" i="2"/>
  <c r="F22" i="2"/>
  <c r="I22" i="2" s="1"/>
  <c r="C22" i="2"/>
  <c r="B22" i="2"/>
  <c r="E22" i="2" s="1"/>
  <c r="K21" i="2"/>
  <c r="J21" i="2"/>
  <c r="G21" i="2"/>
  <c r="F21" i="2"/>
  <c r="I21" i="2" s="1"/>
  <c r="C21" i="2"/>
  <c r="B21" i="2"/>
  <c r="E21" i="2" s="1"/>
  <c r="K20" i="2"/>
  <c r="J20" i="2"/>
  <c r="M20" i="2" s="1"/>
  <c r="G20" i="2"/>
  <c r="F20" i="2"/>
  <c r="I20" i="2" s="1"/>
  <c r="C20" i="2"/>
  <c r="B20" i="2"/>
  <c r="K19" i="2"/>
  <c r="J19" i="2"/>
  <c r="M19" i="2" s="1"/>
  <c r="G19" i="2"/>
  <c r="F19" i="2"/>
  <c r="I19" i="2" s="1"/>
  <c r="C19" i="2"/>
  <c r="B19" i="2"/>
  <c r="E19" i="2" s="1"/>
  <c r="K18" i="2"/>
  <c r="J18" i="2"/>
  <c r="M18" i="2" s="1"/>
  <c r="G18" i="2"/>
  <c r="F18" i="2"/>
  <c r="C18" i="2"/>
  <c r="B18" i="2"/>
  <c r="J19" i="1"/>
  <c r="M19" i="1" s="1"/>
  <c r="K19" i="1"/>
  <c r="J20" i="1"/>
  <c r="M20" i="1" s="1"/>
  <c r="K20" i="1"/>
  <c r="J21" i="1"/>
  <c r="L21" i="1" s="1"/>
  <c r="K21" i="1"/>
  <c r="J22" i="1"/>
  <c r="L22" i="1" s="1"/>
  <c r="K22" i="1"/>
  <c r="J23" i="1"/>
  <c r="L23" i="1" s="1"/>
  <c r="K23" i="1"/>
  <c r="J24" i="1"/>
  <c r="K24" i="1"/>
  <c r="J25" i="1"/>
  <c r="L25" i="1" s="1"/>
  <c r="K25" i="1"/>
  <c r="J26" i="1"/>
  <c r="L26" i="1" s="1"/>
  <c r="K26" i="1"/>
  <c r="J27" i="1"/>
  <c r="K27" i="1"/>
  <c r="J28" i="1"/>
  <c r="M28" i="1" s="1"/>
  <c r="K28" i="1"/>
  <c r="J29" i="1"/>
  <c r="M29" i="1" s="1"/>
  <c r="K29" i="1"/>
  <c r="J30" i="1"/>
  <c r="K30" i="1"/>
  <c r="J31" i="1"/>
  <c r="K31" i="1"/>
  <c r="F19" i="1"/>
  <c r="G19" i="1"/>
  <c r="F20" i="1"/>
  <c r="G20" i="1"/>
  <c r="H20" i="1" s="1"/>
  <c r="F21" i="1"/>
  <c r="H21" i="1" s="1"/>
  <c r="G21" i="1"/>
  <c r="F22" i="1"/>
  <c r="G22" i="1"/>
  <c r="H22" i="1" s="1"/>
  <c r="F23" i="1"/>
  <c r="H23" i="1" s="1"/>
  <c r="G23" i="1"/>
  <c r="F24" i="1"/>
  <c r="I24" i="1" s="1"/>
  <c r="G24" i="1"/>
  <c r="F25" i="1"/>
  <c r="G25" i="1"/>
  <c r="F26" i="1"/>
  <c r="G26" i="1"/>
  <c r="F27" i="1"/>
  <c r="I27" i="1" s="1"/>
  <c r="G27" i="1"/>
  <c r="H27" i="1" s="1"/>
  <c r="F28" i="1"/>
  <c r="H28" i="1" s="1"/>
  <c r="G28" i="1"/>
  <c r="F29" i="1"/>
  <c r="G29" i="1"/>
  <c r="F30" i="1"/>
  <c r="I30" i="1" s="1"/>
  <c r="G30" i="1"/>
  <c r="F31" i="1"/>
  <c r="I31" i="1" s="1"/>
  <c r="G31" i="1"/>
  <c r="K18" i="1"/>
  <c r="J18" i="1"/>
  <c r="L18" i="1"/>
  <c r="G18" i="1"/>
  <c r="F18" i="1"/>
  <c r="I18" i="1" s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31" i="1"/>
  <c r="L30" i="1"/>
  <c r="L29" i="1"/>
  <c r="L28" i="1"/>
  <c r="L27" i="1"/>
  <c r="L24" i="1"/>
  <c r="L20" i="1"/>
  <c r="H29" i="1"/>
  <c r="H26" i="1"/>
  <c r="H25" i="1"/>
  <c r="H19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B19" i="1"/>
  <c r="C19" i="1"/>
  <c r="B20" i="1"/>
  <c r="C20" i="1"/>
  <c r="B21" i="1"/>
  <c r="E21" i="1" s="1"/>
  <c r="C21" i="1"/>
  <c r="B22" i="1"/>
  <c r="C22" i="1"/>
  <c r="B23" i="1"/>
  <c r="C23" i="1"/>
  <c r="B24" i="1"/>
  <c r="C24" i="1"/>
  <c r="B25" i="1"/>
  <c r="E25" i="1" s="1"/>
  <c r="C25" i="1"/>
  <c r="B26" i="1"/>
  <c r="E26" i="1" s="1"/>
  <c r="C26" i="1"/>
  <c r="B27" i="1"/>
  <c r="E27" i="1" s="1"/>
  <c r="C27" i="1"/>
  <c r="B28" i="1"/>
  <c r="C28" i="1"/>
  <c r="B29" i="1"/>
  <c r="C29" i="1"/>
  <c r="B30" i="1"/>
  <c r="C30" i="1"/>
  <c r="B31" i="1"/>
  <c r="C31" i="1"/>
  <c r="C18" i="1"/>
  <c r="B18" i="1"/>
  <c r="M31" i="1"/>
  <c r="E31" i="1"/>
  <c r="M30" i="1"/>
  <c r="E30" i="1"/>
  <c r="I29" i="1"/>
  <c r="E29" i="1"/>
  <c r="I28" i="1"/>
  <c r="E28" i="1"/>
  <c r="M27" i="1"/>
  <c r="M26" i="1"/>
  <c r="I26" i="1"/>
  <c r="I25" i="1"/>
  <c r="M24" i="1"/>
  <c r="E24" i="1"/>
  <c r="I23" i="1"/>
  <c r="E23" i="1"/>
  <c r="E22" i="1"/>
  <c r="M21" i="1"/>
  <c r="I20" i="1"/>
  <c r="E20" i="1"/>
  <c r="I19" i="1"/>
  <c r="E19" i="1"/>
  <c r="M21" i="2" l="1"/>
  <c r="M31" i="2"/>
  <c r="M26" i="2"/>
  <c r="I18" i="2"/>
  <c r="I25" i="2"/>
  <c r="I23" i="2"/>
  <c r="I27" i="2"/>
  <c r="I28" i="2"/>
  <c r="E25" i="2"/>
  <c r="E20" i="2"/>
  <c r="E30" i="2"/>
  <c r="E18" i="2"/>
  <c r="E28" i="2"/>
  <c r="H18" i="2"/>
  <c r="D20" i="2"/>
  <c r="L21" i="2"/>
  <c r="H23" i="2"/>
  <c r="D25" i="2"/>
  <c r="L26" i="2"/>
  <c r="H28" i="2"/>
  <c r="D30" i="2"/>
  <c r="L31" i="2"/>
  <c r="L18" i="2"/>
  <c r="H20" i="2"/>
  <c r="D22" i="2"/>
  <c r="L23" i="2"/>
  <c r="H25" i="2"/>
  <c r="D27" i="2"/>
  <c r="L28" i="2"/>
  <c r="H30" i="2"/>
  <c r="D19" i="2"/>
  <c r="L20" i="2"/>
  <c r="H22" i="2"/>
  <c r="D24" i="2"/>
  <c r="L25" i="2"/>
  <c r="H27" i="2"/>
  <c r="D29" i="2"/>
  <c r="L30" i="2"/>
  <c r="H19" i="2"/>
  <c r="D21" i="2"/>
  <c r="L22" i="2"/>
  <c r="H24" i="2"/>
  <c r="D26" i="2"/>
  <c r="L27" i="2"/>
  <c r="H29" i="2"/>
  <c r="D31" i="2"/>
  <c r="D18" i="2"/>
  <c r="L19" i="2"/>
  <c r="H21" i="2"/>
  <c r="D23" i="2"/>
  <c r="L24" i="2"/>
  <c r="H26" i="2"/>
  <c r="D28" i="2"/>
  <c r="L29" i="2"/>
  <c r="H31" i="2"/>
  <c r="M22" i="1"/>
  <c r="L19" i="1"/>
  <c r="M23" i="1"/>
  <c r="M25" i="1"/>
  <c r="H24" i="1"/>
  <c r="H30" i="1"/>
  <c r="H31" i="1"/>
  <c r="I21" i="1"/>
  <c r="I22" i="1"/>
  <c r="M18" i="1"/>
  <c r="H18" i="1"/>
  <c r="E18" i="1"/>
  <c r="H27" i="5"/>
  <c r="H28" i="5"/>
  <c r="H26" i="5"/>
  <c r="J20" i="5"/>
  <c r="I29" i="5"/>
  <c r="G19" i="5"/>
  <c r="G18" i="5"/>
  <c r="G17" i="5"/>
  <c r="G16" i="5"/>
  <c r="G2" i="5"/>
  <c r="F22" i="5"/>
  <c r="F23" i="5"/>
  <c r="F24" i="5"/>
  <c r="F25" i="5"/>
  <c r="F21" i="5"/>
  <c r="F10" i="5"/>
  <c r="F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C28" i="5"/>
  <c r="D28" i="5"/>
  <c r="C29" i="5"/>
  <c r="D29" i="5"/>
  <c r="D16" i="5"/>
  <c r="C16" i="5"/>
  <c r="C2" i="5"/>
  <c r="D2" i="5"/>
  <c r="C3" i="5"/>
  <c r="G3" i="5" s="1"/>
  <c r="D3" i="5"/>
  <c r="C4" i="5"/>
  <c r="G4" i="5" s="1"/>
  <c r="D4" i="5"/>
  <c r="C5" i="5"/>
  <c r="G5" i="5" s="1"/>
  <c r="D5" i="5"/>
  <c r="C6" i="5"/>
  <c r="D6" i="5"/>
  <c r="C7" i="5"/>
  <c r="F7" i="5" s="1"/>
  <c r="D7" i="5"/>
  <c r="C8" i="5"/>
  <c r="F8" i="5" s="1"/>
  <c r="D8" i="5"/>
  <c r="C9" i="5"/>
  <c r="F9" i="5" s="1"/>
  <c r="D9" i="5"/>
  <c r="C10" i="5"/>
  <c r="D10" i="5"/>
  <c r="C11" i="5"/>
  <c r="J11" i="5" s="1"/>
  <c r="D11" i="5"/>
  <c r="C12" i="5"/>
  <c r="H12" i="5" s="1"/>
  <c r="D12" i="5"/>
  <c r="C13" i="5"/>
  <c r="H13" i="5" s="1"/>
  <c r="D13" i="5"/>
  <c r="C14" i="5"/>
  <c r="H14" i="5" s="1"/>
  <c r="D14" i="5"/>
  <c r="C15" i="5"/>
  <c r="I15" i="5" s="1"/>
  <c r="D15" i="5"/>
  <c r="D1" i="5"/>
  <c r="C1" i="5"/>
  <c r="A24" i="5"/>
  <c r="A25" i="5"/>
  <c r="A26" i="5"/>
  <c r="A27" i="5"/>
  <c r="A28" i="5"/>
  <c r="A29" i="5"/>
  <c r="A17" i="5"/>
  <c r="A18" i="5"/>
  <c r="A19" i="5"/>
  <c r="A20" i="5"/>
  <c r="A21" i="5"/>
  <c r="A22" i="5"/>
  <c r="A23" i="5"/>
  <c r="A16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" i="5"/>
  <c r="I32" i="3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B31" i="3"/>
  <c r="A31" i="3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O1" i="4"/>
  <c r="L1" i="4"/>
</calcChain>
</file>

<file path=xl/sharedStrings.xml><?xml version="1.0" encoding="utf-8"?>
<sst xmlns="http://schemas.openxmlformats.org/spreadsheetml/2006/main" count="342" uniqueCount="70">
  <si>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</si>
  <si>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</si>
  <si>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</si>
  <si>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</si>
  <si>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</si>
  <si>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</si>
  <si>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</si>
  <si>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</si>
  <si>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</si>
  <si>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</si>
  <si>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</si>
  <si>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</si>
  <si>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</si>
  <si>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</si>
  <si>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</si>
  <si>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</si>
  <si>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</si>
  <si>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</si>
  <si>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</si>
  <si>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</si>
  <si>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</si>
  <si>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</si>
  <si>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</si>
  <si>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</si>
  <si>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</si>
  <si>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</si>
  <si>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</si>
  <si>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</si>
  <si>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</si>
  <si>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</si>
  <si>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</si>
  <si>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</si>
  <si>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</si>
  <si>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</si>
  <si>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</si>
  <si>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</si>
  <si>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</si>
  <si>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</si>
  <si>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</si>
  <si>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</si>
  <si>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</si>
  <si>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</si>
  <si>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</si>
  <si>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</si>
  <si>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</si>
  <si>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</si>
  <si>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</si>
  <si>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</si>
  <si>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</si>
  <si>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</si>
  <si>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Cost Decrease necessary in size of the CDR market in 2050</t>
  </si>
  <si>
    <t>Cost Decrease necessary in NPV of CDR market | 12.0% discount rate</t>
  </si>
  <si>
    <t>Cost Decrease necessary in NPV of CDR market | 2.0% discount rate</t>
  </si>
  <si>
    <t>Cost Decrease necessary in NPV of CDR market | 20.0% discount rate</t>
  </si>
  <si>
    <t>CDRIA-Rhodium18b</t>
  </si>
  <si>
    <t>Optimal</t>
  </si>
  <si>
    <t>Innovation</t>
  </si>
  <si>
    <t>Subsidy</t>
  </si>
  <si>
    <t>Procurement</t>
  </si>
  <si>
    <t>500Mt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</si>
  <si>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</si>
  <si>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</si>
  <si>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</si>
  <si>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</si>
  <si>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</si>
  <si>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</si>
  <si>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</si>
  <si>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t C</t>
  </si>
  <si>
    <t>tC</t>
  </si>
  <si>
    <t>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</si>
</sst>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Innovation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Sheet1!$F$2:$F$29</c:f>
              <c:numCache>
                <c:formatCode>General</c:formatCode>
                <c:ptCount val="28"/>
                <c:pt idx="4" formatCode="&quot;$&quot;#,##0.00_);[Red]\(&quot;$&quot;#,##0.00\)">
                  <c:v>-5718.2312864800897</c:v>
                </c:pt>
                <c:pt idx="5" formatCode="&quot;$&quot;#,##0.00_);[Red]\(&quot;$&quot;#,##0.00\)">
                  <c:v>-6100.3980291768003</c:v>
                </c:pt>
                <c:pt idx="6" formatCode="&quot;$&quot;#,##0.00_);[Red]\(&quot;$&quot;#,##0.00\)">
                  <c:v>-20972.403124771499</c:v>
                </c:pt>
                <c:pt idx="7" formatCode="&quot;$&quot;#,##0.00_);[Red]\(&quot;$&quot;#,##0.00\)">
                  <c:v>-9175.9801601351992</c:v>
                </c:pt>
                <c:pt idx="8" formatCode="&quot;$&quot;#,##0.00_);[Red]\(&quot;$&quot;#,##0.00\)">
                  <c:v>-10472.8845316388</c:v>
                </c:pt>
                <c:pt idx="19" formatCode="&quot;$&quot;#,##0.00_);[Red]\(&quot;$&quot;#,##0.00\)">
                  <c:v>-14041.807010664401</c:v>
                </c:pt>
                <c:pt idx="20" formatCode="&quot;$&quot;#,##0.00_);[Red]\(&quot;$&quot;#,##0.00\)">
                  <c:v>-12795.920628411601</c:v>
                </c:pt>
                <c:pt idx="21" formatCode="&quot;$&quot;#,##0.00_);[Red]\(&quot;$&quot;#,##0.00\)">
                  <c:v>-38626.101035459098</c:v>
                </c:pt>
                <c:pt idx="22" formatCode="&quot;$&quot;#,##0.00_);[Red]\(&quot;$&quot;#,##0.00\)">
                  <c:v>-17986.986790839499</c:v>
                </c:pt>
                <c:pt idx="23" formatCode="&quot;$&quot;#,##0.00_);[Red]\(&quot;$&quot;#,##0.00\)">
                  <c:v>-20252.154009836198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00-4C18-854E-01D95C52F040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Sheet1!$G$2:$G$29</c:f>
              <c:numCache>
                <c:formatCode>"$"#,##0.00_);[Red]\("$"#,##0.00\)</c:formatCode>
                <c:ptCount val="28"/>
                <c:pt idx="0">
                  <c:v>-11644.658803537901</c:v>
                </c:pt>
                <c:pt idx="1">
                  <c:v>-30848.8092279228</c:v>
                </c:pt>
                <c:pt idx="2">
                  <c:v>-48889.259790475502</c:v>
                </c:pt>
                <c:pt idx="3">
                  <c:v>-124837.11295495099</c:v>
                </c:pt>
                <c:pt idx="14">
                  <c:v>-24012.4014868552</c:v>
                </c:pt>
                <c:pt idx="15">
                  <c:v>-84257.525916830593</c:v>
                </c:pt>
                <c:pt idx="16">
                  <c:v>-74162.1476601756</c:v>
                </c:pt>
                <c:pt idx="17">
                  <c:v>-265902.76421105402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00-4C18-854E-01D95C52F040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Sheet1!$H$2:$H$29</c:f>
              <c:numCache>
                <c:formatCode>General</c:formatCode>
                <c:ptCount val="28"/>
                <c:pt idx="10" formatCode="&quot;$&quot;#,##0.00_);[Red]\(&quot;$&quot;#,##0.00\)">
                  <c:v>-32.085743248811902</c:v>
                </c:pt>
                <c:pt idx="11" formatCode="&quot;$&quot;#,##0.00_);[Red]\(&quot;$&quot;#,##0.00\)">
                  <c:v>4460.6170443716501</c:v>
                </c:pt>
                <c:pt idx="12" formatCode="&quot;$&quot;#,##0.00_);[Red]\(&quot;$&quot;#,##0.00\)">
                  <c:v>-184.162683612303</c:v>
                </c:pt>
                <c:pt idx="24" formatCode="&quot;$&quot;#,##0.00_);[Red]\(&quot;$&quot;#,##0.00\)">
                  <c:v>-2555.2191726661399</c:v>
                </c:pt>
                <c:pt idx="25" formatCode="&quot;$&quot;#,##0.00_);[Red]\(&quot;$&quot;#,##0.00\)">
                  <c:v>5157.5221174354301</c:v>
                </c:pt>
                <c:pt idx="26" formatCode="&quot;$&quot;#,##0.00_);[Red]\(&quot;$&quot;#,##0.00\)">
                  <c:v>-2707.91448460225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00-4C18-854E-01D95C52F040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Sheet1!$I$2:$I$29</c:f>
              <c:numCache>
                <c:formatCode>General</c:formatCode>
                <c:ptCount val="28"/>
                <c:pt idx="13" formatCode="&quot;$&quot;#,##0.00_);[Red]\(&quot;$&quot;#,##0.00\)">
                  <c:v>-55394.240300793303</c:v>
                </c:pt>
                <c:pt idx="27" formatCode="&quot;$&quot;#,##0.00_);[Red]\(&quot;$&quot;#,##0.00\)">
                  <c:v>-100078.99781724501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00-4C18-854E-01D95C52F040}"/>
            </c:ext>
          </c:extLst>
        </c:ser>
        <c:ser>
          <c:idx val="4"/>
          <c:order val="4"/>
          <c:tx>
            <c:strRef>
              <c:f>Sheet1!$J$1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Sheet1!$J$2:$J$29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C00-4C18-854E-01D95C52F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886399"/>
        <c:axId val="1171888319"/>
      </c:scatterChart>
      <c:valAx>
        <c:axId val="117188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8319"/>
        <c:crosses val="autoZero"/>
        <c:crossBetween val="midCat"/>
      </c:valAx>
      <c:valAx>
        <c:axId val="117188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Benefits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'Net-Zero Mandate'!$I$1</c:f>
              <c:strCache>
                <c:ptCount val="1"/>
                <c:pt idx="0">
                  <c:v>Cost Decrease necessary in size of the CDR market in 2050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Mandate'!$D$2:$D$28</c:f>
              <c:numCache>
                <c:formatCode>General</c:formatCode>
                <c:ptCount val="27"/>
                <c:pt idx="0">
                  <c:v>0</c:v>
                </c:pt>
                <c:pt idx="1">
                  <c:v>0.64785695536394483</c:v>
                </c:pt>
                <c:pt idx="2">
                  <c:v>2.2459408657409443E-3</c:v>
                </c:pt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8">
                  <c:v>1.5349199946093965</c:v>
                </c:pt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12">
                  <c:v>2.2923311819484971</c:v>
                </c:pt>
                <c:pt idx="13">
                  <c:v>2.3877980534629502</c:v>
                </c:pt>
                <c:pt idx="14">
                  <c:v>4.073413175736218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  <c:pt idx="23">
                  <c:v>3.3410490344405526</c:v>
                </c:pt>
                <c:pt idx="24">
                  <c:v>4.778714292207316</c:v>
                </c:pt>
                <c:pt idx="25">
                  <c:v>-2.1509758877512724</c:v>
                </c:pt>
                <c:pt idx="26">
                  <c:v>2.4526831516616943</c:v>
                </c:pt>
              </c:numCache>
            </c:numRef>
          </c:xVal>
          <c:yVal>
            <c:numRef>
              <c:f>'Net-Zero Mandate'!$I$2:$I$28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71-4C2D-91EF-23E150E89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875584"/>
        <c:axId val="678876544"/>
      </c:scatterChart>
      <c:valAx>
        <c:axId val="67887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6544"/>
        <c:crosses val="autoZero"/>
        <c:crossBetween val="midCat"/>
      </c:valAx>
      <c:valAx>
        <c:axId val="67887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487789964051293E-2"/>
          <c:y val="9.5648818834036059E-2"/>
          <c:w val="0.86045319240557017"/>
          <c:h val="0.826940668990820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0">
                  <c:v>0</c:v>
                </c:pt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2050 cost effectiveness from</a:t>
                </a:r>
                <a:r>
                  <a:rPr lang="en-US" sz="1400" baseline="0"/>
                  <a:t> efficient scenario (%)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NPV from efficient</a:t>
                </a:r>
                <a:r>
                  <a:rPr lang="en-US" sz="1400" baseline="0"/>
                  <a:t> scenario</a:t>
                </a:r>
                <a:r>
                  <a:rPr lang="en-US" sz="1400"/>
                  <a:t> (%)</a:t>
                </a:r>
              </a:p>
            </c:rich>
          </c:tx>
          <c:layout>
            <c:manualLayout>
              <c:xMode val="edge"/>
              <c:yMode val="edge"/>
              <c:x val="3.2156184287128318E-2"/>
              <c:y val="0.2133207649709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98129642232609"/>
          <c:y val="0.38244392172116509"/>
          <c:w val="0.18739061607306434"/>
          <c:h val="0.25525532296155895"/>
        </c:manualLayout>
      </c:layout>
      <c:overlay val="0"/>
      <c:spPr>
        <a:solidFill>
          <a:schemeClr val="bg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title pos="t" align="ctr" overlay="0"/>
    <cx:plotArea>
      <cx:plotAreaRegion>
        <cx:series layoutId="boxWhisker" uniqueId="{D7DDA11E-BB64-49A4-92FD-2B8AA1488A96}">
          <cx:tx>
            <cx:txData>
              <cx:f>_xlchart.v1.1</cx:f>
              <cx:v>Cost Decrease necessary in NPV of CDR market | 2.0% discount rate</cx:v>
            </cx:txData>
          </cx:tx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Cost Decrease necessary in NPV of CDR market | 12.0% discount rate</cx:v>
            </cx:txData>
          </cx:tx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Cost Decrease necessary in NPV of CDR market | 20.0% discount rate</cx:v>
            </cx:txData>
          </cx:tx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Cost Decrease necessary in size of the CDR market in 2050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tle>
          <cx:tx>
            <cx:txData>
              <cx:v>CDR supply in 2050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en-U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CDR supply in 2050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n-U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title>
          <cx:tx>
            <cx:txData>
              <cx:v>% of NPV of efficient pathway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en-U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% of NPV of efficient pathway</a:t>
              </a:r>
            </a:p>
          </cx:txPr>
        </cx:title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n-U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050"/>
          </a:pPr>
          <a:endParaRPr lang="en-US" sz="105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471487</xdr:colOff>
      <xdr:row>1</xdr:row>
      <xdr:rowOff>176211</xdr:rowOff>
    </xdr:from>
    <xdr:to>
      <xdr:col>20</xdr:col>
      <xdr:colOff>9525</xdr:colOff>
      <xdr:row>26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173D92-4B67-960D-790D-512C61528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1</xdr:row>
      <xdr:rowOff>100011</xdr:rowOff>
    </xdr:from>
    <xdr:to>
      <xdr:col>19</xdr:col>
      <xdr:colOff>190500</xdr:colOff>
      <xdr:row>31</xdr:row>
      <xdr:rowOff>47624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96500" y="290511"/>
              <a:ext cx="4572000" cy="5662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57150</xdr:colOff>
      <xdr:row>10</xdr:row>
      <xdr:rowOff>23812</xdr:rowOff>
    </xdr:from>
    <xdr:to>
      <xdr:col>26</xdr:col>
      <xdr:colOff>361950</xdr:colOff>
      <xdr:row>24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1E21B9-27F7-E53F-D27D-873A4ABDA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76200</xdr:colOff>
      <xdr:row>49</xdr:row>
      <xdr:rowOff>171450</xdr:rowOff>
    </xdr:from>
    <xdr:to>
      <xdr:col>11</xdr:col>
      <xdr:colOff>400050</xdr:colOff>
      <xdr:row>55</xdr:row>
      <xdr:rowOff>171450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200627D-3012-C678-8F56-01D6FFA6A48E}"/>
            </a:ext>
          </a:extLst>
        </xdr:cNvPr>
        <xdr:cNvSpPr txBox="1"/>
      </xdr:nvSpPr>
      <xdr:spPr>
        <a:xfrm>
          <a:off x="9067800" y="9505950"/>
          <a:ext cx="933450" cy="1143000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15</xdr:col>
      <xdr:colOff>47625</xdr:colOff>
      <xdr:row>33</xdr:row>
      <xdr:rowOff>152400</xdr:rowOff>
    </xdr:from>
    <xdr:to>
      <xdr:col>17</xdr:col>
      <xdr:colOff>561975</xdr:colOff>
      <xdr:row>36</xdr:row>
      <xdr:rowOff>19050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C85F7EA-665D-4B5F-95C3-2833847D1568}"/>
            </a:ext>
          </a:extLst>
        </xdr:cNvPr>
        <xdr:cNvSpPr txBox="1"/>
      </xdr:nvSpPr>
      <xdr:spPr>
        <a:xfrm>
          <a:off x="12087225" y="6438900"/>
          <a:ext cx="1733550" cy="438150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10</xdr:col>
      <xdr:colOff>85725</xdr:colOff>
      <xdr:row>33</xdr:row>
      <xdr:rowOff>152399</xdr:rowOff>
    </xdr:from>
    <xdr:to>
      <xdr:col>11</xdr:col>
      <xdr:colOff>419100</xdr:colOff>
      <xdr:row>39</xdr:row>
      <xdr:rowOff>28575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B2D4D1B9-D1FE-4274-BDC5-DAACF31510B1}"/>
            </a:ext>
          </a:extLst>
        </xdr:cNvPr>
        <xdr:cNvSpPr txBox="1"/>
      </xdr:nvSpPr>
      <xdr:spPr>
        <a:xfrm>
          <a:off x="9077325" y="6438899"/>
          <a:ext cx="942975" cy="1019176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15</xdr:col>
      <xdr:colOff>38100</xdr:colOff>
      <xdr:row>53</xdr:row>
      <xdr:rowOff>104775</xdr:rowOff>
    </xdr:from>
    <xdr:to>
      <xdr:col>17</xdr:col>
      <xdr:colOff>552450</xdr:colOff>
      <xdr:row>55</xdr:row>
      <xdr:rowOff>161925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15412F4-9FE3-4B65-B1F7-D83D9FE68030}"/>
            </a:ext>
          </a:extLst>
        </xdr:cNvPr>
        <xdr:cNvSpPr txBox="1"/>
      </xdr:nvSpPr>
      <xdr:spPr>
        <a:xfrm>
          <a:off x="12077700" y="10201275"/>
          <a:ext cx="1733550" cy="438150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4"/>
  <sheetViews>
    <sheetView zoomScaleNormal="100" workbookViewId="0">
      <selection activeCell="A17" sqref="A17:M31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2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38</v>
      </c>
      <c r="C1" t="s">
        <v>39</v>
      </c>
      <c r="D1" s="5" t="s">
        <v>40</v>
      </c>
      <c r="E1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-40991.392169844003</v>
      </c>
      <c r="C2" s="6">
        <v>73964.863896627197</v>
      </c>
      <c r="D2" s="5">
        <f>B2/C2</f>
        <v>-0.55420087336513324</v>
      </c>
      <c r="E2" s="6">
        <f>B2+C2</f>
        <v>32973.471726783195</v>
      </c>
      <c r="F2" s="6">
        <v>-11644.658803537901</v>
      </c>
      <c r="G2" s="6">
        <v>32506.920082813402</v>
      </c>
      <c r="H2" s="5">
        <f>F2/G2</f>
        <v>-0.35822091954182089</v>
      </c>
      <c r="I2" s="6">
        <f>F2+G2</f>
        <v>20862.261279275503</v>
      </c>
      <c r="J2" s="6">
        <v>-5002.1063151110802</v>
      </c>
      <c r="K2" s="6">
        <v>20078.072923277199</v>
      </c>
      <c r="L2" s="5">
        <f>J2/K2</f>
        <v>-0.2491327894975402</v>
      </c>
      <c r="M2" s="6">
        <f>J2+K2</f>
        <v>15075.96660816612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-190307.317572267</v>
      </c>
      <c r="C3" s="6">
        <v>341722.55580809899</v>
      </c>
      <c r="D3" s="5">
        <f t="shared" ref="D3:D15" si="0">B3/C3</f>
        <v>-0.55690592949661133</v>
      </c>
      <c r="E3" s="6">
        <f t="shared" ref="E3:E15" si="1">B3+C3</f>
        <v>151415.23823583199</v>
      </c>
      <c r="F3" s="6">
        <v>-30848.8092279228</v>
      </c>
      <c r="G3" s="6">
        <v>68806.729018270402</v>
      </c>
      <c r="H3" s="5">
        <f t="shared" ref="H3:H15" si="2">F3/G3</f>
        <v>-0.44834000493950887</v>
      </c>
      <c r="I3" s="6">
        <f t="shared" ref="I3:I15" si="3">F3+G3</f>
        <v>37957.919790347602</v>
      </c>
      <c r="J3" s="6">
        <v>-9394.0921605190797</v>
      </c>
      <c r="K3" s="6">
        <v>28774.349079517</v>
      </c>
      <c r="L3" s="5">
        <f t="shared" ref="L3:L15" si="4">J3/K3</f>
        <v>-0.32647453238851049</v>
      </c>
      <c r="M3" s="6">
        <f t="shared" ref="M3:M15" si="5">J3+K3</f>
        <v>19380.256918997919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-112322.040618713</v>
      </c>
      <c r="C4" s="6">
        <v>56741.484497939098</v>
      </c>
      <c r="D4" s="5">
        <f t="shared" si="0"/>
        <v>-1.9795400422206548</v>
      </c>
      <c r="E4" s="6">
        <f t="shared" si="1"/>
        <v>-55580.556120773901</v>
      </c>
      <c r="F4" s="6">
        <v>-48889.259790475502</v>
      </c>
      <c r="G4" s="6">
        <v>28709.564463483799</v>
      </c>
      <c r="H4" s="5">
        <f t="shared" si="2"/>
        <v>-1.7028910296656925</v>
      </c>
      <c r="I4" s="6">
        <f t="shared" si="3"/>
        <v>-20179.695326991703</v>
      </c>
      <c r="J4" s="6">
        <v>-28941.9181735079</v>
      </c>
      <c r="K4" s="6">
        <v>18022.833509243501</v>
      </c>
      <c r="L4" s="5">
        <f t="shared" si="4"/>
        <v>-1.6058472802661274</v>
      </c>
      <c r="M4" s="6">
        <f t="shared" si="5"/>
        <v>-10919.084664264399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-611711.12191152503</v>
      </c>
      <c r="C5" s="6">
        <v>632967.09479468397</v>
      </c>
      <c r="D5" s="5">
        <f t="shared" si="0"/>
        <v>-0.96641851834327386</v>
      </c>
      <c r="E5" s="6">
        <f t="shared" si="1"/>
        <v>21255.972883158945</v>
      </c>
      <c r="F5" s="6">
        <v>-124837.11295495099</v>
      </c>
      <c r="G5" s="6">
        <v>125786.37310764899</v>
      </c>
      <c r="H5" s="5">
        <f t="shared" si="2"/>
        <v>-0.99245339436024904</v>
      </c>
      <c r="I5" s="6">
        <f t="shared" si="3"/>
        <v>949.26015269799973</v>
      </c>
      <c r="J5" s="6">
        <v>-49513.350620204001</v>
      </c>
      <c r="K5" s="6">
        <v>47841.174083838101</v>
      </c>
      <c r="L5" s="5">
        <f t="shared" si="4"/>
        <v>-1.0349526651130161</v>
      </c>
      <c r="M5" s="6">
        <f t="shared" si="5"/>
        <v>-1672.1765363658997</v>
      </c>
      <c r="N5" t="s">
        <v>24</v>
      </c>
    </row>
    <row r="6" spans="1:42" x14ac:dyDescent="0.25">
      <c r="A6" t="s">
        <v>6</v>
      </c>
      <c r="B6" s="6">
        <v>-23639.052484741402</v>
      </c>
      <c r="C6" s="6">
        <v>19682.8288777735</v>
      </c>
      <c r="D6" s="5">
        <f t="shared" si="0"/>
        <v>-1.2009987299861862</v>
      </c>
      <c r="E6" s="6">
        <f t="shared" si="1"/>
        <v>-3956.223606967902</v>
      </c>
      <c r="F6" s="6">
        <v>-5718.2312864800897</v>
      </c>
      <c r="G6" s="6">
        <v>15677.5227380697</v>
      </c>
      <c r="H6" s="5">
        <f t="shared" si="2"/>
        <v>-0.3647407426553762</v>
      </c>
      <c r="I6" s="6">
        <f t="shared" si="3"/>
        <v>9959.29145158961</v>
      </c>
      <c r="J6" s="6">
        <v>-2790.36636372676</v>
      </c>
      <c r="K6" s="6">
        <v>13463.719299594801</v>
      </c>
      <c r="L6" s="5">
        <f t="shared" si="4"/>
        <v>-0.20725078276184336</v>
      </c>
      <c r="M6" s="6">
        <f t="shared" si="5"/>
        <v>10673.352935868041</v>
      </c>
      <c r="N6" t="s">
        <v>24</v>
      </c>
    </row>
    <row r="7" spans="1:42" x14ac:dyDescent="0.25">
      <c r="A7" t="s">
        <v>5</v>
      </c>
      <c r="B7" s="6">
        <v>-30682.746255407401</v>
      </c>
      <c r="C7" s="6">
        <v>17090.916249983798</v>
      </c>
      <c r="D7" s="5">
        <f t="shared" si="0"/>
        <v>-1.7952663161307392</v>
      </c>
      <c r="E7" s="6">
        <f t="shared" si="1"/>
        <v>-13591.830005423602</v>
      </c>
      <c r="F7" s="6">
        <v>-6100.3980291768003</v>
      </c>
      <c r="G7" s="6">
        <v>12692.2292408466</v>
      </c>
      <c r="H7" s="5">
        <f t="shared" si="2"/>
        <v>-0.48064039133049019</v>
      </c>
      <c r="I7" s="6">
        <f t="shared" si="3"/>
        <v>6591.8312116697998</v>
      </c>
      <c r="J7" s="6">
        <v>-2360.7973050558699</v>
      </c>
      <c r="K7" s="6">
        <v>10689.1346820868</v>
      </c>
      <c r="L7" s="5">
        <f t="shared" si="4"/>
        <v>-0.22085953402871522</v>
      </c>
      <c r="M7" s="6">
        <f t="shared" si="5"/>
        <v>8328.3373770309299</v>
      </c>
      <c r="N7" t="s">
        <v>24</v>
      </c>
    </row>
    <row r="8" spans="1:42" x14ac:dyDescent="0.25">
      <c r="A8" t="s">
        <v>8</v>
      </c>
      <c r="B8" s="6">
        <v>-97079.650583780895</v>
      </c>
      <c r="C8" s="6">
        <v>29977.691435656099</v>
      </c>
      <c r="D8" s="5">
        <f t="shared" si="0"/>
        <v>-3.2383964853381708</v>
      </c>
      <c r="E8" s="6">
        <f t="shared" si="1"/>
        <v>-67101.959148124792</v>
      </c>
      <c r="F8" s="6">
        <v>-20972.403124771499</v>
      </c>
      <c r="G8" s="6">
        <v>18375.511162999999</v>
      </c>
      <c r="H8" s="5">
        <f t="shared" si="2"/>
        <v>-1.1413235223083464</v>
      </c>
      <c r="I8" s="6">
        <f t="shared" si="3"/>
        <v>-2596.8919617715001</v>
      </c>
      <c r="J8" s="6">
        <v>-8406.4334333911793</v>
      </c>
      <c r="K8" s="6">
        <v>13832.566021950501</v>
      </c>
      <c r="L8" s="5">
        <f t="shared" si="4"/>
        <v>-0.60772769275427652</v>
      </c>
      <c r="M8" s="6">
        <f t="shared" si="5"/>
        <v>5426.1325885593214</v>
      </c>
      <c r="N8" t="s">
        <v>24</v>
      </c>
    </row>
    <row r="9" spans="1:42" x14ac:dyDescent="0.25">
      <c r="A9" t="s">
        <v>7</v>
      </c>
      <c r="B9" s="6">
        <v>-43683.1580178394</v>
      </c>
      <c r="C9" s="6">
        <v>19701.6259138606</v>
      </c>
      <c r="D9" s="5">
        <f t="shared" si="0"/>
        <v>-2.2172361920194197</v>
      </c>
      <c r="E9" s="6">
        <f t="shared" si="1"/>
        <v>-23981.5321039788</v>
      </c>
      <c r="F9" s="6">
        <v>-9175.9801601351992</v>
      </c>
      <c r="G9" s="6">
        <v>13838.706423644</v>
      </c>
      <c r="H9" s="5">
        <f t="shared" si="2"/>
        <v>-0.66306632131870791</v>
      </c>
      <c r="I9" s="6">
        <f t="shared" si="3"/>
        <v>4662.7262635088009</v>
      </c>
      <c r="J9" s="6">
        <v>-3610.0129557775899</v>
      </c>
      <c r="K9" s="6">
        <v>11226.4948888167</v>
      </c>
      <c r="L9" s="5">
        <f t="shared" si="4"/>
        <v>-0.32156189367473126</v>
      </c>
      <c r="M9" s="6">
        <f t="shared" si="5"/>
        <v>7616.4819330391101</v>
      </c>
      <c r="N9" t="s">
        <v>24</v>
      </c>
    </row>
    <row r="10" spans="1:42" x14ac:dyDescent="0.25">
      <c r="A10" t="s">
        <v>9</v>
      </c>
      <c r="B10" s="6">
        <v>-50470.5551048856</v>
      </c>
      <c r="C10" s="6">
        <v>22047.6456426271</v>
      </c>
      <c r="D10" s="5">
        <f t="shared" si="0"/>
        <v>-2.2891584853534388</v>
      </c>
      <c r="E10" s="6">
        <f t="shared" si="1"/>
        <v>-28422.9094622585</v>
      </c>
      <c r="F10" s="6">
        <v>-10472.8845316388</v>
      </c>
      <c r="G10" s="6">
        <v>14865.3551125206</v>
      </c>
      <c r="H10" s="5">
        <f t="shared" si="2"/>
        <v>-0.70451626969999748</v>
      </c>
      <c r="I10" s="6">
        <f t="shared" si="3"/>
        <v>4392.4705808817998</v>
      </c>
      <c r="J10" s="6">
        <v>-4213.4803805597603</v>
      </c>
      <c r="K10" s="6">
        <v>12164.270271887701</v>
      </c>
      <c r="L10" s="5">
        <f t="shared" si="4"/>
        <v>-0.34638168064198194</v>
      </c>
      <c r="M10" s="6">
        <f t="shared" si="5"/>
        <v>7950.7898913279405</v>
      </c>
      <c r="N10" t="s">
        <v>24</v>
      </c>
    </row>
    <row r="11" spans="1:42" x14ac:dyDescent="0.25">
      <c r="A11" t="s">
        <v>13</v>
      </c>
      <c r="B11" s="6">
        <v>0</v>
      </c>
      <c r="C11" s="6">
        <v>14486.1268858849</v>
      </c>
      <c r="D11" s="5">
        <f t="shared" si="0"/>
        <v>0</v>
      </c>
      <c r="E11" s="6">
        <f t="shared" si="1"/>
        <v>14486.1268858849</v>
      </c>
      <c r="F11" s="6">
        <v>0</v>
      </c>
      <c r="G11" s="6">
        <v>11511.601320002699</v>
      </c>
      <c r="H11" s="5">
        <f t="shared" si="2"/>
        <v>0</v>
      </c>
      <c r="I11" s="6">
        <f t="shared" si="3"/>
        <v>11511.601320002699</v>
      </c>
      <c r="J11" s="6">
        <v>0</v>
      </c>
      <c r="K11" s="6">
        <v>9874.8984398431494</v>
      </c>
      <c r="L11" s="5">
        <f t="shared" si="4"/>
        <v>0</v>
      </c>
      <c r="M11" s="6">
        <f t="shared" si="5"/>
        <v>9874.8984398431494</v>
      </c>
      <c r="N11" t="s">
        <v>24</v>
      </c>
    </row>
    <row r="12" spans="1:42" x14ac:dyDescent="0.25">
      <c r="A12" t="s">
        <v>10</v>
      </c>
      <c r="B12" s="6">
        <v>-1404.5679010868701</v>
      </c>
      <c r="C12" s="6">
        <v>45132.0836071905</v>
      </c>
      <c r="D12" s="5">
        <f t="shared" si="0"/>
        <v>-3.1121273134907791E-2</v>
      </c>
      <c r="E12" s="6">
        <f t="shared" si="1"/>
        <v>43727.51570610363</v>
      </c>
      <c r="F12" s="6">
        <v>-32.085743248811902</v>
      </c>
      <c r="G12" s="6">
        <v>32278.589396815001</v>
      </c>
      <c r="H12" s="5">
        <f t="shared" si="2"/>
        <v>-9.9402557076976451E-4</v>
      </c>
      <c r="I12" s="6">
        <f t="shared" si="3"/>
        <v>32246.503653566189</v>
      </c>
      <c r="J12" s="6">
        <v>-227.43782558660999</v>
      </c>
      <c r="K12" s="6">
        <v>26285.648960687002</v>
      </c>
      <c r="L12" s="5">
        <f t="shared" si="4"/>
        <v>-8.6525474766389662E-3</v>
      </c>
      <c r="M12" s="6">
        <f t="shared" si="5"/>
        <v>26058.211135100391</v>
      </c>
      <c r="N12" t="s">
        <v>24</v>
      </c>
    </row>
    <row r="13" spans="1:42" x14ac:dyDescent="0.25">
      <c r="A13" t="s">
        <v>11</v>
      </c>
      <c r="B13" s="6">
        <v>40603.4193094004</v>
      </c>
      <c r="C13" s="6">
        <v>828169.20249635505</v>
      </c>
      <c r="D13" s="5">
        <f t="shared" si="0"/>
        <v>4.9027927127704443E-2</v>
      </c>
      <c r="E13" s="6">
        <f t="shared" si="1"/>
        <v>868772.62180575542</v>
      </c>
      <c r="F13" s="6">
        <v>4460.6170443716501</v>
      </c>
      <c r="G13" s="6">
        <v>222303.607323328</v>
      </c>
      <c r="H13" s="5">
        <f t="shared" si="2"/>
        <v>2.0065428078654322E-2</v>
      </c>
      <c r="I13" s="6">
        <f t="shared" si="3"/>
        <v>226764.22436769964</v>
      </c>
      <c r="J13" s="6">
        <v>-1031.07110519603</v>
      </c>
      <c r="K13" s="6">
        <v>108783.803081255</v>
      </c>
      <c r="L13" s="5">
        <f t="shared" si="4"/>
        <v>-9.4781674844175243E-3</v>
      </c>
      <c r="M13" s="6">
        <f t="shared" si="5"/>
        <v>107752.73197605897</v>
      </c>
      <c r="N13" t="s">
        <v>24</v>
      </c>
    </row>
    <row r="14" spans="1:42" x14ac:dyDescent="0.25">
      <c r="A14" t="s">
        <v>12</v>
      </c>
      <c r="B14" s="6">
        <v>-2626.77829541446</v>
      </c>
      <c r="C14" s="6">
        <v>25767.324754375601</v>
      </c>
      <c r="D14" s="5">
        <f t="shared" si="0"/>
        <v>-0.10194222025196471</v>
      </c>
      <c r="E14" s="6">
        <f t="shared" si="1"/>
        <v>23140.54645896114</v>
      </c>
      <c r="F14" s="6">
        <v>-184.162683612303</v>
      </c>
      <c r="G14" s="6">
        <v>17829.693968081301</v>
      </c>
      <c r="H14" s="5">
        <f t="shared" si="2"/>
        <v>-1.0328987359064651E-2</v>
      </c>
      <c r="I14" s="6">
        <f t="shared" si="3"/>
        <v>17645.531284468998</v>
      </c>
      <c r="J14" s="6">
        <v>-125.237709722896</v>
      </c>
      <c r="K14" s="6">
        <v>14163.2689710182</v>
      </c>
      <c r="L14" s="5">
        <f t="shared" si="4"/>
        <v>-8.8424296664255629E-3</v>
      </c>
      <c r="M14" s="6">
        <f t="shared" si="5"/>
        <v>14038.031261295304</v>
      </c>
      <c r="N14" t="s">
        <v>24</v>
      </c>
    </row>
    <row r="15" spans="1:42" x14ac:dyDescent="0.25">
      <c r="A15" t="s">
        <v>55</v>
      </c>
      <c r="B15" s="6">
        <v>-177560.27976733001</v>
      </c>
      <c r="C15" s="6">
        <v>84648.601837562499</v>
      </c>
      <c r="D15" s="5">
        <f t="shared" si="0"/>
        <v>-2.0976162147138773</v>
      </c>
      <c r="E15" s="6">
        <f t="shared" si="1"/>
        <v>-92911.677929767509</v>
      </c>
      <c r="F15" s="6">
        <v>-55394.240300793303</v>
      </c>
      <c r="G15" s="6">
        <v>44328.768128424897</v>
      </c>
      <c r="H15" s="5">
        <f t="shared" si="2"/>
        <v>-1.2496228214668772</v>
      </c>
      <c r="I15" s="6">
        <f t="shared" si="3"/>
        <v>-11065.472172368405</v>
      </c>
      <c r="J15" s="6">
        <v>-27847.218892906101</v>
      </c>
      <c r="K15" s="6">
        <v>28922.694502216698</v>
      </c>
      <c r="L15" s="5">
        <f t="shared" si="4"/>
        <v>-0.96281551121635056</v>
      </c>
      <c r="M15" s="6">
        <f t="shared" si="5"/>
        <v>1075.4756093105971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60</v>
      </c>
      <c r="B17" s="6" t="s">
        <v>38</v>
      </c>
      <c r="C17" s="6" t="s">
        <v>39</v>
      </c>
      <c r="D17" s="5" t="s">
        <v>40</v>
      </c>
      <c r="E17" s="6" t="s">
        <v>41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B2-B$34</f>
        <v>-40991.392169844003</v>
      </c>
      <c r="C18" s="6">
        <f>C2-C$34</f>
        <v>59478.737010742298</v>
      </c>
      <c r="D18" s="5">
        <f>B18/C18</f>
        <v>-0.68917724602055108</v>
      </c>
      <c r="E18" s="6">
        <f>B18+C18</f>
        <v>18487.344840898295</v>
      </c>
      <c r="F18" s="6">
        <f>F2-F$34</f>
        <v>-11644.658803537901</v>
      </c>
      <c r="G18" s="6">
        <f>G2-G$34</f>
        <v>20995.318762810704</v>
      </c>
      <c r="H18" s="5">
        <f>F18/G18</f>
        <v>-0.55463119827283802</v>
      </c>
      <c r="I18" s="6">
        <f>F18+G18</f>
        <v>9350.6599592728035</v>
      </c>
      <c r="J18" s="6">
        <f>J2-J$34</f>
        <v>-5002.1063151110802</v>
      </c>
      <c r="K18" s="6">
        <f>K2-K$34</f>
        <v>10203.17448343405</v>
      </c>
      <c r="L18" s="5">
        <f>J18/K18</f>
        <v>-0.49025000241175304</v>
      </c>
      <c r="M18" s="6">
        <f>J18+K18</f>
        <v>5201.0681683229695</v>
      </c>
      <c r="N18" t="s">
        <v>24</v>
      </c>
    </row>
    <row r="19" spans="1:14" x14ac:dyDescent="0.25">
      <c r="A19" t="s">
        <v>2</v>
      </c>
      <c r="B19" s="6">
        <f t="shared" ref="B19:C19" si="6">B3-B$34</f>
        <v>-190307.317572267</v>
      </c>
      <c r="C19" s="6">
        <f t="shared" si="6"/>
        <v>327236.42892221408</v>
      </c>
      <c r="D19" s="5">
        <f t="shared" ref="D19:D31" si="7">B19/C19</f>
        <v>-0.58155908313467175</v>
      </c>
      <c r="E19" s="6">
        <f t="shared" ref="E19:E31" si="8">B19+C19</f>
        <v>136929.11134994708</v>
      </c>
      <c r="F19" s="6">
        <f t="shared" ref="F19:G19" si="9">F3-F$34</f>
        <v>-30848.8092279228</v>
      </c>
      <c r="G19" s="6">
        <f t="shared" si="9"/>
        <v>57295.127698267701</v>
      </c>
      <c r="H19" s="5">
        <f t="shared" ref="H19:H31" si="10">F19/G19</f>
        <v>-0.5384194165755477</v>
      </c>
      <c r="I19" s="6">
        <f t="shared" ref="I19:I31" si="11">F19+G19</f>
        <v>26446.318470344901</v>
      </c>
      <c r="J19" s="6">
        <f t="shared" ref="J19:K19" si="12">J3-J$34</f>
        <v>-9394.0921605190797</v>
      </c>
      <c r="K19" s="6">
        <f t="shared" si="12"/>
        <v>18899.450639673851</v>
      </c>
      <c r="L19" s="5">
        <f t="shared" ref="L19:L31" si="13">J19/K19</f>
        <v>-0.49705636103511602</v>
      </c>
      <c r="M19" s="6">
        <f t="shared" ref="M19:M31" si="14">J19+K19</f>
        <v>9505.358479154771</v>
      </c>
      <c r="N19" t="s">
        <v>24</v>
      </c>
    </row>
    <row r="20" spans="1:14" x14ac:dyDescent="0.25">
      <c r="A20" t="s">
        <v>3</v>
      </c>
      <c r="B20" s="6">
        <f t="shared" ref="B20:C20" si="15">B4-B$34</f>
        <v>-112322.040618713</v>
      </c>
      <c r="C20" s="6">
        <f t="shared" si="15"/>
        <v>42255.357612054198</v>
      </c>
      <c r="D20" s="5">
        <f t="shared" si="7"/>
        <v>-2.6581727611901895</v>
      </c>
      <c r="E20" s="6">
        <f t="shared" si="8"/>
        <v>-70066.683006658801</v>
      </c>
      <c r="F20" s="6">
        <f t="shared" ref="F20:G20" si="16">F4-F$34</f>
        <v>-48889.259790475502</v>
      </c>
      <c r="G20" s="6">
        <f t="shared" si="16"/>
        <v>17197.963143481102</v>
      </c>
      <c r="H20" s="5">
        <f t="shared" si="10"/>
        <v>-2.8427354671362348</v>
      </c>
      <c r="I20" s="6">
        <f t="shared" si="11"/>
        <v>-31691.2966469944</v>
      </c>
      <c r="J20" s="6">
        <f t="shared" ref="J20:K20" si="17">J4-J$34</f>
        <v>-28941.9181735079</v>
      </c>
      <c r="K20" s="6">
        <f t="shared" si="17"/>
        <v>8147.9350694003515</v>
      </c>
      <c r="L20" s="5">
        <f t="shared" si="13"/>
        <v>-3.5520555732211898</v>
      </c>
      <c r="M20" s="6">
        <f t="shared" si="14"/>
        <v>-20793.983104107549</v>
      </c>
      <c r="N20" t="s">
        <v>24</v>
      </c>
    </row>
    <row r="21" spans="1:14" x14ac:dyDescent="0.25">
      <c r="A21" t="s">
        <v>4</v>
      </c>
      <c r="B21" s="6">
        <f t="shared" ref="B21:C21" si="18">B5-B$34</f>
        <v>-611711.12191152503</v>
      </c>
      <c r="C21" s="6">
        <f t="shared" si="18"/>
        <v>618480.96790879907</v>
      </c>
      <c r="D21" s="5">
        <f t="shared" si="7"/>
        <v>-0.989054075471127</v>
      </c>
      <c r="E21" s="6">
        <f t="shared" si="8"/>
        <v>6769.8459972740384</v>
      </c>
      <c r="F21" s="6">
        <f t="shared" ref="F21:G21" si="19">F5-F$34</f>
        <v>-124837.11295495099</v>
      </c>
      <c r="G21" s="6">
        <f t="shared" si="19"/>
        <v>114274.7717876463</v>
      </c>
      <c r="H21" s="5">
        <f t="shared" si="10"/>
        <v>-1.0924293350323413</v>
      </c>
      <c r="I21" s="6">
        <f t="shared" si="11"/>
        <v>-10562.341167304694</v>
      </c>
      <c r="J21" s="6">
        <f t="shared" ref="J21:K21" si="20">J5-J$34</f>
        <v>-49513.350620204001</v>
      </c>
      <c r="K21" s="6">
        <f t="shared" si="20"/>
        <v>37966.275643994952</v>
      </c>
      <c r="L21" s="5">
        <f t="shared" si="13"/>
        <v>-1.3041403134846445</v>
      </c>
      <c r="M21" s="6">
        <f t="shared" si="14"/>
        <v>-11547.074976209049</v>
      </c>
      <c r="N21" t="s">
        <v>24</v>
      </c>
    </row>
    <row r="22" spans="1:14" x14ac:dyDescent="0.25">
      <c r="A22" t="s">
        <v>6</v>
      </c>
      <c r="B22" s="6">
        <f t="shared" ref="B22:C22" si="21">B6-B$34</f>
        <v>-23639.052484741402</v>
      </c>
      <c r="C22" s="6">
        <f t="shared" si="21"/>
        <v>5196.7019918885999</v>
      </c>
      <c r="D22" s="5">
        <f t="shared" si="7"/>
        <v>-4.54885666363763</v>
      </c>
      <c r="E22" s="6">
        <f t="shared" si="8"/>
        <v>-18442.350492852802</v>
      </c>
      <c r="F22" s="6">
        <f t="shared" ref="F22:G22" si="22">F6-F$34</f>
        <v>-5718.2312864800897</v>
      </c>
      <c r="G22" s="6">
        <f t="shared" si="22"/>
        <v>4165.9214180670006</v>
      </c>
      <c r="H22" s="5">
        <f t="shared" si="10"/>
        <v>-1.3726210152887055</v>
      </c>
      <c r="I22" s="6">
        <f t="shared" si="11"/>
        <v>-1552.3098684130891</v>
      </c>
      <c r="J22" s="6">
        <f t="shared" ref="J22:K22" si="23">J6-J$34</f>
        <v>-2790.36636372676</v>
      </c>
      <c r="K22" s="6">
        <f t="shared" si="23"/>
        <v>3588.8208597516514</v>
      </c>
      <c r="L22" s="5">
        <f t="shared" si="13"/>
        <v>-0.77751620177549208</v>
      </c>
      <c r="M22" s="6">
        <f t="shared" si="14"/>
        <v>798.45449602489134</v>
      </c>
      <c r="N22" t="s">
        <v>24</v>
      </c>
    </row>
    <row r="23" spans="1:14" x14ac:dyDescent="0.25">
      <c r="A23" t="s">
        <v>5</v>
      </c>
      <c r="B23" s="6">
        <f t="shared" ref="B23:C23" si="24">B7-B$34</f>
        <v>-30682.746255407401</v>
      </c>
      <c r="C23" s="6">
        <f t="shared" si="24"/>
        <v>2604.7893640988987</v>
      </c>
      <c r="D23" s="5">
        <f t="shared" si="7"/>
        <v>-11.779357931316568</v>
      </c>
      <c r="E23" s="6">
        <f t="shared" si="8"/>
        <v>-28077.956891308502</v>
      </c>
      <c r="F23" s="6">
        <f t="shared" ref="F23:G23" si="25">F7-F$34</f>
        <v>-6100.3980291768003</v>
      </c>
      <c r="G23" s="6">
        <f t="shared" si="25"/>
        <v>1180.6279208439009</v>
      </c>
      <c r="H23" s="5">
        <f t="shared" si="10"/>
        <v>-5.1670792478093333</v>
      </c>
      <c r="I23" s="6">
        <f t="shared" si="11"/>
        <v>-4919.7701083328993</v>
      </c>
      <c r="J23" s="6">
        <f t="shared" ref="J23:K23" si="26">J7-J$34</f>
        <v>-2360.7973050558699</v>
      </c>
      <c r="K23" s="6">
        <f t="shared" si="26"/>
        <v>814.23624224365085</v>
      </c>
      <c r="L23" s="5">
        <f t="shared" si="13"/>
        <v>-2.8994009141015713</v>
      </c>
      <c r="M23" s="6">
        <f t="shared" si="14"/>
        <v>-1546.561062812219</v>
      </c>
      <c r="N23" t="s">
        <v>24</v>
      </c>
    </row>
    <row r="24" spans="1:14" x14ac:dyDescent="0.25">
      <c r="A24" t="s">
        <v>8</v>
      </c>
      <c r="B24" s="6">
        <f t="shared" ref="B24:C24" si="27">B8-B$34</f>
        <v>-97079.650583780895</v>
      </c>
      <c r="C24" s="6">
        <f t="shared" si="27"/>
        <v>15491.564549771199</v>
      </c>
      <c r="D24" s="5">
        <f t="shared" si="7"/>
        <v>-6.2666136962399124</v>
      </c>
      <c r="E24" s="6">
        <f t="shared" si="8"/>
        <v>-81588.086034009699</v>
      </c>
      <c r="F24" s="6">
        <f t="shared" ref="F24:G24" si="28">F8-F$34</f>
        <v>-20972.403124771499</v>
      </c>
      <c r="G24" s="6">
        <f t="shared" si="28"/>
        <v>6863.9098429973001</v>
      </c>
      <c r="H24" s="5">
        <f t="shared" si="10"/>
        <v>-3.0554601684006633</v>
      </c>
      <c r="I24" s="6">
        <f t="shared" si="11"/>
        <v>-14108.493281774199</v>
      </c>
      <c r="J24" s="6">
        <f t="shared" ref="J24:K24" si="29">J8-J$34</f>
        <v>-8406.4334333911793</v>
      </c>
      <c r="K24" s="6">
        <f t="shared" si="29"/>
        <v>3957.6675821073513</v>
      </c>
      <c r="L24" s="5">
        <f t="shared" si="13"/>
        <v>-2.1240878014608242</v>
      </c>
      <c r="M24" s="6">
        <f t="shared" si="14"/>
        <v>-4448.7658512838279</v>
      </c>
      <c r="N24" t="s">
        <v>24</v>
      </c>
    </row>
    <row r="25" spans="1:14" x14ac:dyDescent="0.25">
      <c r="A25" t="s">
        <v>7</v>
      </c>
      <c r="B25" s="6">
        <f t="shared" ref="B25:C25" si="30">B9-B$34</f>
        <v>-43683.1580178394</v>
      </c>
      <c r="C25" s="6">
        <f t="shared" si="30"/>
        <v>5215.4990279757003</v>
      </c>
      <c r="D25" s="5">
        <f t="shared" si="7"/>
        <v>-8.3756430177677963</v>
      </c>
      <c r="E25" s="6">
        <f t="shared" si="8"/>
        <v>-38467.658989863703</v>
      </c>
      <c r="F25" s="6">
        <f t="shared" ref="F25:G25" si="31">F9-F$34</f>
        <v>-9175.9801601351992</v>
      </c>
      <c r="G25" s="6">
        <f t="shared" si="31"/>
        <v>2327.105103641301</v>
      </c>
      <c r="H25" s="5">
        <f t="shared" si="10"/>
        <v>-3.9430879790419562</v>
      </c>
      <c r="I25" s="6">
        <f t="shared" si="11"/>
        <v>-6848.8750564938982</v>
      </c>
      <c r="J25" s="6">
        <f t="shared" ref="J25:K25" si="32">J9-J$34</f>
        <v>-3610.0129557775899</v>
      </c>
      <c r="K25" s="6">
        <f t="shared" si="32"/>
        <v>1351.5964489735507</v>
      </c>
      <c r="L25" s="5">
        <f t="shared" si="13"/>
        <v>-2.6709251555959321</v>
      </c>
      <c r="M25" s="6">
        <f t="shared" si="14"/>
        <v>-2258.4165068040393</v>
      </c>
      <c r="N25" t="s">
        <v>24</v>
      </c>
    </row>
    <row r="26" spans="1:14" x14ac:dyDescent="0.25">
      <c r="A26" t="s">
        <v>9</v>
      </c>
      <c r="B26" s="6">
        <f t="shared" ref="B26:C26" si="33">B10-B$34</f>
        <v>-50470.5551048856</v>
      </c>
      <c r="C26" s="6">
        <f t="shared" si="33"/>
        <v>7561.5187567421999</v>
      </c>
      <c r="D26" s="5">
        <f t="shared" si="7"/>
        <v>-6.6746584553379193</v>
      </c>
      <c r="E26" s="6">
        <f t="shared" si="8"/>
        <v>-42909.036348143403</v>
      </c>
      <c r="F26" s="6">
        <f t="shared" ref="F26:G26" si="34">F10-F$34</f>
        <v>-10472.8845316388</v>
      </c>
      <c r="G26" s="6">
        <f t="shared" si="34"/>
        <v>3353.7537925179004</v>
      </c>
      <c r="H26" s="5">
        <f t="shared" si="10"/>
        <v>-3.1227350543750152</v>
      </c>
      <c r="I26" s="6">
        <f t="shared" si="11"/>
        <v>-7119.1307391208993</v>
      </c>
      <c r="J26" s="6">
        <f t="shared" ref="J26:K26" si="35">J10-J$34</f>
        <v>-4213.4803805597603</v>
      </c>
      <c r="K26" s="6">
        <f t="shared" si="35"/>
        <v>2289.3718320445514</v>
      </c>
      <c r="L26" s="5">
        <f t="shared" si="13"/>
        <v>-1.8404526174312454</v>
      </c>
      <c r="M26" s="6">
        <f t="shared" si="14"/>
        <v>-1924.1085485152089</v>
      </c>
      <c r="N26" t="s">
        <v>24</v>
      </c>
    </row>
    <row r="27" spans="1:14" x14ac:dyDescent="0.25">
      <c r="A27" t="s">
        <v>13</v>
      </c>
      <c r="B27" s="6">
        <f t="shared" ref="B27:C27" si="36">B11-B$34</f>
        <v>0</v>
      </c>
      <c r="C27" s="6">
        <f t="shared" si="36"/>
        <v>0</v>
      </c>
      <c r="D27" s="5" t="e">
        <f t="shared" si="7"/>
        <v>#DIV/0!</v>
      </c>
      <c r="E27" s="6">
        <f t="shared" si="8"/>
        <v>0</v>
      </c>
      <c r="F27" s="6">
        <f t="shared" ref="F27:G27" si="37">F11-F$34</f>
        <v>0</v>
      </c>
      <c r="G27" s="6">
        <f t="shared" si="37"/>
        <v>0</v>
      </c>
      <c r="H27" s="5" t="e">
        <f t="shared" si="10"/>
        <v>#DIV/0!</v>
      </c>
      <c r="I27" s="6">
        <f t="shared" si="11"/>
        <v>0</v>
      </c>
      <c r="J27" s="6">
        <f t="shared" ref="J27:K27" si="38">J11-J$34</f>
        <v>0</v>
      </c>
      <c r="K27" s="6">
        <f t="shared" si="38"/>
        <v>0</v>
      </c>
      <c r="L27" s="5" t="e">
        <f t="shared" si="13"/>
        <v>#DIV/0!</v>
      </c>
      <c r="M27" s="6">
        <f t="shared" si="14"/>
        <v>0</v>
      </c>
      <c r="N27" t="s">
        <v>24</v>
      </c>
    </row>
    <row r="28" spans="1:14" x14ac:dyDescent="0.25">
      <c r="A28" t="s">
        <v>10</v>
      </c>
      <c r="B28" s="6">
        <f t="shared" ref="B28:C28" si="39">B12-B$34</f>
        <v>-1404.5679010868701</v>
      </c>
      <c r="C28" s="6">
        <f t="shared" si="39"/>
        <v>30645.9567213056</v>
      </c>
      <c r="D28" s="5">
        <f t="shared" si="7"/>
        <v>-4.5832078726078411E-2</v>
      </c>
      <c r="E28" s="6">
        <f t="shared" si="8"/>
        <v>29241.38882021873</v>
      </c>
      <c r="F28" s="6">
        <f t="shared" ref="F28:G28" si="40">F12-F$34</f>
        <v>-32.085743248811902</v>
      </c>
      <c r="G28" s="6">
        <f t="shared" si="40"/>
        <v>20766.988076812304</v>
      </c>
      <c r="H28" s="5">
        <f t="shared" si="10"/>
        <v>-1.5450359546668074E-3</v>
      </c>
      <c r="I28" s="6">
        <f t="shared" si="11"/>
        <v>20734.902333563492</v>
      </c>
      <c r="J28" s="6">
        <f t="shared" ref="J28:K28" si="41">J12-J$34</f>
        <v>-227.43782558660999</v>
      </c>
      <c r="K28" s="6">
        <f t="shared" si="41"/>
        <v>16410.750520843852</v>
      </c>
      <c r="L28" s="5">
        <f t="shared" si="13"/>
        <v>-1.385907520181563E-2</v>
      </c>
      <c r="M28" s="6">
        <f t="shared" si="14"/>
        <v>16183.312695257242</v>
      </c>
      <c r="N28" t="s">
        <v>24</v>
      </c>
    </row>
    <row r="29" spans="1:14" x14ac:dyDescent="0.25">
      <c r="A29" t="s">
        <v>11</v>
      </c>
      <c r="B29" s="6">
        <f t="shared" ref="B29:C29" si="42">B13-B$34</f>
        <v>40603.4193094004</v>
      </c>
      <c r="C29" s="6">
        <f t="shared" si="42"/>
        <v>813683.07561047014</v>
      </c>
      <c r="D29" s="5">
        <f t="shared" si="7"/>
        <v>4.9900778972129245E-2</v>
      </c>
      <c r="E29" s="6">
        <f t="shared" si="8"/>
        <v>854286.49491987051</v>
      </c>
      <c r="F29" s="6">
        <f t="shared" ref="F29:G29" si="43">F13-F$34</f>
        <v>4460.6170443716501</v>
      </c>
      <c r="G29" s="6">
        <f t="shared" si="43"/>
        <v>210792.00600332531</v>
      </c>
      <c r="H29" s="5">
        <f t="shared" si="10"/>
        <v>2.116122489152308E-2</v>
      </c>
      <c r="I29" s="6">
        <f t="shared" si="11"/>
        <v>215252.62304769695</v>
      </c>
      <c r="J29" s="6">
        <f t="shared" ref="J29:K29" si="44">J13-J$34</f>
        <v>-1031.07110519603</v>
      </c>
      <c r="K29" s="6">
        <f t="shared" si="44"/>
        <v>98908.904641411849</v>
      </c>
      <c r="L29" s="5">
        <f t="shared" si="13"/>
        <v>-1.0424451761285952E-2</v>
      </c>
      <c r="M29" s="6">
        <f t="shared" si="14"/>
        <v>97877.833536215825</v>
      </c>
      <c r="N29" t="s">
        <v>24</v>
      </c>
    </row>
    <row r="30" spans="1:14" x14ac:dyDescent="0.25">
      <c r="A30" t="s">
        <v>12</v>
      </c>
      <c r="B30" s="6">
        <f t="shared" ref="B30:C30" si="45">B14-B$34</f>
        <v>-2626.77829541446</v>
      </c>
      <c r="C30" s="6">
        <f t="shared" si="45"/>
        <v>11281.197868490701</v>
      </c>
      <c r="D30" s="5">
        <f t="shared" si="7"/>
        <v>-0.23284568944147896</v>
      </c>
      <c r="E30" s="6">
        <f t="shared" si="8"/>
        <v>8654.4195730762403</v>
      </c>
      <c r="F30" s="6">
        <f t="shared" ref="F30:G30" si="46">F14-F$34</f>
        <v>-184.162683612303</v>
      </c>
      <c r="G30" s="6">
        <f t="shared" si="46"/>
        <v>6318.092648078602</v>
      </c>
      <c r="H30" s="5">
        <f t="shared" si="10"/>
        <v>-2.9148462023314711E-2</v>
      </c>
      <c r="I30" s="6">
        <f t="shared" si="11"/>
        <v>6133.9299644662988</v>
      </c>
      <c r="J30" s="6">
        <f t="shared" ref="J30:K30" si="47">J14-J$34</f>
        <v>-125.237709722896</v>
      </c>
      <c r="K30" s="6">
        <f t="shared" si="47"/>
        <v>4288.3705311750509</v>
      </c>
      <c r="L30" s="5">
        <f t="shared" si="13"/>
        <v>-2.9204031884012546E-2</v>
      </c>
      <c r="M30" s="6">
        <f t="shared" si="14"/>
        <v>4163.1328214521545</v>
      </c>
      <c r="N30" t="s">
        <v>24</v>
      </c>
    </row>
    <row r="31" spans="1:14" x14ac:dyDescent="0.25">
      <c r="A31" t="s">
        <v>55</v>
      </c>
      <c r="B31" s="6">
        <f t="shared" ref="B31:C31" si="48">B15-B$34</f>
        <v>-177560.27976733001</v>
      </c>
      <c r="C31" s="6">
        <f t="shared" si="48"/>
        <v>70162.474951677606</v>
      </c>
      <c r="D31" s="5">
        <f t="shared" si="7"/>
        <v>-2.5307014880763479</v>
      </c>
      <c r="E31" s="6">
        <f t="shared" si="8"/>
        <v>-107397.8048156524</v>
      </c>
      <c r="F31" s="6">
        <f t="shared" ref="F31:G31" si="49">F15-F$34</f>
        <v>-55394.240300793303</v>
      </c>
      <c r="G31" s="6">
        <f t="shared" si="49"/>
        <v>32817.166808422196</v>
      </c>
      <c r="H31" s="5">
        <f t="shared" si="10"/>
        <v>-1.6879653452161181</v>
      </c>
      <c r="I31" s="6">
        <f t="shared" si="11"/>
        <v>-22577.073492371106</v>
      </c>
      <c r="J31" s="6">
        <f t="shared" ref="J31:K31" si="50">J15-J$34</f>
        <v>-27847.218892906101</v>
      </c>
      <c r="K31" s="6">
        <f t="shared" si="50"/>
        <v>19047.796062373549</v>
      </c>
      <c r="L31" s="5">
        <f t="shared" si="13"/>
        <v>-1.4619654054315854</v>
      </c>
      <c r="M31" s="6">
        <f t="shared" si="14"/>
        <v>-8799.4228305325523</v>
      </c>
      <c r="N31" t="s">
        <v>24</v>
      </c>
    </row>
    <row r="33" spans="1:11" x14ac:dyDescent="0.25">
      <c r="A33" t="s">
        <v>13</v>
      </c>
      <c r="B33" t="s">
        <v>61</v>
      </c>
      <c r="C33" t="s">
        <v>62</v>
      </c>
      <c r="F33" t="s">
        <v>63</v>
      </c>
      <c r="G33" t="s">
        <v>64</v>
      </c>
      <c r="J33" t="s">
        <v>65</v>
      </c>
      <c r="K33" t="s">
        <v>66</v>
      </c>
    </row>
    <row r="34" spans="1:11" x14ac:dyDescent="0.25">
      <c r="B34" s="1">
        <v>0</v>
      </c>
      <c r="C34" s="1">
        <v>14486.1268858849</v>
      </c>
      <c r="F34" s="1">
        <v>0</v>
      </c>
      <c r="G34" s="1">
        <v>11511.601320002699</v>
      </c>
      <c r="J34" s="1">
        <v>0</v>
      </c>
      <c r="K34" s="1">
        <v>9874.8984398431494</v>
      </c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4"/>
  <sheetViews>
    <sheetView topLeftCell="A3" workbookViewId="0">
      <selection activeCell="I8" sqref="I8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38</v>
      </c>
      <c r="C1" s="4" t="s">
        <v>39</v>
      </c>
      <c r="D1" s="5" t="s">
        <v>40</v>
      </c>
      <c r="E1" s="4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-94864.731470308194</v>
      </c>
      <c r="C2" s="6">
        <v>121535.566517909</v>
      </c>
      <c r="D2" s="5">
        <v>-0.78055119327006905</v>
      </c>
      <c r="E2" s="6">
        <f>B2+C2</f>
        <v>26670.835047600805</v>
      </c>
      <c r="F2" s="6">
        <v>-24012.4014868552</v>
      </c>
      <c r="G2" s="6">
        <v>48730.788212699401</v>
      </c>
      <c r="H2" s="5">
        <v>-0.49275627108772002</v>
      </c>
      <c r="I2" s="6">
        <f>F2+G2</f>
        <v>24718.386725844201</v>
      </c>
      <c r="J2" s="6">
        <v>-9686.1108143464007</v>
      </c>
      <c r="K2" s="6">
        <v>27914.545327342599</v>
      </c>
      <c r="L2" s="5">
        <v>-0.346991530786594</v>
      </c>
      <c r="M2" s="6">
        <f>J2+K2</f>
        <v>18228.434512996198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-573819.81405192497</v>
      </c>
      <c r="C3" s="6">
        <v>815193.62386759603</v>
      </c>
      <c r="D3" s="5">
        <v>-0.70390616075908496</v>
      </c>
      <c r="E3" s="6">
        <f t="shared" ref="E3:E15" si="0">B3+C3</f>
        <v>241373.80981567106</v>
      </c>
      <c r="F3" s="6">
        <v>-84257.525916830593</v>
      </c>
      <c r="G3" s="6">
        <v>140944.522706794</v>
      </c>
      <c r="H3" s="5">
        <v>-0.59780631626324898</v>
      </c>
      <c r="I3" s="6">
        <f t="shared" ref="I3:I15" si="1">F3+G3</f>
        <v>56686.996789963407</v>
      </c>
      <c r="J3" s="6">
        <v>-23204.8464252616</v>
      </c>
      <c r="K3" s="6">
        <v>49651.190773092399</v>
      </c>
      <c r="L3" s="5">
        <v>-0.46735729927019298</v>
      </c>
      <c r="M3" s="6">
        <f t="shared" ref="M3:M15" si="2">J3+K3</f>
        <v>26446.3443478308</v>
      </c>
      <c r="N3" t="s">
        <v>24</v>
      </c>
    </row>
    <row r="4" spans="1:42" x14ac:dyDescent="0.25">
      <c r="A4" t="s">
        <v>3</v>
      </c>
      <c r="B4" s="6">
        <v>-189547.67770812401</v>
      </c>
      <c r="C4" s="6">
        <v>81242.480945637202</v>
      </c>
      <c r="D4" s="5">
        <v>-2.3331104060566301</v>
      </c>
      <c r="E4" s="6">
        <f t="shared" si="0"/>
        <v>-108305.19676248681</v>
      </c>
      <c r="F4" s="6">
        <v>-74162.1476601756</v>
      </c>
      <c r="G4" s="6">
        <v>40207.866336966101</v>
      </c>
      <c r="H4" s="5">
        <v>-1.8444686181219401</v>
      </c>
      <c r="I4" s="6">
        <f t="shared" si="1"/>
        <v>-33954.2813232095</v>
      </c>
      <c r="J4" s="6">
        <v>-41535.203838220703</v>
      </c>
      <c r="K4" s="6">
        <v>24697.2770423121</v>
      </c>
      <c r="L4" s="5">
        <v>-1.68177260056083</v>
      </c>
      <c r="M4" s="6">
        <f t="shared" si="2"/>
        <v>-16837.926795908603</v>
      </c>
      <c r="N4" t="s">
        <v>24</v>
      </c>
    </row>
    <row r="5" spans="1:42" x14ac:dyDescent="0.25">
      <c r="A5" t="s">
        <v>4</v>
      </c>
      <c r="B5" s="6">
        <v>-1529260.70418628</v>
      </c>
      <c r="C5" s="6">
        <v>1535271.1979602601</v>
      </c>
      <c r="D5" s="5">
        <v>-0.99608506055349399</v>
      </c>
      <c r="E5" s="6">
        <f t="shared" si="0"/>
        <v>6010.4937739800662</v>
      </c>
      <c r="F5" s="6">
        <v>-265902.76421105402</v>
      </c>
      <c r="G5" s="6">
        <v>266640.44285571203</v>
      </c>
      <c r="H5" s="5">
        <v>-0.99723343302029399</v>
      </c>
      <c r="I5" s="6">
        <f t="shared" si="1"/>
        <v>737.67864465800812</v>
      </c>
      <c r="J5" s="6">
        <v>-90741.464406757499</v>
      </c>
      <c r="K5" s="6">
        <v>89320.816158220798</v>
      </c>
      <c r="L5" s="5">
        <v>-1.0159050074735101</v>
      </c>
      <c r="M5" s="6">
        <f t="shared" si="2"/>
        <v>-1420.6482485367014</v>
      </c>
      <c r="N5" t="s">
        <v>24</v>
      </c>
    </row>
    <row r="6" spans="1:42" x14ac:dyDescent="0.25">
      <c r="A6" t="s">
        <v>14</v>
      </c>
      <c r="B6" s="6">
        <v>0</v>
      </c>
      <c r="C6" s="6">
        <v>16454.604553368801</v>
      </c>
      <c r="D6" s="5">
        <v>0</v>
      </c>
      <c r="E6" s="6">
        <f t="shared" si="0"/>
        <v>16454.604553368801</v>
      </c>
      <c r="F6" s="6">
        <v>0</v>
      </c>
      <c r="G6" s="6">
        <v>12922.5120645157</v>
      </c>
      <c r="H6" s="5">
        <v>0</v>
      </c>
      <c r="I6" s="6">
        <f t="shared" si="1"/>
        <v>12922.5120645157</v>
      </c>
      <c r="J6" s="6">
        <v>0</v>
      </c>
      <c r="K6" s="6">
        <v>10988.815786839299</v>
      </c>
      <c r="L6" s="5">
        <v>0</v>
      </c>
      <c r="M6" s="6">
        <f t="shared" si="2"/>
        <v>10988.815786839299</v>
      </c>
      <c r="N6" t="s">
        <v>24</v>
      </c>
    </row>
    <row r="7" spans="1:42" x14ac:dyDescent="0.25">
      <c r="A7" t="s">
        <v>6</v>
      </c>
      <c r="B7" s="6">
        <v>-81711.783899172602</v>
      </c>
      <c r="C7" s="6">
        <v>22059.733037833099</v>
      </c>
      <c r="D7" s="5">
        <v>-3.7041148122252601</v>
      </c>
      <c r="E7" s="6">
        <f t="shared" si="0"/>
        <v>-59652.050861339507</v>
      </c>
      <c r="F7" s="6">
        <v>-14041.807010664401</v>
      </c>
      <c r="G7" s="6">
        <v>17381.240704187301</v>
      </c>
      <c r="H7" s="5">
        <v>-0.8078713855727</v>
      </c>
      <c r="I7" s="6">
        <f t="shared" si="1"/>
        <v>3339.4336935229003</v>
      </c>
      <c r="J7" s="6">
        <v>-5067.3328268512496</v>
      </c>
      <c r="K7" s="6">
        <v>14808.855061788299</v>
      </c>
      <c r="L7" s="5">
        <v>-0.34218262017612899</v>
      </c>
      <c r="M7" s="6">
        <f t="shared" si="2"/>
        <v>9741.5222349370488</v>
      </c>
      <c r="N7" t="s">
        <v>24</v>
      </c>
    </row>
    <row r="8" spans="1:42" x14ac:dyDescent="0.25">
      <c r="A8" t="s">
        <v>5</v>
      </c>
      <c r="B8" s="6">
        <v>-74787.623200904796</v>
      </c>
      <c r="C8" s="6">
        <v>19094.971222653399</v>
      </c>
      <c r="D8" s="5">
        <v>-3.9166135590809201</v>
      </c>
      <c r="E8" s="6">
        <f t="shared" si="0"/>
        <v>-55692.651978251393</v>
      </c>
      <c r="F8" s="6">
        <v>-12795.920628411601</v>
      </c>
      <c r="G8" s="6">
        <v>14128.7206300791</v>
      </c>
      <c r="H8" s="5">
        <v>-0.90566732568623198</v>
      </c>
      <c r="I8" s="6">
        <f t="shared" si="1"/>
        <v>1332.8000016674996</v>
      </c>
      <c r="J8" s="6">
        <v>-4277.3243685469497</v>
      </c>
      <c r="K8" s="6">
        <v>11823.3041249241</v>
      </c>
      <c r="L8" s="5">
        <v>-0.361770645781675</v>
      </c>
      <c r="M8" s="6">
        <f t="shared" si="2"/>
        <v>7545.9797563771499</v>
      </c>
      <c r="N8" t="s">
        <v>24</v>
      </c>
    </row>
    <row r="9" spans="1:42" x14ac:dyDescent="0.25">
      <c r="A9" t="s">
        <v>8</v>
      </c>
      <c r="B9" s="6">
        <v>-201382.40255214801</v>
      </c>
      <c r="C9" s="6">
        <v>32071.308412600101</v>
      </c>
      <c r="D9" s="5">
        <v>-6.2792075696240897</v>
      </c>
      <c r="E9" s="6">
        <f t="shared" si="0"/>
        <v>-169311.0941395479</v>
      </c>
      <c r="F9" s="6">
        <v>-38626.101035459098</v>
      </c>
      <c r="G9" s="6">
        <v>19876.195905398199</v>
      </c>
      <c r="H9" s="5">
        <v>-1.9433346913716201</v>
      </c>
      <c r="I9" s="6">
        <f t="shared" si="1"/>
        <v>-18749.905130060899</v>
      </c>
      <c r="J9" s="6">
        <v>-14104.8743016727</v>
      </c>
      <c r="K9" s="6">
        <v>15017.4159804518</v>
      </c>
      <c r="L9" s="5">
        <v>-0.93923444086739505</v>
      </c>
      <c r="M9" s="6">
        <f t="shared" si="2"/>
        <v>912.54167877910004</v>
      </c>
      <c r="N9" t="s">
        <v>24</v>
      </c>
    </row>
    <row r="10" spans="1:42" x14ac:dyDescent="0.25">
      <c r="A10" t="s">
        <v>7</v>
      </c>
      <c r="B10" s="6">
        <v>-98338.675448048598</v>
      </c>
      <c r="C10" s="6">
        <v>21722.272439247401</v>
      </c>
      <c r="D10" s="5">
        <v>-4.5270896828626404</v>
      </c>
      <c r="E10" s="6">
        <f t="shared" si="0"/>
        <v>-76616.403008801193</v>
      </c>
      <c r="F10" s="6">
        <v>-17986.986790839499</v>
      </c>
      <c r="G10" s="6">
        <v>15287.094538355101</v>
      </c>
      <c r="H10" s="5">
        <v>-1.1766125175526601</v>
      </c>
      <c r="I10" s="6">
        <f t="shared" si="1"/>
        <v>-2699.8922524843983</v>
      </c>
      <c r="J10" s="6">
        <v>-6302.0903447309802</v>
      </c>
      <c r="K10" s="6">
        <v>12370.0600946878</v>
      </c>
      <c r="L10" s="5">
        <v>-0.50946319552944896</v>
      </c>
      <c r="M10" s="6">
        <f t="shared" si="2"/>
        <v>6067.9697499568201</v>
      </c>
      <c r="N10" t="s">
        <v>24</v>
      </c>
    </row>
    <row r="11" spans="1:42" x14ac:dyDescent="0.25">
      <c r="A11" t="s">
        <v>9</v>
      </c>
      <c r="B11" s="6">
        <v>-112560.083841115</v>
      </c>
      <c r="C11" s="6">
        <v>24071.699131444799</v>
      </c>
      <c r="D11" s="5">
        <v>-4.6760340109967</v>
      </c>
      <c r="E11" s="6">
        <f t="shared" si="0"/>
        <v>-88488.384709670208</v>
      </c>
      <c r="F11" s="6">
        <v>-20252.154009836198</v>
      </c>
      <c r="G11" s="6">
        <v>16316.162333554499</v>
      </c>
      <c r="H11" s="5">
        <v>-1.2412326866954</v>
      </c>
      <c r="I11" s="6">
        <f t="shared" si="1"/>
        <v>-3935.9916762816993</v>
      </c>
      <c r="J11" s="6">
        <v>-7133.5598014398502</v>
      </c>
      <c r="K11" s="6">
        <v>13309.729450819899</v>
      </c>
      <c r="L11" s="5">
        <v>-0.535965800642205</v>
      </c>
      <c r="M11" s="6">
        <f t="shared" si="2"/>
        <v>6176.1696493800491</v>
      </c>
      <c r="N11" t="s">
        <v>24</v>
      </c>
    </row>
    <row r="12" spans="1:42" x14ac:dyDescent="0.25">
      <c r="A12" t="s">
        <v>10</v>
      </c>
      <c r="B12" s="6">
        <v>-20612.841126253501</v>
      </c>
      <c r="C12" s="6">
        <v>47147.659759674803</v>
      </c>
      <c r="D12" s="5">
        <v>-0.43719754556903001</v>
      </c>
      <c r="E12" s="6">
        <f t="shared" si="0"/>
        <v>26534.818633421302</v>
      </c>
      <c r="F12" s="6">
        <v>-2555.2191726661399</v>
      </c>
      <c r="G12" s="6">
        <v>33709.460372616202</v>
      </c>
      <c r="H12" s="5">
        <v>-7.58012482081101E-2</v>
      </c>
      <c r="I12" s="6">
        <f t="shared" si="1"/>
        <v>31154.241199950062</v>
      </c>
      <c r="J12" s="6">
        <v>-817.00285092435604</v>
      </c>
      <c r="K12" s="6">
        <v>27410.213109250599</v>
      </c>
      <c r="L12" s="5">
        <v>-2.9806512180987999E-2</v>
      </c>
      <c r="M12" s="6">
        <f t="shared" si="2"/>
        <v>26593.210258326242</v>
      </c>
      <c r="N12" t="s">
        <v>24</v>
      </c>
    </row>
    <row r="13" spans="1:42" x14ac:dyDescent="0.25">
      <c r="A13" t="s">
        <v>11</v>
      </c>
      <c r="B13" s="6">
        <v>33750.559282223403</v>
      </c>
      <c r="C13" s="6">
        <v>913639.44245667802</v>
      </c>
      <c r="D13" s="5">
        <v>3.6940786172137897E-2</v>
      </c>
      <c r="E13" s="6">
        <f t="shared" si="0"/>
        <v>947390.00173890148</v>
      </c>
      <c r="F13" s="6">
        <v>5157.5221174354301</v>
      </c>
      <c r="G13" s="6">
        <v>235929.47854249101</v>
      </c>
      <c r="H13" s="5">
        <v>2.1860439608043899E-2</v>
      </c>
      <c r="I13" s="6">
        <f t="shared" si="1"/>
        <v>241087.00065992645</v>
      </c>
      <c r="J13" s="6">
        <v>-354.46081332431601</v>
      </c>
      <c r="K13" s="6">
        <v>113106.55812487499</v>
      </c>
      <c r="L13" s="5">
        <v>-3.1338661453474098E-3</v>
      </c>
      <c r="M13" s="6">
        <f t="shared" si="2"/>
        <v>112752.09731155068</v>
      </c>
      <c r="N13" t="s">
        <v>24</v>
      </c>
    </row>
    <row r="14" spans="1:42" x14ac:dyDescent="0.25">
      <c r="A14" t="s">
        <v>12</v>
      </c>
      <c r="B14" s="6">
        <v>-22101.075343330998</v>
      </c>
      <c r="C14" s="6">
        <v>27762.780358668701</v>
      </c>
      <c r="D14" s="5">
        <v>-0.79606851539385404</v>
      </c>
      <c r="E14" s="6">
        <f t="shared" si="0"/>
        <v>5661.7050153377022</v>
      </c>
      <c r="F14" s="6">
        <v>-2707.91448460225</v>
      </c>
      <c r="G14" s="6">
        <v>19251.584572950102</v>
      </c>
      <c r="H14" s="5">
        <v>-0.140659303879175</v>
      </c>
      <c r="I14" s="6">
        <f t="shared" si="1"/>
        <v>16543.670088347852</v>
      </c>
      <c r="J14" s="6">
        <v>-692.01167725153198</v>
      </c>
      <c r="K14" s="6">
        <v>15282.8414246461</v>
      </c>
      <c r="L14" s="5">
        <v>-4.5280302139073698E-2</v>
      </c>
      <c r="M14" s="6">
        <f t="shared" si="2"/>
        <v>14590.829747394568</v>
      </c>
      <c r="N14" t="s">
        <v>24</v>
      </c>
    </row>
    <row r="15" spans="1:42" x14ac:dyDescent="0.25">
      <c r="A15" t="s">
        <v>55</v>
      </c>
      <c r="B15" s="6">
        <v>-343064.27648368402</v>
      </c>
      <c r="C15" s="6">
        <v>96166.745901482194</v>
      </c>
      <c r="D15" s="5">
        <v>-3.5673898837664302</v>
      </c>
      <c r="E15" s="6">
        <f t="shared" si="0"/>
        <v>-246897.53058220184</v>
      </c>
      <c r="F15" s="6">
        <v>-100078.99781724501</v>
      </c>
      <c r="G15" s="6">
        <v>46662.644528508899</v>
      </c>
      <c r="H15" s="5">
        <v>-2.14473480507734</v>
      </c>
      <c r="I15" s="6">
        <f t="shared" si="1"/>
        <v>-53416.353288736107</v>
      </c>
      <c r="J15" s="6">
        <v>-49751.588765194501</v>
      </c>
      <c r="K15" s="6">
        <v>28330.3209334069</v>
      </c>
      <c r="L15" s="5">
        <v>-1.75612513822699</v>
      </c>
      <c r="M15" s="6">
        <f t="shared" si="2"/>
        <v>-21421.267831787602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60</v>
      </c>
      <c r="B17" s="4" t="s">
        <v>38</v>
      </c>
      <c r="C17" s="4" t="s">
        <v>39</v>
      </c>
      <c r="D17" s="5" t="s">
        <v>40</v>
      </c>
      <c r="E17" s="4" t="s">
        <v>41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B2-B$34</f>
        <v>-94864.731470308194</v>
      </c>
      <c r="C18" s="6">
        <f>C2-C$34</f>
        <v>105080.9619645402</v>
      </c>
      <c r="D18" s="5">
        <f>B18/C18</f>
        <v>-0.90277753169332908</v>
      </c>
      <c r="E18" s="6">
        <f>B18+C18</f>
        <v>10216.230494232004</v>
      </c>
      <c r="F18" s="6">
        <f>F2-F$34</f>
        <v>-24012.4014868552</v>
      </c>
      <c r="G18" s="6">
        <f>G2-G$34</f>
        <v>35808.276148183701</v>
      </c>
      <c r="H18" s="5">
        <f>F18/G18</f>
        <v>-0.67058244824424973</v>
      </c>
      <c r="I18" s="6">
        <f>F18+G18</f>
        <v>11795.8746613285</v>
      </c>
      <c r="J18" s="6">
        <f>J2-J$34</f>
        <v>-9686.1108143464007</v>
      </c>
      <c r="K18" s="6">
        <f>K2-K$34</f>
        <v>16925.7295405033</v>
      </c>
      <c r="L18" s="5">
        <f>J18/K18</f>
        <v>-0.57227139256641912</v>
      </c>
      <c r="M18" s="6">
        <f>J18+K18</f>
        <v>7239.6187261568994</v>
      </c>
      <c r="N18" t="s">
        <v>24</v>
      </c>
    </row>
    <row r="19" spans="1:14" x14ac:dyDescent="0.25">
      <c r="A19" t="s">
        <v>2</v>
      </c>
      <c r="B19" s="6">
        <f t="shared" ref="B19:C31" si="3">B3-B$34</f>
        <v>-573819.81405192497</v>
      </c>
      <c r="C19" s="6">
        <f t="shared" si="3"/>
        <v>798739.01931422728</v>
      </c>
      <c r="D19" s="5">
        <f t="shared" ref="D19:D31" si="4">B19/C19</f>
        <v>-0.71840713947415391</v>
      </c>
      <c r="E19" s="6">
        <f t="shared" ref="E19:E31" si="5">B19+C19</f>
        <v>224919.2052623023</v>
      </c>
      <c r="F19" s="6">
        <f t="shared" ref="F19:G31" si="6">F3-F$34</f>
        <v>-84257.525916830593</v>
      </c>
      <c r="G19" s="6">
        <f t="shared" si="6"/>
        <v>128022.0106422783</v>
      </c>
      <c r="H19" s="5">
        <f t="shared" ref="H19:H31" si="7">F19/G19</f>
        <v>-0.65814874718898675</v>
      </c>
      <c r="I19" s="6">
        <f t="shared" ref="I19:I31" si="8">F19+G19</f>
        <v>43764.484725447706</v>
      </c>
      <c r="J19" s="6">
        <f t="shared" ref="J19:K31" si="9">J3-J$34</f>
        <v>-23204.8464252616</v>
      </c>
      <c r="K19" s="6">
        <f t="shared" si="9"/>
        <v>38662.374986253097</v>
      </c>
      <c r="L19" s="5">
        <f t="shared" ref="L19:L31" si="10">J19/K19</f>
        <v>-0.60019195493066269</v>
      </c>
      <c r="M19" s="6">
        <f t="shared" ref="M19:M31" si="11">J19+K19</f>
        <v>15457.528560991497</v>
      </c>
      <c r="N19" t="s">
        <v>24</v>
      </c>
    </row>
    <row r="20" spans="1:14" x14ac:dyDescent="0.25">
      <c r="A20" t="s">
        <v>3</v>
      </c>
      <c r="B20" s="6">
        <f t="shared" si="3"/>
        <v>-189547.67770812401</v>
      </c>
      <c r="C20" s="6">
        <f t="shared" si="3"/>
        <v>64787.876392268401</v>
      </c>
      <c r="D20" s="5">
        <f t="shared" si="4"/>
        <v>-2.9256658539088045</v>
      </c>
      <c r="E20" s="6">
        <f t="shared" si="5"/>
        <v>-124759.80131585561</v>
      </c>
      <c r="F20" s="6">
        <f t="shared" si="6"/>
        <v>-74162.1476601756</v>
      </c>
      <c r="G20" s="6">
        <f t="shared" si="6"/>
        <v>27285.3542724504</v>
      </c>
      <c r="H20" s="5">
        <f t="shared" si="7"/>
        <v>-2.7180203313341611</v>
      </c>
      <c r="I20" s="6">
        <f t="shared" si="8"/>
        <v>-46876.7933877252</v>
      </c>
      <c r="J20" s="6">
        <f t="shared" si="9"/>
        <v>-41535.203838220703</v>
      </c>
      <c r="K20" s="6">
        <f t="shared" si="9"/>
        <v>13708.461255472801</v>
      </c>
      <c r="L20" s="5">
        <f t="shared" si="10"/>
        <v>-3.0298954101532503</v>
      </c>
      <c r="M20" s="6">
        <f t="shared" si="11"/>
        <v>-27826.742582747902</v>
      </c>
      <c r="N20" t="s">
        <v>24</v>
      </c>
    </row>
    <row r="21" spans="1:14" x14ac:dyDescent="0.25">
      <c r="A21" t="s">
        <v>4</v>
      </c>
      <c r="B21" s="6">
        <f t="shared" si="3"/>
        <v>-1529260.70418628</v>
      </c>
      <c r="C21" s="6">
        <f t="shared" si="3"/>
        <v>1518816.5934068912</v>
      </c>
      <c r="D21" s="5">
        <f t="shared" si="4"/>
        <v>-1.006876479243594</v>
      </c>
      <c r="E21" s="6">
        <f t="shared" si="5"/>
        <v>-10444.110779388808</v>
      </c>
      <c r="F21" s="6">
        <f t="shared" si="6"/>
        <v>-265902.76421105402</v>
      </c>
      <c r="G21" s="6">
        <f t="shared" si="6"/>
        <v>253717.93079119633</v>
      </c>
      <c r="H21" s="5">
        <f t="shared" si="7"/>
        <v>-1.0480251174280839</v>
      </c>
      <c r="I21" s="6">
        <f t="shared" si="8"/>
        <v>-12184.833419857692</v>
      </c>
      <c r="J21" s="6">
        <f t="shared" si="9"/>
        <v>-90741.464406757499</v>
      </c>
      <c r="K21" s="6">
        <f t="shared" si="9"/>
        <v>78332.000371381495</v>
      </c>
      <c r="L21" s="5">
        <f t="shared" si="10"/>
        <v>-1.1584213855964514</v>
      </c>
      <c r="M21" s="6">
        <f t="shared" si="11"/>
        <v>-12409.464035376004</v>
      </c>
      <c r="N21" t="s">
        <v>24</v>
      </c>
    </row>
    <row r="22" spans="1:14" x14ac:dyDescent="0.25">
      <c r="A22" t="s">
        <v>14</v>
      </c>
      <c r="B22" s="6">
        <f t="shared" si="3"/>
        <v>0</v>
      </c>
      <c r="C22" s="6">
        <f t="shared" si="3"/>
        <v>0</v>
      </c>
      <c r="D22" s="5" t="e">
        <f t="shared" si="4"/>
        <v>#DIV/0!</v>
      </c>
      <c r="E22" s="6">
        <f t="shared" si="5"/>
        <v>0</v>
      </c>
      <c r="F22" s="6">
        <f t="shared" si="6"/>
        <v>0</v>
      </c>
      <c r="G22" s="6">
        <f t="shared" si="6"/>
        <v>0</v>
      </c>
      <c r="H22" s="5" t="e">
        <f t="shared" si="7"/>
        <v>#DIV/0!</v>
      </c>
      <c r="I22" s="6">
        <f t="shared" si="8"/>
        <v>0</v>
      </c>
      <c r="J22" s="6">
        <f t="shared" si="9"/>
        <v>0</v>
      </c>
      <c r="K22" s="6">
        <f t="shared" si="9"/>
        <v>0</v>
      </c>
      <c r="L22" s="5" t="e">
        <f t="shared" si="10"/>
        <v>#DIV/0!</v>
      </c>
      <c r="M22" s="6">
        <f t="shared" si="11"/>
        <v>0</v>
      </c>
      <c r="N22" t="s">
        <v>24</v>
      </c>
    </row>
    <row r="23" spans="1:14" x14ac:dyDescent="0.25">
      <c r="A23" t="s">
        <v>6</v>
      </c>
      <c r="B23" s="6">
        <f t="shared" si="3"/>
        <v>-81711.783899172602</v>
      </c>
      <c r="C23" s="6">
        <f t="shared" si="3"/>
        <v>5605.1284844642978</v>
      </c>
      <c r="D23" s="5">
        <f t="shared" si="4"/>
        <v>-14.578039401889303</v>
      </c>
      <c r="E23" s="6">
        <f t="shared" si="5"/>
        <v>-76106.655414708308</v>
      </c>
      <c r="F23" s="6">
        <f t="shared" si="6"/>
        <v>-14041.807010664401</v>
      </c>
      <c r="G23" s="6">
        <f t="shared" si="6"/>
        <v>4458.7286396716008</v>
      </c>
      <c r="H23" s="5">
        <f t="shared" si="7"/>
        <v>-3.1492849521559183</v>
      </c>
      <c r="I23" s="6">
        <f t="shared" si="8"/>
        <v>-9583.0783709928</v>
      </c>
      <c r="J23" s="6">
        <f t="shared" si="9"/>
        <v>-5067.3328268512496</v>
      </c>
      <c r="K23" s="6">
        <f t="shared" si="9"/>
        <v>3820.0392749490002</v>
      </c>
      <c r="L23" s="5">
        <f t="shared" si="10"/>
        <v>-1.3265132796099071</v>
      </c>
      <c r="M23" s="6">
        <f t="shared" si="11"/>
        <v>-1247.2935519022494</v>
      </c>
      <c r="N23" t="s">
        <v>24</v>
      </c>
    </row>
    <row r="24" spans="1:14" x14ac:dyDescent="0.25">
      <c r="A24" t="s">
        <v>5</v>
      </c>
      <c r="B24" s="6">
        <f t="shared" si="3"/>
        <v>-74787.623200904796</v>
      </c>
      <c r="C24" s="6">
        <f t="shared" si="3"/>
        <v>2640.3666692845982</v>
      </c>
      <c r="D24" s="5">
        <f t="shared" si="4"/>
        <v>-28.324711136112146</v>
      </c>
      <c r="E24" s="6">
        <f t="shared" si="5"/>
        <v>-72147.256531620194</v>
      </c>
      <c r="F24" s="6">
        <f t="shared" si="6"/>
        <v>-12795.920628411601</v>
      </c>
      <c r="G24" s="6">
        <f t="shared" si="6"/>
        <v>1206.2085655634</v>
      </c>
      <c r="H24" s="5">
        <f t="shared" si="7"/>
        <v>-10.608381496971743</v>
      </c>
      <c r="I24" s="6">
        <f t="shared" si="8"/>
        <v>-11589.712062848201</v>
      </c>
      <c r="J24" s="6">
        <f t="shared" si="9"/>
        <v>-4277.3243685469497</v>
      </c>
      <c r="K24" s="6">
        <f t="shared" si="9"/>
        <v>834.48833808480049</v>
      </c>
      <c r="L24" s="5">
        <f t="shared" si="10"/>
        <v>-5.125685013602058</v>
      </c>
      <c r="M24" s="6">
        <f t="shared" si="11"/>
        <v>-3442.8360304621492</v>
      </c>
      <c r="N24" t="s">
        <v>24</v>
      </c>
    </row>
    <row r="25" spans="1:14" x14ac:dyDescent="0.25">
      <c r="A25" t="s">
        <v>8</v>
      </c>
      <c r="B25" s="6">
        <f t="shared" si="3"/>
        <v>-201382.40255214801</v>
      </c>
      <c r="C25" s="6">
        <f t="shared" si="3"/>
        <v>15616.7038592313</v>
      </c>
      <c r="D25" s="5">
        <f t="shared" si="4"/>
        <v>-12.895320572600053</v>
      </c>
      <c r="E25" s="6">
        <f t="shared" si="5"/>
        <v>-185765.69869291672</v>
      </c>
      <c r="F25" s="6">
        <f t="shared" si="6"/>
        <v>-38626.101035459098</v>
      </c>
      <c r="G25" s="6">
        <f t="shared" si="6"/>
        <v>6953.6838408824988</v>
      </c>
      <c r="H25" s="5">
        <f t="shared" si="7"/>
        <v>-5.5547680796711374</v>
      </c>
      <c r="I25" s="6">
        <f t="shared" si="8"/>
        <v>-31672.417194576599</v>
      </c>
      <c r="J25" s="6">
        <f t="shared" si="9"/>
        <v>-14104.8743016727</v>
      </c>
      <c r="K25" s="6">
        <f t="shared" si="9"/>
        <v>4028.6001936125012</v>
      </c>
      <c r="L25" s="5">
        <f t="shared" si="10"/>
        <v>-3.5011849336741121</v>
      </c>
      <c r="M25" s="6">
        <f t="shared" si="11"/>
        <v>-10076.274108060199</v>
      </c>
      <c r="N25" t="s">
        <v>24</v>
      </c>
    </row>
    <row r="26" spans="1:14" x14ac:dyDescent="0.25">
      <c r="A26" t="s">
        <v>7</v>
      </c>
      <c r="B26" s="6">
        <f t="shared" si="3"/>
        <v>-98338.675448048598</v>
      </c>
      <c r="C26" s="6">
        <f t="shared" si="3"/>
        <v>5267.6678858785999</v>
      </c>
      <c r="D26" s="5">
        <f t="shared" si="4"/>
        <v>-18.668351456186496</v>
      </c>
      <c r="E26" s="6">
        <f t="shared" si="5"/>
        <v>-93071.007562169994</v>
      </c>
      <c r="F26" s="6">
        <f t="shared" si="6"/>
        <v>-17986.986790839499</v>
      </c>
      <c r="G26" s="6">
        <f t="shared" si="6"/>
        <v>2364.5824738394003</v>
      </c>
      <c r="H26" s="5">
        <f t="shared" si="7"/>
        <v>-7.6068341831333193</v>
      </c>
      <c r="I26" s="6">
        <f t="shared" si="8"/>
        <v>-15622.404317000099</v>
      </c>
      <c r="J26" s="6">
        <f t="shared" si="9"/>
        <v>-6302.0903447309802</v>
      </c>
      <c r="K26" s="6">
        <f t="shared" si="9"/>
        <v>1381.2443078485012</v>
      </c>
      <c r="L26" s="5">
        <f t="shared" si="10"/>
        <v>-4.5626181472178864</v>
      </c>
      <c r="M26" s="6">
        <f t="shared" si="11"/>
        <v>-4920.846036882479</v>
      </c>
      <c r="N26" t="s">
        <v>24</v>
      </c>
    </row>
    <row r="27" spans="1:14" x14ac:dyDescent="0.25">
      <c r="A27" t="s">
        <v>9</v>
      </c>
      <c r="B27" s="6">
        <f t="shared" si="3"/>
        <v>-112560.083841115</v>
      </c>
      <c r="C27" s="6">
        <f t="shared" si="3"/>
        <v>7617.0945780759976</v>
      </c>
      <c r="D27" s="5">
        <f t="shared" si="4"/>
        <v>-14.777298967127511</v>
      </c>
      <c r="E27" s="6">
        <f t="shared" si="5"/>
        <v>-104942.98926303901</v>
      </c>
      <c r="F27" s="6">
        <f t="shared" si="6"/>
        <v>-20252.154009836198</v>
      </c>
      <c r="G27" s="6">
        <f t="shared" si="6"/>
        <v>3393.6502690387988</v>
      </c>
      <c r="H27" s="5">
        <f t="shared" si="7"/>
        <v>-5.967660897353551</v>
      </c>
      <c r="I27" s="6">
        <f t="shared" si="8"/>
        <v>-16858.503740797401</v>
      </c>
      <c r="J27" s="6">
        <f t="shared" si="9"/>
        <v>-7133.5598014398502</v>
      </c>
      <c r="K27" s="6">
        <f t="shared" si="9"/>
        <v>2320.9136639806002</v>
      </c>
      <c r="L27" s="5">
        <f t="shared" si="10"/>
        <v>-3.0735998120693031</v>
      </c>
      <c r="M27" s="6">
        <f t="shared" si="11"/>
        <v>-4812.64613745925</v>
      </c>
      <c r="N27" t="s">
        <v>24</v>
      </c>
    </row>
    <row r="28" spans="1:14" x14ac:dyDescent="0.25">
      <c r="A28" t="s">
        <v>10</v>
      </c>
      <c r="B28" s="6">
        <f t="shared" si="3"/>
        <v>-20612.841126253501</v>
      </c>
      <c r="C28" s="6">
        <f t="shared" si="3"/>
        <v>30693.055206306002</v>
      </c>
      <c r="D28" s="5">
        <f t="shared" si="4"/>
        <v>-0.67157997102935896</v>
      </c>
      <c r="E28" s="6">
        <f t="shared" si="5"/>
        <v>10080.214080052501</v>
      </c>
      <c r="F28" s="6">
        <f t="shared" si="6"/>
        <v>-2555.2191726661399</v>
      </c>
      <c r="G28" s="6">
        <f t="shared" si="6"/>
        <v>20786.948308100502</v>
      </c>
      <c r="H28" s="5">
        <f t="shared" si="7"/>
        <v>-0.12292420872910874</v>
      </c>
      <c r="I28" s="6">
        <f t="shared" si="8"/>
        <v>18231.729135434362</v>
      </c>
      <c r="J28" s="6">
        <f t="shared" si="9"/>
        <v>-817.00285092435604</v>
      </c>
      <c r="K28" s="6">
        <f t="shared" si="9"/>
        <v>16421.3973224113</v>
      </c>
      <c r="L28" s="5">
        <f t="shared" si="10"/>
        <v>-4.9752334401491009E-2</v>
      </c>
      <c r="M28" s="6">
        <f t="shared" si="11"/>
        <v>15604.394471486943</v>
      </c>
      <c r="N28" t="s">
        <v>24</v>
      </c>
    </row>
    <row r="29" spans="1:14" x14ac:dyDescent="0.25">
      <c r="A29" t="s">
        <v>11</v>
      </c>
      <c r="B29" s="6">
        <f t="shared" si="3"/>
        <v>33750.559282223403</v>
      </c>
      <c r="C29" s="6">
        <f t="shared" si="3"/>
        <v>897184.83790330926</v>
      </c>
      <c r="D29" s="5">
        <f t="shared" si="4"/>
        <v>3.7618289851060485E-2</v>
      </c>
      <c r="E29" s="6">
        <f t="shared" si="5"/>
        <v>930935.39718553261</v>
      </c>
      <c r="F29" s="6">
        <f t="shared" si="6"/>
        <v>5157.5221174354301</v>
      </c>
      <c r="G29" s="6">
        <f t="shared" si="6"/>
        <v>223006.96647797531</v>
      </c>
      <c r="H29" s="5">
        <f t="shared" si="7"/>
        <v>2.3127179383182182E-2</v>
      </c>
      <c r="I29" s="6">
        <f t="shared" si="8"/>
        <v>228164.48859541074</v>
      </c>
      <c r="J29" s="6">
        <f t="shared" si="9"/>
        <v>-354.46081332431601</v>
      </c>
      <c r="K29" s="6">
        <f t="shared" si="9"/>
        <v>102117.74233803569</v>
      </c>
      <c r="L29" s="5">
        <f t="shared" si="10"/>
        <v>-3.4710991959747855E-3</v>
      </c>
      <c r="M29" s="6">
        <f t="shared" si="11"/>
        <v>101763.28152471138</v>
      </c>
      <c r="N29" t="s">
        <v>24</v>
      </c>
    </row>
    <row r="30" spans="1:14" x14ac:dyDescent="0.25">
      <c r="A30" t="s">
        <v>12</v>
      </c>
      <c r="B30" s="6">
        <f t="shared" si="3"/>
        <v>-22101.075343330998</v>
      </c>
      <c r="C30" s="6">
        <f t="shared" si="3"/>
        <v>11308.175805299899</v>
      </c>
      <c r="D30" s="5">
        <f t="shared" si="4"/>
        <v>-1.954433298867948</v>
      </c>
      <c r="E30" s="6">
        <f t="shared" si="5"/>
        <v>-10792.899538031099</v>
      </c>
      <c r="F30" s="6">
        <f t="shared" si="6"/>
        <v>-2707.91448460225</v>
      </c>
      <c r="G30" s="6">
        <f t="shared" si="6"/>
        <v>6329.0725084344012</v>
      </c>
      <c r="H30" s="5">
        <f t="shared" si="7"/>
        <v>-0.42785328829675495</v>
      </c>
      <c r="I30" s="6">
        <f t="shared" si="8"/>
        <v>3621.1580238321512</v>
      </c>
      <c r="J30" s="6">
        <f t="shared" si="9"/>
        <v>-692.01167725153198</v>
      </c>
      <c r="K30" s="6">
        <f t="shared" si="9"/>
        <v>4294.0256378068007</v>
      </c>
      <c r="L30" s="5">
        <f t="shared" si="10"/>
        <v>-0.16115685736915653</v>
      </c>
      <c r="M30" s="6">
        <f t="shared" si="11"/>
        <v>3602.0139605552686</v>
      </c>
      <c r="N30" t="s">
        <v>24</v>
      </c>
    </row>
    <row r="31" spans="1:14" x14ac:dyDescent="0.25">
      <c r="A31" t="s">
        <v>55</v>
      </c>
      <c r="B31" s="6">
        <f t="shared" si="3"/>
        <v>-343064.27648368402</v>
      </c>
      <c r="C31" s="6">
        <f t="shared" si="3"/>
        <v>79712.141348113393</v>
      </c>
      <c r="D31" s="5">
        <f t="shared" si="4"/>
        <v>-4.3037894940681278</v>
      </c>
      <c r="E31" s="6">
        <f t="shared" si="5"/>
        <v>-263352.13513557066</v>
      </c>
      <c r="F31" s="6">
        <f t="shared" si="6"/>
        <v>-100078.99781724501</v>
      </c>
      <c r="G31" s="6">
        <f t="shared" si="6"/>
        <v>33740.132463993199</v>
      </c>
      <c r="H31" s="5">
        <f t="shared" si="7"/>
        <v>-2.966170862667695</v>
      </c>
      <c r="I31" s="6">
        <f t="shared" si="8"/>
        <v>-66338.865353251807</v>
      </c>
      <c r="J31" s="6">
        <f t="shared" si="9"/>
        <v>-49751.588765194501</v>
      </c>
      <c r="K31" s="6">
        <f t="shared" si="9"/>
        <v>17341.505146567601</v>
      </c>
      <c r="L31" s="5">
        <f t="shared" si="10"/>
        <v>-2.8689314073203054</v>
      </c>
      <c r="M31" s="6">
        <f t="shared" si="11"/>
        <v>-32410.083618626901</v>
      </c>
      <c r="N31" t="s">
        <v>24</v>
      </c>
    </row>
    <row r="33" spans="1:11" x14ac:dyDescent="0.25">
      <c r="A33" t="s">
        <v>13</v>
      </c>
      <c r="B33" t="s">
        <v>61</v>
      </c>
      <c r="C33" t="s">
        <v>62</v>
      </c>
      <c r="F33" t="s">
        <v>63</v>
      </c>
      <c r="G33" t="s">
        <v>64</v>
      </c>
      <c r="J33" t="s">
        <v>65</v>
      </c>
      <c r="K33" t="s">
        <v>66</v>
      </c>
    </row>
    <row r="34" spans="1:11" x14ac:dyDescent="0.25">
      <c r="B34" s="1">
        <v>0</v>
      </c>
      <c r="C34" s="1">
        <v>16454.604553368801</v>
      </c>
      <c r="F34" s="1">
        <v>0</v>
      </c>
      <c r="G34" s="1">
        <v>12922.5120645157</v>
      </c>
      <c r="J34" s="1">
        <v>0</v>
      </c>
      <c r="K34" s="1">
        <v>10988.815786839299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N30"/>
  <sheetViews>
    <sheetView tabSelected="1" workbookViewId="0">
      <selection activeCell="H4" sqref="H4"/>
    </sheetView>
  </sheetViews>
  <sheetFormatPr defaultRowHeight="15" x14ac:dyDescent="0.25"/>
  <cols>
    <col min="3" max="3" width="15.140625" bestFit="1" customWidth="1"/>
    <col min="4" max="4" width="12.85546875" bestFit="1" customWidth="1"/>
    <col min="6" max="7" width="11.5703125" bestFit="1" customWidth="1"/>
    <col min="8" max="8" width="10.5703125" bestFit="1" customWidth="1"/>
    <col min="9" max="9" width="12.5703125" bestFit="1" customWidth="1"/>
  </cols>
  <sheetData>
    <row r="1" spans="1:10" x14ac:dyDescent="0.25">
      <c r="A1" t="str">
        <f>Low!A1</f>
        <v>Scenario</v>
      </c>
      <c r="B1" t="s">
        <v>28</v>
      </c>
      <c r="C1" t="str">
        <f>Low!F1</f>
        <v>Benefits | 12.0%</v>
      </c>
      <c r="D1" t="str">
        <f>Low!G1</f>
        <v>Costs | 12.0%</v>
      </c>
      <c r="F1" t="s">
        <v>56</v>
      </c>
      <c r="G1" t="s">
        <v>57</v>
      </c>
      <c r="H1" t="s">
        <v>58</v>
      </c>
      <c r="I1" t="s">
        <v>55</v>
      </c>
      <c r="J1" t="s">
        <v>28</v>
      </c>
    </row>
    <row r="2" spans="1:10" x14ac:dyDescent="0.25">
      <c r="A2" t="str">
        <f>Low!A2</f>
        <v>45Q-2040</v>
      </c>
      <c r="B2" t="s">
        <v>59</v>
      </c>
      <c r="C2" s="1">
        <f>Low!F2</f>
        <v>-11644.658803537901</v>
      </c>
      <c r="D2" s="1">
        <f>Low!G2</f>
        <v>32506.920082813402</v>
      </c>
      <c r="G2" s="1">
        <f>C2</f>
        <v>-11644.658803537901</v>
      </c>
    </row>
    <row r="3" spans="1:10" x14ac:dyDescent="0.25">
      <c r="A3" t="str">
        <f>Low!A3</f>
        <v>45Q-2050</v>
      </c>
      <c r="B3" t="s">
        <v>59</v>
      </c>
      <c r="C3" s="1">
        <f>Low!F3</f>
        <v>-30848.8092279228</v>
      </c>
      <c r="D3" s="1">
        <f>Low!G3</f>
        <v>68806.729018270402</v>
      </c>
      <c r="G3" s="1">
        <f t="shared" ref="G3:G5" si="0">C3</f>
        <v>-30848.8092279228</v>
      </c>
    </row>
    <row r="4" spans="1:10" x14ac:dyDescent="0.25">
      <c r="A4" t="str">
        <f>Low!A4</f>
        <v>CDRIA-2035</v>
      </c>
      <c r="B4" t="s">
        <v>59</v>
      </c>
      <c r="C4" s="1">
        <f>Low!F4</f>
        <v>-48889.259790475502</v>
      </c>
      <c r="D4" s="1">
        <f>Low!G4</f>
        <v>28709.564463483799</v>
      </c>
      <c r="G4" s="1">
        <f t="shared" si="0"/>
        <v>-48889.259790475502</v>
      </c>
    </row>
    <row r="5" spans="1:10" x14ac:dyDescent="0.25">
      <c r="A5" t="str">
        <f>Low!A5</f>
        <v>CDRIA-2050</v>
      </c>
      <c r="B5" t="s">
        <v>59</v>
      </c>
      <c r="C5" s="1">
        <f>Low!F5</f>
        <v>-124837.11295495099</v>
      </c>
      <c r="D5" s="1">
        <f>Low!G5</f>
        <v>125786.37310764899</v>
      </c>
      <c r="G5" s="1">
        <f t="shared" si="0"/>
        <v>-124837.11295495099</v>
      </c>
    </row>
    <row r="6" spans="1:10" x14ac:dyDescent="0.25">
      <c r="A6" t="str">
        <f>Low!A6</f>
        <v>Innovation-DACHubs</v>
      </c>
      <c r="B6" t="s">
        <v>59</v>
      </c>
      <c r="C6" s="1">
        <f>Low!F6</f>
        <v>-5718.2312864800897</v>
      </c>
      <c r="D6" s="1">
        <f>Low!G6</f>
        <v>15677.5227380697</v>
      </c>
      <c r="F6" s="1">
        <f>C6</f>
        <v>-5718.2312864800897</v>
      </c>
    </row>
    <row r="7" spans="1:10" x14ac:dyDescent="0.25">
      <c r="A7" t="str">
        <f>Low!A7</f>
        <v>Innovation-maintain</v>
      </c>
      <c r="B7" t="s">
        <v>59</v>
      </c>
      <c r="C7" s="1">
        <f>Low!F7</f>
        <v>-6100.3980291768003</v>
      </c>
      <c r="D7" s="1">
        <f>Low!G7</f>
        <v>12692.2292408466</v>
      </c>
      <c r="F7" s="1">
        <f t="shared" ref="F7:F10" si="1">C7</f>
        <v>-6100.3980291768003</v>
      </c>
    </row>
    <row r="8" spans="1:10" x14ac:dyDescent="0.25">
      <c r="A8" t="str">
        <f>Low!A8</f>
        <v>Innovation-rhodium18b</v>
      </c>
      <c r="B8" t="s">
        <v>59</v>
      </c>
      <c r="C8" s="1">
        <f>Low!F8</f>
        <v>-20972.403124771499</v>
      </c>
      <c r="D8" s="1">
        <f>Low!G8</f>
        <v>18375.511162999999</v>
      </c>
      <c r="F8" s="1">
        <f t="shared" si="1"/>
        <v>-20972.403124771499</v>
      </c>
    </row>
    <row r="9" spans="1:10" x14ac:dyDescent="0.25">
      <c r="A9" t="str">
        <f>Low!A9</f>
        <v>Innovation-rhodium6b</v>
      </c>
      <c r="B9" t="s">
        <v>59</v>
      </c>
      <c r="C9" s="1">
        <f>Low!F9</f>
        <v>-9175.9801601351992</v>
      </c>
      <c r="D9" s="1">
        <f>Low!G9</f>
        <v>13838.706423644</v>
      </c>
      <c r="F9" s="1">
        <f t="shared" si="1"/>
        <v>-9175.9801601351992</v>
      </c>
    </row>
    <row r="10" spans="1:10" x14ac:dyDescent="0.25">
      <c r="A10" t="str">
        <f>Low!A10</f>
        <v>Innovation-triple</v>
      </c>
      <c r="B10" t="s">
        <v>59</v>
      </c>
      <c r="C10" s="1">
        <f>Low!F10</f>
        <v>-10472.8845316388</v>
      </c>
      <c r="D10" s="1">
        <f>Low!G10</f>
        <v>14865.3551125206</v>
      </c>
      <c r="F10" s="1">
        <f t="shared" si="1"/>
        <v>-10472.8845316388</v>
      </c>
    </row>
    <row r="11" spans="1:10" x14ac:dyDescent="0.25">
      <c r="A11" t="str">
        <f>Low!A11</f>
        <v>Low Baseline</v>
      </c>
      <c r="B11" t="s">
        <v>59</v>
      </c>
      <c r="C11" s="1">
        <f>Low!F11</f>
        <v>0</v>
      </c>
      <c r="D11" s="1">
        <f>Low!G11</f>
        <v>11511.601320002699</v>
      </c>
      <c r="J11" s="1">
        <f>C11</f>
        <v>0</v>
      </c>
    </row>
    <row r="12" spans="1:10" x14ac:dyDescent="0.25">
      <c r="A12" t="str">
        <f>Low!A12</f>
        <v>Procure3B</v>
      </c>
      <c r="B12" t="s">
        <v>59</v>
      </c>
      <c r="C12" s="1">
        <f>Low!F12</f>
        <v>-32.085743248811902</v>
      </c>
      <c r="D12" s="1">
        <f>Low!G12</f>
        <v>32278.589396815001</v>
      </c>
      <c r="H12" s="1">
        <f>C12</f>
        <v>-32.085743248811902</v>
      </c>
    </row>
    <row r="13" spans="1:10" x14ac:dyDescent="0.25">
      <c r="A13" t="str">
        <f>Low!A13</f>
        <v>ProcureRhodium</v>
      </c>
      <c r="B13" t="s">
        <v>59</v>
      </c>
      <c r="C13" s="1">
        <f>Low!F13</f>
        <v>4460.6170443716501</v>
      </c>
      <c r="D13" s="1">
        <f>Low!G13</f>
        <v>222303.607323328</v>
      </c>
      <c r="H13" s="1">
        <f t="shared" ref="H13:H14" si="2">C13</f>
        <v>4460.6170443716501</v>
      </c>
    </row>
    <row r="14" spans="1:10" x14ac:dyDescent="0.25">
      <c r="A14" t="str">
        <f>Low!A14</f>
        <v>ProcureScaling</v>
      </c>
      <c r="B14" t="s">
        <v>59</v>
      </c>
      <c r="C14" s="1">
        <f>Low!F14</f>
        <v>-184.162683612303</v>
      </c>
      <c r="D14" s="1">
        <f>Low!G14</f>
        <v>17829.693968081301</v>
      </c>
      <c r="H14" s="1">
        <f t="shared" si="2"/>
        <v>-184.162683612303</v>
      </c>
    </row>
    <row r="15" spans="1:10" x14ac:dyDescent="0.25">
      <c r="A15" t="str">
        <f>Low!A15</f>
        <v>Optimal</v>
      </c>
      <c r="B15" t="s">
        <v>59</v>
      </c>
      <c r="C15" s="1">
        <f>Low!F15</f>
        <v>-55394.240300793303</v>
      </c>
      <c r="D15" s="1">
        <f>Low!G15</f>
        <v>44328.768128424897</v>
      </c>
      <c r="I15" s="1">
        <f>C15</f>
        <v>-55394.240300793303</v>
      </c>
    </row>
    <row r="16" spans="1:10" x14ac:dyDescent="0.25">
      <c r="A16" t="str">
        <f>High!A2</f>
        <v>45Q-2040</v>
      </c>
      <c r="B16" t="s">
        <v>32</v>
      </c>
      <c r="C16" s="1">
        <f>High!F2</f>
        <v>-24012.4014868552</v>
      </c>
      <c r="D16" s="1">
        <f>High!G2</f>
        <v>48730.788212699401</v>
      </c>
      <c r="G16" s="1">
        <f>C16</f>
        <v>-24012.4014868552</v>
      </c>
    </row>
    <row r="17" spans="1:14" x14ac:dyDescent="0.25">
      <c r="A17" t="str">
        <f>High!A3</f>
        <v>45Q-2050</v>
      </c>
      <c r="B17" t="s">
        <v>32</v>
      </c>
      <c r="C17" s="1">
        <f>High!F3</f>
        <v>-84257.525916830593</v>
      </c>
      <c r="D17" s="1">
        <f>High!G3</f>
        <v>140944.522706794</v>
      </c>
      <c r="G17" s="1">
        <f t="shared" ref="G17:G19" si="3">C17</f>
        <v>-84257.525916830593</v>
      </c>
    </row>
    <row r="18" spans="1:14" x14ac:dyDescent="0.25">
      <c r="A18" t="str">
        <f>High!A4</f>
        <v>CDRIA-2035</v>
      </c>
      <c r="B18" t="s">
        <v>32</v>
      </c>
      <c r="C18" s="1">
        <f>High!F4</f>
        <v>-74162.1476601756</v>
      </c>
      <c r="D18" s="1">
        <f>High!G4</f>
        <v>40207.866336966101</v>
      </c>
      <c r="G18" s="1">
        <f t="shared" si="3"/>
        <v>-74162.1476601756</v>
      </c>
    </row>
    <row r="19" spans="1:14" x14ac:dyDescent="0.25">
      <c r="A19" t="str">
        <f>High!A5</f>
        <v>CDRIA-2050</v>
      </c>
      <c r="B19" t="s">
        <v>32</v>
      </c>
      <c r="C19" s="1">
        <f>High!F5</f>
        <v>-265902.76421105402</v>
      </c>
      <c r="D19" s="1">
        <f>High!G5</f>
        <v>266640.44285571203</v>
      </c>
      <c r="G19" s="1">
        <f t="shared" si="3"/>
        <v>-265902.76421105402</v>
      </c>
    </row>
    <row r="20" spans="1:14" x14ac:dyDescent="0.25">
      <c r="A20" t="str">
        <f>High!A6</f>
        <v>High Baseline</v>
      </c>
      <c r="B20" t="s">
        <v>32</v>
      </c>
      <c r="C20" s="1">
        <f>High!F6</f>
        <v>0</v>
      </c>
      <c r="D20" s="1">
        <f>High!G6</f>
        <v>12922.5120645157</v>
      </c>
      <c r="J20" s="1">
        <f>C20</f>
        <v>0</v>
      </c>
    </row>
    <row r="21" spans="1:14" x14ac:dyDescent="0.25">
      <c r="A21" t="str">
        <f>High!A7</f>
        <v>Innovation-DACHubs</v>
      </c>
      <c r="B21" t="s">
        <v>32</v>
      </c>
      <c r="C21" s="1">
        <f>High!F7</f>
        <v>-14041.807010664401</v>
      </c>
      <c r="D21" s="1">
        <f>High!G7</f>
        <v>17381.240704187301</v>
      </c>
      <c r="F21" s="1">
        <f>C21</f>
        <v>-14041.807010664401</v>
      </c>
    </row>
    <row r="22" spans="1:14" x14ac:dyDescent="0.25">
      <c r="A22" t="str">
        <f>High!A8</f>
        <v>Innovation-maintain</v>
      </c>
      <c r="B22" t="s">
        <v>32</v>
      </c>
      <c r="C22" s="1">
        <f>High!F8</f>
        <v>-12795.920628411601</v>
      </c>
      <c r="D22" s="1">
        <f>High!G8</f>
        <v>14128.7206300791</v>
      </c>
      <c r="F22" s="1">
        <f t="shared" ref="F22:F25" si="4">C22</f>
        <v>-12795.920628411601</v>
      </c>
    </row>
    <row r="23" spans="1:14" x14ac:dyDescent="0.25">
      <c r="A23" t="str">
        <f>High!A9</f>
        <v>Innovation-rhodium18b</v>
      </c>
      <c r="B23" t="s">
        <v>32</v>
      </c>
      <c r="C23" s="1">
        <f>High!F9</f>
        <v>-38626.101035459098</v>
      </c>
      <c r="D23" s="1">
        <f>High!G9</f>
        <v>19876.195905398199</v>
      </c>
      <c r="F23" s="1">
        <f t="shared" si="4"/>
        <v>-38626.101035459098</v>
      </c>
    </row>
    <row r="24" spans="1:14" x14ac:dyDescent="0.25">
      <c r="A24" t="str">
        <f>High!A10</f>
        <v>Innovation-rhodium6b</v>
      </c>
      <c r="B24" t="s">
        <v>32</v>
      </c>
      <c r="C24" s="1">
        <f>High!F10</f>
        <v>-17986.986790839499</v>
      </c>
      <c r="D24" s="1">
        <f>High!G10</f>
        <v>15287.094538355101</v>
      </c>
      <c r="F24" s="1">
        <f t="shared" si="4"/>
        <v>-17986.986790839499</v>
      </c>
    </row>
    <row r="25" spans="1:14" x14ac:dyDescent="0.25">
      <c r="A25" t="str">
        <f>High!A11</f>
        <v>Innovation-triple</v>
      </c>
      <c r="B25" t="s">
        <v>32</v>
      </c>
      <c r="C25" s="1">
        <f>High!F11</f>
        <v>-20252.154009836198</v>
      </c>
      <c r="D25" s="1">
        <f>High!G11</f>
        <v>16316.162333554499</v>
      </c>
      <c r="F25" s="1">
        <f t="shared" si="4"/>
        <v>-20252.154009836198</v>
      </c>
    </row>
    <row r="26" spans="1:14" x14ac:dyDescent="0.25">
      <c r="A26" t="str">
        <f>High!A12</f>
        <v>Procure3B</v>
      </c>
      <c r="B26" t="s">
        <v>32</v>
      </c>
      <c r="C26" s="1">
        <f>High!F12</f>
        <v>-2555.2191726661399</v>
      </c>
      <c r="D26" s="1">
        <f>High!G12</f>
        <v>33709.460372616202</v>
      </c>
      <c r="H26" s="1">
        <f>C26</f>
        <v>-2555.2191726661399</v>
      </c>
    </row>
    <row r="27" spans="1:14" x14ac:dyDescent="0.25">
      <c r="A27" t="str">
        <f>High!A13</f>
        <v>ProcureRhodium</v>
      </c>
      <c r="B27" t="s">
        <v>32</v>
      </c>
      <c r="C27" s="1">
        <f>High!F13</f>
        <v>5157.5221174354301</v>
      </c>
      <c r="D27" s="1">
        <f>High!G13</f>
        <v>235929.47854249101</v>
      </c>
      <c r="H27" s="1">
        <f t="shared" ref="H27:H28" si="5">C27</f>
        <v>5157.5221174354301</v>
      </c>
    </row>
    <row r="28" spans="1:14" x14ac:dyDescent="0.25">
      <c r="A28" t="str">
        <f>High!A14</f>
        <v>ProcureScaling</v>
      </c>
      <c r="B28" t="s">
        <v>32</v>
      </c>
      <c r="C28" s="1">
        <f>High!F14</f>
        <v>-2707.91448460225</v>
      </c>
      <c r="D28" s="1">
        <f>High!G14</f>
        <v>19251.584572950102</v>
      </c>
      <c r="H28" s="1">
        <f t="shared" si="5"/>
        <v>-2707.91448460225</v>
      </c>
    </row>
    <row r="29" spans="1:14" x14ac:dyDescent="0.25">
      <c r="A29" t="str">
        <f>High!A15</f>
        <v>Optimal</v>
      </c>
      <c r="B29" t="s">
        <v>32</v>
      </c>
      <c r="C29" s="1">
        <f>High!F15</f>
        <v>-100078.99781724501</v>
      </c>
      <c r="D29" s="1">
        <f>High!G15</f>
        <v>46662.644528508899</v>
      </c>
      <c r="I29" s="1">
        <f>C29</f>
        <v>-100078.99781724501</v>
      </c>
      <c r="L29">
        <v>1990</v>
      </c>
      <c r="M29">
        <v>2025</v>
      </c>
      <c r="N29" t="s">
        <v>68</v>
      </c>
    </row>
    <row r="30" spans="1:14" x14ac:dyDescent="0.25">
      <c r="L30" t="s">
        <v>67</v>
      </c>
      <c r="M30">
        <v>1990</v>
      </c>
      <c r="N30" t="s">
        <v>69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J58"/>
  <sheetViews>
    <sheetView workbookViewId="0">
      <selection activeCell="L2" sqref="L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23.28515625" customWidth="1"/>
    <col min="4" max="4" width="23.5703125" customWidth="1"/>
  </cols>
  <sheetData>
    <row r="1" spans="1:10" x14ac:dyDescent="0.25">
      <c r="A1" t="s">
        <v>0</v>
      </c>
      <c r="B1" t="s">
        <v>28</v>
      </c>
      <c r="C1" t="s">
        <v>42</v>
      </c>
      <c r="D1" t="s">
        <v>52</v>
      </c>
      <c r="E1" t="s">
        <v>34</v>
      </c>
      <c r="F1" t="s">
        <v>51</v>
      </c>
      <c r="G1" t="s">
        <v>35</v>
      </c>
      <c r="H1" t="s">
        <v>53</v>
      </c>
      <c r="I1" t="s">
        <v>50</v>
      </c>
      <c r="J1" t="s">
        <v>43</v>
      </c>
    </row>
    <row r="2" spans="1:10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</row>
    <row r="3" spans="1:10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0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0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0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</row>
    <row r="7" spans="1:10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</row>
    <row r="8" spans="1:10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0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0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0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0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0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0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0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0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54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54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t="str">
        <f>A1</f>
        <v>Scenario</v>
      </c>
      <c r="B31" t="str">
        <f>B1</f>
        <v>Baseline</v>
      </c>
      <c r="C31" t="str">
        <f>D1</f>
        <v>Cost Decrease necessary in NPV of CDR market | 2.0% discount rate</v>
      </c>
      <c r="D31" t="str">
        <f>I1</f>
        <v>Cost Decrease necessary in size of the CDR market in 2050</v>
      </c>
      <c r="E31" t="s">
        <v>56</v>
      </c>
      <c r="F31" t="s">
        <v>57</v>
      </c>
      <c r="G31" t="s">
        <v>58</v>
      </c>
      <c r="H31" t="s">
        <v>55</v>
      </c>
      <c r="I31" t="s">
        <v>28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I32">
        <f>C32</f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9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9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9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9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9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9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9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9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9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9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G1" sqref="G1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12.7109375" bestFit="1" customWidth="1"/>
    <col min="4" max="4" width="13.85546875" bestFit="1" customWidth="1"/>
    <col min="5" max="5" width="17.7109375" bestFit="1" customWidth="1"/>
    <col min="6" max="6" width="25.5703125" bestFit="1" customWidth="1"/>
    <col min="7" max="7" width="20.85546875" bestFit="1" customWidth="1"/>
    <col min="8" max="8" width="28.7109375" bestFit="1" customWidth="1"/>
    <col min="11" max="11" width="22.85546875" bestFit="1" customWidth="1"/>
    <col min="14" max="14" width="26" bestFit="1" customWidth="1"/>
  </cols>
  <sheetData>
    <row r="1" spans="1:15" x14ac:dyDescent="0.25">
      <c r="A1" t="s">
        <v>0</v>
      </c>
      <c r="B1" t="s">
        <v>28</v>
      </c>
      <c r="C1" t="s">
        <v>36</v>
      </c>
      <c r="D1" t="s">
        <v>37</v>
      </c>
      <c r="E1" t="s">
        <v>48</v>
      </c>
      <c r="F1" t="s">
        <v>49</v>
      </c>
      <c r="G1" t="s">
        <v>46</v>
      </c>
      <c r="H1" t="s">
        <v>47</v>
      </c>
      <c r="K1" s="3" t="s">
        <v>44</v>
      </c>
      <c r="L1">
        <f>CORREL(D2:D23,F2:F23)</f>
        <v>0.67272727272727262</v>
      </c>
      <c r="N1" s="3" t="s">
        <v>45</v>
      </c>
      <c r="O1">
        <f>CORREL(C2:C23,H2:H23)</f>
        <v>3.8878507412835051E-2</v>
      </c>
    </row>
    <row r="2" spans="1:15" x14ac:dyDescent="0.25">
      <c r="A2" t="s">
        <v>2</v>
      </c>
      <c r="B2" t="s">
        <v>32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32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32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32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32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32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32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32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32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32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32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30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30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30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30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30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30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30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30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30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30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30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Sheet1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2026-01-21T19:39:36Z</dcterms:modified>
</cp:coreProperties>
</file>