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99BCAFAF-FC8C-4A8E-A96D-D06598DE66D7}" xr6:coauthVersionLast="47" xr6:coauthVersionMax="47" xr10:uidLastSave="{00000000-0000-0000-0000-000000000000}"/>
  <bookViews>
    <workbookView xWindow="-120" yWindow="-120" windowWidth="29040" windowHeight="17520" activeTab="2" xr2:uid="{5B094011-67C9-461D-BBBF-A6D3FE50B4AB}"/>
  </bookViews>
  <sheets>
    <sheet name="Low" sheetId="1" r:id="rId1"/>
    <sheet name="High" sheetId="2" r:id="rId2"/>
    <sheet name="Sheet1" sheetId="5" r:id="rId3"/>
    <sheet name="Net-Zero Mandate" sheetId="3" r:id="rId4"/>
    <sheet name="Counterproductive Intervention" sheetId="4" r:id="rId5"/>
  </sheets>
  <definedNames>
    <definedName name="_xlnm._FilterDatabase" localSheetId="4" hidden="1">'Counterproductive Intervention'!$A$1:$H$23</definedName>
    <definedName name="_xlnm._FilterDatabase" localSheetId="1" hidden="1">High!$A$1:$N$1</definedName>
    <definedName name="_xlnm._FilterDatabase" localSheetId="0" hidden="1">Low!$A$1:$N$1</definedName>
    <definedName name="_xlnm._FilterDatabase" localSheetId="3" hidden="1">'Net-Zero Mandate'!$A$1:$H$26</definedName>
    <definedName name="_xlchart.v1.0" hidden="1">'Net-Zero Mandate'!$A$2:$B$28</definedName>
    <definedName name="_xlchart.v1.1" hidden="1">'Net-Zero Mandate'!$D$1</definedName>
    <definedName name="_xlchart.v1.2" hidden="1">'Net-Zero Mandate'!$D$2:$D$28</definedName>
    <definedName name="_xlchart.v1.3" hidden="1">'Net-Zero Mandate'!$F$1</definedName>
    <definedName name="_xlchart.v1.4" hidden="1">'Net-Zero Mandate'!$F$2:$F$28</definedName>
    <definedName name="_xlchart.v1.5" hidden="1">'Net-Zero Mandate'!$H$1</definedName>
    <definedName name="_xlchart.v1.6" hidden="1">'Net-Zero Mandate'!$H$2:$H$28</definedName>
    <definedName name="_xlchart.v1.7" hidden="1">'Net-Zero Mandate'!$I$1</definedName>
    <definedName name="_xlchart.v1.8" hidden="1">'Net-Zero Mandate'!$I$2:$I$28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" i="5" l="1"/>
  <c r="H28" i="5"/>
  <c r="H26" i="5"/>
  <c r="H13" i="5"/>
  <c r="H14" i="5"/>
  <c r="H12" i="5"/>
  <c r="J20" i="5"/>
  <c r="J11" i="5"/>
  <c r="I29" i="5"/>
  <c r="I15" i="5"/>
  <c r="G19" i="5"/>
  <c r="G18" i="5"/>
  <c r="G17" i="5"/>
  <c r="G16" i="5"/>
  <c r="G3" i="5"/>
  <c r="G4" i="5"/>
  <c r="G5" i="5"/>
  <c r="G2" i="5"/>
  <c r="F22" i="5"/>
  <c r="F23" i="5"/>
  <c r="F24" i="5"/>
  <c r="F25" i="5"/>
  <c r="F21" i="5"/>
  <c r="F7" i="5"/>
  <c r="F8" i="5"/>
  <c r="F9" i="5"/>
  <c r="F10" i="5"/>
  <c r="F6" i="5"/>
  <c r="C17" i="5"/>
  <c r="D17" i="5"/>
  <c r="C18" i="5"/>
  <c r="D18" i="5"/>
  <c r="C19" i="5"/>
  <c r="D19" i="5"/>
  <c r="C20" i="5"/>
  <c r="D20" i="5"/>
  <c r="C21" i="5"/>
  <c r="D21" i="5"/>
  <c r="C22" i="5"/>
  <c r="D22" i="5"/>
  <c r="C23" i="5"/>
  <c r="D23" i="5"/>
  <c r="C24" i="5"/>
  <c r="D24" i="5"/>
  <c r="C25" i="5"/>
  <c r="D25" i="5"/>
  <c r="C26" i="5"/>
  <c r="D26" i="5"/>
  <c r="C27" i="5"/>
  <c r="D27" i="5"/>
  <c r="C28" i="5"/>
  <c r="D28" i="5"/>
  <c r="C29" i="5"/>
  <c r="D29" i="5"/>
  <c r="D16" i="5"/>
  <c r="C16" i="5"/>
  <c r="C2" i="5"/>
  <c r="D2" i="5"/>
  <c r="C3" i="5"/>
  <c r="D3" i="5"/>
  <c r="C4" i="5"/>
  <c r="D4" i="5"/>
  <c r="C5" i="5"/>
  <c r="D5" i="5"/>
  <c r="C6" i="5"/>
  <c r="D6" i="5"/>
  <c r="C7" i="5"/>
  <c r="D7" i="5"/>
  <c r="C8" i="5"/>
  <c r="D8" i="5"/>
  <c r="C9" i="5"/>
  <c r="D9" i="5"/>
  <c r="C10" i="5"/>
  <c r="D10" i="5"/>
  <c r="C11" i="5"/>
  <c r="D11" i="5"/>
  <c r="C12" i="5"/>
  <c r="D12" i="5"/>
  <c r="C13" i="5"/>
  <c r="D13" i="5"/>
  <c r="C14" i="5"/>
  <c r="D14" i="5"/>
  <c r="C15" i="5"/>
  <c r="D15" i="5"/>
  <c r="D1" i="5"/>
  <c r="C1" i="5"/>
  <c r="A24" i="5"/>
  <c r="A25" i="5"/>
  <c r="A26" i="5"/>
  <c r="A27" i="5"/>
  <c r="A28" i="5"/>
  <c r="A29" i="5"/>
  <c r="A17" i="5"/>
  <c r="A18" i="5"/>
  <c r="A19" i="5"/>
  <c r="A20" i="5"/>
  <c r="A21" i="5"/>
  <c r="A22" i="5"/>
  <c r="A23" i="5"/>
  <c r="A16" i="5"/>
  <c r="A2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" i="5"/>
  <c r="I56" i="3"/>
  <c r="I55" i="3"/>
  <c r="I32" i="3"/>
  <c r="I46" i="3"/>
  <c r="I40" i="3"/>
  <c r="H58" i="3"/>
  <c r="H57" i="3"/>
  <c r="G54" i="3"/>
  <c r="G53" i="3"/>
  <c r="G52" i="3"/>
  <c r="G43" i="3"/>
  <c r="G42" i="3"/>
  <c r="G41" i="3"/>
  <c r="F45" i="3"/>
  <c r="F44" i="3"/>
  <c r="F34" i="3"/>
  <c r="F33" i="3"/>
  <c r="E48" i="3"/>
  <c r="E49" i="3"/>
  <c r="E50" i="3"/>
  <c r="E51" i="3"/>
  <c r="E47" i="3"/>
  <c r="E36" i="3"/>
  <c r="E37" i="3"/>
  <c r="E38" i="3"/>
  <c r="E39" i="3"/>
  <c r="E35" i="3"/>
  <c r="C31" i="3"/>
  <c r="A57" i="3"/>
  <c r="B57" i="3"/>
  <c r="C57" i="3"/>
  <c r="D57" i="3"/>
  <c r="A58" i="3"/>
  <c r="B58" i="3"/>
  <c r="C58" i="3"/>
  <c r="D58" i="3"/>
  <c r="A32" i="3"/>
  <c r="B32" i="3"/>
  <c r="C32" i="3"/>
  <c r="D32" i="3"/>
  <c r="A33" i="3"/>
  <c r="B33" i="3"/>
  <c r="C33" i="3"/>
  <c r="D33" i="3"/>
  <c r="A34" i="3"/>
  <c r="B34" i="3"/>
  <c r="C34" i="3"/>
  <c r="D34" i="3"/>
  <c r="A35" i="3"/>
  <c r="B35" i="3"/>
  <c r="C35" i="3"/>
  <c r="D35" i="3"/>
  <c r="A36" i="3"/>
  <c r="B36" i="3"/>
  <c r="C36" i="3"/>
  <c r="D36" i="3"/>
  <c r="A37" i="3"/>
  <c r="B37" i="3"/>
  <c r="C37" i="3"/>
  <c r="D37" i="3"/>
  <c r="A38" i="3"/>
  <c r="B38" i="3"/>
  <c r="C38" i="3"/>
  <c r="D38" i="3"/>
  <c r="A39" i="3"/>
  <c r="B39" i="3"/>
  <c r="C39" i="3"/>
  <c r="D39" i="3"/>
  <c r="A40" i="3"/>
  <c r="B40" i="3"/>
  <c r="C40" i="3"/>
  <c r="D40" i="3"/>
  <c r="A41" i="3"/>
  <c r="B41" i="3"/>
  <c r="C41" i="3"/>
  <c r="D41" i="3"/>
  <c r="A42" i="3"/>
  <c r="B42" i="3"/>
  <c r="C42" i="3"/>
  <c r="D42" i="3"/>
  <c r="A43" i="3"/>
  <c r="B43" i="3"/>
  <c r="C43" i="3"/>
  <c r="D43" i="3"/>
  <c r="A44" i="3"/>
  <c r="B44" i="3"/>
  <c r="C44" i="3"/>
  <c r="D44" i="3"/>
  <c r="A45" i="3"/>
  <c r="B45" i="3"/>
  <c r="C45" i="3"/>
  <c r="D45" i="3"/>
  <c r="A46" i="3"/>
  <c r="B46" i="3"/>
  <c r="C46" i="3"/>
  <c r="D46" i="3"/>
  <c r="A47" i="3"/>
  <c r="B47" i="3"/>
  <c r="C47" i="3"/>
  <c r="D47" i="3"/>
  <c r="A48" i="3"/>
  <c r="B48" i="3"/>
  <c r="C48" i="3"/>
  <c r="D48" i="3"/>
  <c r="A49" i="3"/>
  <c r="B49" i="3"/>
  <c r="C49" i="3"/>
  <c r="D49" i="3"/>
  <c r="A50" i="3"/>
  <c r="B50" i="3"/>
  <c r="C50" i="3"/>
  <c r="D50" i="3"/>
  <c r="A51" i="3"/>
  <c r="B51" i="3"/>
  <c r="C51" i="3"/>
  <c r="D51" i="3"/>
  <c r="A52" i="3"/>
  <c r="B52" i="3"/>
  <c r="C52" i="3"/>
  <c r="D52" i="3"/>
  <c r="A53" i="3"/>
  <c r="B53" i="3"/>
  <c r="C53" i="3"/>
  <c r="D53" i="3"/>
  <c r="A54" i="3"/>
  <c r="B54" i="3"/>
  <c r="C54" i="3"/>
  <c r="D54" i="3"/>
  <c r="A55" i="3"/>
  <c r="B55" i="3"/>
  <c r="C55" i="3"/>
  <c r="D55" i="3"/>
  <c r="A56" i="3"/>
  <c r="B56" i="3"/>
  <c r="C56" i="3"/>
  <c r="D56" i="3"/>
  <c r="D31" i="3"/>
  <c r="B31" i="3"/>
  <c r="A31" i="3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2" i="1"/>
  <c r="O1" i="4"/>
  <c r="L1" i="4"/>
</calcChain>
</file>

<file path=xl/sharedStrings.xml><?xml version="1.0" encoding="utf-8"?>
<sst xmlns="http://schemas.openxmlformats.org/spreadsheetml/2006/main" count="241" uniqueCount="64">
  <si>
    <t>Scenario</t>
  </si>
  <si>
    <t>45Q-2040</t>
  </si>
  <si>
    <t>45Q-2050</t>
  </si>
  <si>
    <t>CDRIA-2035</t>
  </si>
  <si>
    <t>CDRIA-2050</t>
  </si>
  <si>
    <t>Innovation-maintain</t>
  </si>
  <si>
    <t>Innovation-DACHubs</t>
  </si>
  <si>
    <t>Innovation-rhodium6b</t>
  </si>
  <si>
    <t>Innovation-rhodium18b</t>
  </si>
  <si>
    <t>Innovation-triple</t>
  </si>
  <si>
    <t>Procure3B</t>
  </si>
  <si>
    <t>ProcureRhodium</t>
  </si>
  <si>
    <t>ProcureScaling</t>
  </si>
  <si>
    <t>Low Baseline</t>
  </si>
  <si>
    <t>High Baseline</t>
  </si>
  <si>
    <t>Benefits | 3.0%</t>
  </si>
  <si>
    <t>Costs | 3.0%</t>
  </si>
  <si>
    <t>Benefits/Costs | 3.0%</t>
  </si>
  <si>
    <t>Benefits-Costs | 3.0%</t>
  </si>
  <si>
    <t>Benefits | 12.0%</t>
  </si>
  <si>
    <t>Costs | 12.0%</t>
  </si>
  <si>
    <t>Benefits/Costs | 12.0%</t>
  </si>
  <si>
    <t>Benefits-Costs | 12.0%</t>
  </si>
  <si>
    <t>Benefits | 20.0%</t>
  </si>
  <si>
    <t>Costs | 20.0%</t>
  </si>
  <si>
    <t>Benefits/Costs | 20.0%</t>
  </si>
  <si>
    <t>Benefits-Costs | 20.0%</t>
  </si>
  <si>
    <t>Units</t>
  </si>
  <si>
    <t>Million $USD or unitless</t>
  </si>
  <si>
    <t>2.4 Gt Baseline</t>
  </si>
  <si>
    <t>4.1 Gt Baseline</t>
  </si>
  <si>
    <t>100 Mt Baseline</t>
  </si>
  <si>
    <t>Baseline</t>
  </si>
  <si>
    <t>100 Mt</t>
  </si>
  <si>
    <t>500 Mt</t>
  </si>
  <si>
    <t>2.4 Gt</t>
  </si>
  <si>
    <t>1.5 Gt</t>
  </si>
  <si>
    <t>4.1 Gt</t>
  </si>
  <si>
    <t>NPV of Net Zero Mandate | 12.0% | Trillion $USD</t>
  </si>
  <si>
    <t>NPV of Net Zero Mandate | 20.0% | Trillion $USD</t>
  </si>
  <si>
    <t>B/C</t>
  </si>
  <si>
    <t>B/C Ranking</t>
  </si>
  <si>
    <t>Benefits | 2.0%</t>
  </si>
  <si>
    <t>Costs | 2.0%</t>
  </si>
  <si>
    <t>Benefits/Costs | 2.0%</t>
  </si>
  <si>
    <t>Benefits-Costs | 2.0%</t>
  </si>
  <si>
    <t>NPV of Net Zero Mandate | 2.0% | Trillion $USD</t>
  </si>
  <si>
    <t>Abatement size in 2050</t>
  </si>
  <si>
    <t>Correlation - NPV - Long</t>
  </si>
  <si>
    <t>Correlation - NPV - Medium</t>
  </si>
  <si>
    <t>NPV - Medium Term</t>
  </si>
  <si>
    <t>NPV - Medium Term Ranking</t>
  </si>
  <si>
    <t>NPV - Long Term</t>
  </si>
  <si>
    <t>NPV - Long Term Ranking</t>
  </si>
  <si>
    <t>Cost Decrease necessary in size of the CDR market in 2050</t>
  </si>
  <si>
    <t>Cost Decrease necessary in NPV of CDR market | 12.0% discount rate</t>
  </si>
  <si>
    <t>Cost Decrease necessary in NPV of CDR market | 2.0% discount rate</t>
  </si>
  <si>
    <t>Cost Decrease necessary in NPV of CDR market | 20.0% discount rate</t>
  </si>
  <si>
    <t>CDRIA-Rhodium18b</t>
  </si>
  <si>
    <t>Optimal</t>
  </si>
  <si>
    <t>Innovation</t>
  </si>
  <si>
    <t>Subsidy</t>
  </si>
  <si>
    <t>Procurement</t>
  </si>
  <si>
    <t>500Mt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</si>
</sst>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8" fontId="0" fillId="0" borderId="0" xfId="0" applyNumberFormat="1"/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Sheet1!$F$1</c:f>
              <c:strCache>
                <c:ptCount val="1"/>
                <c:pt idx="0">
                  <c:v>Innovation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Sheet1!$D$2:$D$29</c:f>
              <c:numCache>
                <c:formatCode>"$"#,##0.00_);[Red]\("$"#,##0.00\)</c:formatCode>
                <c:ptCount val="28"/>
                <c:pt idx="0">
                  <c:v>32506.920082813402</c:v>
                </c:pt>
                <c:pt idx="1">
                  <c:v>68806.729018270402</c:v>
                </c:pt>
                <c:pt idx="2">
                  <c:v>28709.564463483799</c:v>
                </c:pt>
                <c:pt idx="3">
                  <c:v>125786.37310764899</c:v>
                </c:pt>
                <c:pt idx="4">
                  <c:v>15677.5227380697</c:v>
                </c:pt>
                <c:pt idx="5">
                  <c:v>12692.2292408466</c:v>
                </c:pt>
                <c:pt idx="6">
                  <c:v>18375.511162999999</c:v>
                </c:pt>
                <c:pt idx="7">
                  <c:v>13838.706423644</c:v>
                </c:pt>
                <c:pt idx="8">
                  <c:v>14865.3551125206</c:v>
                </c:pt>
                <c:pt idx="9">
                  <c:v>11511.601320002699</c:v>
                </c:pt>
                <c:pt idx="10">
                  <c:v>32278.589396815001</c:v>
                </c:pt>
                <c:pt idx="11">
                  <c:v>222303.607323328</c:v>
                </c:pt>
                <c:pt idx="12">
                  <c:v>17829.693968081301</c:v>
                </c:pt>
                <c:pt idx="13">
                  <c:v>44328.768128424897</c:v>
                </c:pt>
                <c:pt idx="14">
                  <c:v>48730.788212699401</c:v>
                </c:pt>
                <c:pt idx="15">
                  <c:v>140944.522706794</c:v>
                </c:pt>
                <c:pt idx="16">
                  <c:v>40207.866336966101</c:v>
                </c:pt>
                <c:pt idx="17">
                  <c:v>266640.44285571203</c:v>
                </c:pt>
                <c:pt idx="18">
                  <c:v>12922.5120645157</c:v>
                </c:pt>
                <c:pt idx="19">
                  <c:v>17381.240704187301</c:v>
                </c:pt>
                <c:pt idx="20">
                  <c:v>14128.7206300791</c:v>
                </c:pt>
                <c:pt idx="21">
                  <c:v>19876.195905398199</c:v>
                </c:pt>
                <c:pt idx="22">
                  <c:v>15287.094538355101</c:v>
                </c:pt>
                <c:pt idx="23">
                  <c:v>16316.162333554499</c:v>
                </c:pt>
                <c:pt idx="24">
                  <c:v>33709.460372616202</c:v>
                </c:pt>
                <c:pt idx="25">
                  <c:v>235929.47854249101</c:v>
                </c:pt>
                <c:pt idx="26">
                  <c:v>19251.584572950102</c:v>
                </c:pt>
                <c:pt idx="27">
                  <c:v>46662.644528508899</c:v>
                </c:pt>
              </c:numCache>
            </c:numRef>
          </c:xVal>
          <c:yVal>
            <c:numRef>
              <c:f>Sheet1!$F$2:$F$29</c:f>
              <c:numCache>
                <c:formatCode>General</c:formatCode>
                <c:ptCount val="28"/>
                <c:pt idx="4" formatCode="&quot;$&quot;#,##0.00_);[Red]\(&quot;$&quot;#,##0.00\)">
                  <c:v>-5718.2312864800897</c:v>
                </c:pt>
                <c:pt idx="5" formatCode="&quot;$&quot;#,##0.00_);[Red]\(&quot;$&quot;#,##0.00\)">
                  <c:v>-6100.3980291768003</c:v>
                </c:pt>
                <c:pt idx="6" formatCode="&quot;$&quot;#,##0.00_);[Red]\(&quot;$&quot;#,##0.00\)">
                  <c:v>-20972.403124771499</c:v>
                </c:pt>
                <c:pt idx="7" formatCode="&quot;$&quot;#,##0.00_);[Red]\(&quot;$&quot;#,##0.00\)">
                  <c:v>-9175.9801601351992</c:v>
                </c:pt>
                <c:pt idx="8" formatCode="&quot;$&quot;#,##0.00_);[Red]\(&quot;$&quot;#,##0.00\)">
                  <c:v>-10472.8845316388</c:v>
                </c:pt>
                <c:pt idx="19" formatCode="&quot;$&quot;#,##0.00_);[Red]\(&quot;$&quot;#,##0.00\)">
                  <c:v>-14041.807010664401</c:v>
                </c:pt>
                <c:pt idx="20" formatCode="&quot;$&quot;#,##0.00_);[Red]\(&quot;$&quot;#,##0.00\)">
                  <c:v>-12795.920628411601</c:v>
                </c:pt>
                <c:pt idx="21" formatCode="&quot;$&quot;#,##0.00_);[Red]\(&quot;$&quot;#,##0.00\)">
                  <c:v>-38626.101035459098</c:v>
                </c:pt>
                <c:pt idx="22" formatCode="&quot;$&quot;#,##0.00_);[Red]\(&quot;$&quot;#,##0.00\)">
                  <c:v>-17986.986790839499</c:v>
                </c:pt>
                <c:pt idx="23" formatCode="&quot;$&quot;#,##0.00_);[Red]\(&quot;$&quot;#,##0.00\)">
                  <c:v>-20252.154009836198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00-4C18-854E-01D95C52F040}"/>
            </c:ext>
          </c:extLst>
        </c:ser>
        <c:ser>
          <c:idx val="1"/>
          <c:order val="1"/>
          <c:tx>
            <c:strRef>
              <c:f>Sheet1!$G$1</c:f>
              <c:strCache>
                <c:ptCount val="1"/>
                <c:pt idx="0">
                  <c:v>Subsidy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Sheet1!$D$2:$D$29</c:f>
              <c:numCache>
                <c:formatCode>"$"#,##0.00_);[Red]\("$"#,##0.00\)</c:formatCode>
                <c:ptCount val="28"/>
                <c:pt idx="0">
                  <c:v>32506.920082813402</c:v>
                </c:pt>
                <c:pt idx="1">
                  <c:v>68806.729018270402</c:v>
                </c:pt>
                <c:pt idx="2">
                  <c:v>28709.564463483799</c:v>
                </c:pt>
                <c:pt idx="3">
                  <c:v>125786.37310764899</c:v>
                </c:pt>
                <c:pt idx="4">
                  <c:v>15677.5227380697</c:v>
                </c:pt>
                <c:pt idx="5">
                  <c:v>12692.2292408466</c:v>
                </c:pt>
                <c:pt idx="6">
                  <c:v>18375.511162999999</c:v>
                </c:pt>
                <c:pt idx="7">
                  <c:v>13838.706423644</c:v>
                </c:pt>
                <c:pt idx="8">
                  <c:v>14865.3551125206</c:v>
                </c:pt>
                <c:pt idx="9">
                  <c:v>11511.601320002699</c:v>
                </c:pt>
                <c:pt idx="10">
                  <c:v>32278.589396815001</c:v>
                </c:pt>
                <c:pt idx="11">
                  <c:v>222303.607323328</c:v>
                </c:pt>
                <c:pt idx="12">
                  <c:v>17829.693968081301</c:v>
                </c:pt>
                <c:pt idx="13">
                  <c:v>44328.768128424897</c:v>
                </c:pt>
                <c:pt idx="14">
                  <c:v>48730.788212699401</c:v>
                </c:pt>
                <c:pt idx="15">
                  <c:v>140944.522706794</c:v>
                </c:pt>
                <c:pt idx="16">
                  <c:v>40207.866336966101</c:v>
                </c:pt>
                <c:pt idx="17">
                  <c:v>266640.44285571203</c:v>
                </c:pt>
                <c:pt idx="18">
                  <c:v>12922.5120645157</c:v>
                </c:pt>
                <c:pt idx="19">
                  <c:v>17381.240704187301</c:v>
                </c:pt>
                <c:pt idx="20">
                  <c:v>14128.7206300791</c:v>
                </c:pt>
                <c:pt idx="21">
                  <c:v>19876.195905398199</c:v>
                </c:pt>
                <c:pt idx="22">
                  <c:v>15287.094538355101</c:v>
                </c:pt>
                <c:pt idx="23">
                  <c:v>16316.162333554499</c:v>
                </c:pt>
                <c:pt idx="24">
                  <c:v>33709.460372616202</c:v>
                </c:pt>
                <c:pt idx="25">
                  <c:v>235929.47854249101</c:v>
                </c:pt>
                <c:pt idx="26">
                  <c:v>19251.584572950102</c:v>
                </c:pt>
                <c:pt idx="27">
                  <c:v>46662.644528508899</c:v>
                </c:pt>
              </c:numCache>
            </c:numRef>
          </c:xVal>
          <c:yVal>
            <c:numRef>
              <c:f>Sheet1!$G$2:$G$29</c:f>
              <c:numCache>
                <c:formatCode>"$"#,##0.00_);[Red]\("$"#,##0.00\)</c:formatCode>
                <c:ptCount val="28"/>
                <c:pt idx="0">
                  <c:v>-11644.658803537901</c:v>
                </c:pt>
                <c:pt idx="1">
                  <c:v>-30848.8092279228</c:v>
                </c:pt>
                <c:pt idx="2">
                  <c:v>-48889.259790475502</c:v>
                </c:pt>
                <c:pt idx="3">
                  <c:v>-124837.11295495099</c:v>
                </c:pt>
                <c:pt idx="14">
                  <c:v>-24012.4014868552</c:v>
                </c:pt>
                <c:pt idx="15">
                  <c:v>-84257.525916830593</c:v>
                </c:pt>
                <c:pt idx="16">
                  <c:v>-74162.1476601756</c:v>
                </c:pt>
                <c:pt idx="17">
                  <c:v>-265902.76421105402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00-4C18-854E-01D95C52F040}"/>
            </c:ext>
          </c:extLst>
        </c:ser>
        <c:ser>
          <c:idx val="2"/>
          <c:order val="2"/>
          <c:tx>
            <c:strRef>
              <c:f>Sheet1!$H$1</c:f>
              <c:strCache>
                <c:ptCount val="1"/>
                <c:pt idx="0">
                  <c:v>Procurement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Sheet1!$D$2:$D$29</c:f>
              <c:numCache>
                <c:formatCode>"$"#,##0.00_);[Red]\("$"#,##0.00\)</c:formatCode>
                <c:ptCount val="28"/>
                <c:pt idx="0">
                  <c:v>32506.920082813402</c:v>
                </c:pt>
                <c:pt idx="1">
                  <c:v>68806.729018270402</c:v>
                </c:pt>
                <c:pt idx="2">
                  <c:v>28709.564463483799</c:v>
                </c:pt>
                <c:pt idx="3">
                  <c:v>125786.37310764899</c:v>
                </c:pt>
                <c:pt idx="4">
                  <c:v>15677.5227380697</c:v>
                </c:pt>
                <c:pt idx="5">
                  <c:v>12692.2292408466</c:v>
                </c:pt>
                <c:pt idx="6">
                  <c:v>18375.511162999999</c:v>
                </c:pt>
                <c:pt idx="7">
                  <c:v>13838.706423644</c:v>
                </c:pt>
                <c:pt idx="8">
                  <c:v>14865.3551125206</c:v>
                </c:pt>
                <c:pt idx="9">
                  <c:v>11511.601320002699</c:v>
                </c:pt>
                <c:pt idx="10">
                  <c:v>32278.589396815001</c:v>
                </c:pt>
                <c:pt idx="11">
                  <c:v>222303.607323328</c:v>
                </c:pt>
                <c:pt idx="12">
                  <c:v>17829.693968081301</c:v>
                </c:pt>
                <c:pt idx="13">
                  <c:v>44328.768128424897</c:v>
                </c:pt>
                <c:pt idx="14">
                  <c:v>48730.788212699401</c:v>
                </c:pt>
                <c:pt idx="15">
                  <c:v>140944.522706794</c:v>
                </c:pt>
                <c:pt idx="16">
                  <c:v>40207.866336966101</c:v>
                </c:pt>
                <c:pt idx="17">
                  <c:v>266640.44285571203</c:v>
                </c:pt>
                <c:pt idx="18">
                  <c:v>12922.5120645157</c:v>
                </c:pt>
                <c:pt idx="19">
                  <c:v>17381.240704187301</c:v>
                </c:pt>
                <c:pt idx="20">
                  <c:v>14128.7206300791</c:v>
                </c:pt>
                <c:pt idx="21">
                  <c:v>19876.195905398199</c:v>
                </c:pt>
                <c:pt idx="22">
                  <c:v>15287.094538355101</c:v>
                </c:pt>
                <c:pt idx="23">
                  <c:v>16316.162333554499</c:v>
                </c:pt>
                <c:pt idx="24">
                  <c:v>33709.460372616202</c:v>
                </c:pt>
                <c:pt idx="25">
                  <c:v>235929.47854249101</c:v>
                </c:pt>
                <c:pt idx="26">
                  <c:v>19251.584572950102</c:v>
                </c:pt>
                <c:pt idx="27">
                  <c:v>46662.644528508899</c:v>
                </c:pt>
              </c:numCache>
            </c:numRef>
          </c:xVal>
          <c:yVal>
            <c:numRef>
              <c:f>Sheet1!$H$2:$H$29</c:f>
              <c:numCache>
                <c:formatCode>General</c:formatCode>
                <c:ptCount val="28"/>
                <c:pt idx="10" formatCode="&quot;$&quot;#,##0.00_);[Red]\(&quot;$&quot;#,##0.00\)">
                  <c:v>-32.085743248811902</c:v>
                </c:pt>
                <c:pt idx="11" formatCode="&quot;$&quot;#,##0.00_);[Red]\(&quot;$&quot;#,##0.00\)">
                  <c:v>4460.6170443716501</c:v>
                </c:pt>
                <c:pt idx="12" formatCode="&quot;$&quot;#,##0.00_);[Red]\(&quot;$&quot;#,##0.00\)">
                  <c:v>-184.162683612303</c:v>
                </c:pt>
                <c:pt idx="24" formatCode="&quot;$&quot;#,##0.00_);[Red]\(&quot;$&quot;#,##0.00\)">
                  <c:v>-2555.2191726661399</c:v>
                </c:pt>
                <c:pt idx="25" formatCode="&quot;$&quot;#,##0.00_);[Red]\(&quot;$&quot;#,##0.00\)">
                  <c:v>5157.5221174354301</c:v>
                </c:pt>
                <c:pt idx="26" formatCode="&quot;$&quot;#,##0.00_);[Red]\(&quot;$&quot;#,##0.00\)">
                  <c:v>-2707.91448460225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C00-4C18-854E-01D95C52F040}"/>
            </c:ext>
          </c:extLst>
        </c:ser>
        <c:ser>
          <c:idx val="3"/>
          <c:order val="3"/>
          <c:tx>
            <c:strRef>
              <c:f>Sheet1!$I$1</c:f>
              <c:strCache>
                <c:ptCount val="1"/>
                <c:pt idx="0">
                  <c:v>Optimal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Sheet1!$D$2:$D$29</c:f>
              <c:numCache>
                <c:formatCode>"$"#,##0.00_);[Red]\("$"#,##0.00\)</c:formatCode>
                <c:ptCount val="28"/>
                <c:pt idx="0">
                  <c:v>32506.920082813402</c:v>
                </c:pt>
                <c:pt idx="1">
                  <c:v>68806.729018270402</c:v>
                </c:pt>
                <c:pt idx="2">
                  <c:v>28709.564463483799</c:v>
                </c:pt>
                <c:pt idx="3">
                  <c:v>125786.37310764899</c:v>
                </c:pt>
                <c:pt idx="4">
                  <c:v>15677.5227380697</c:v>
                </c:pt>
                <c:pt idx="5">
                  <c:v>12692.2292408466</c:v>
                </c:pt>
                <c:pt idx="6">
                  <c:v>18375.511162999999</c:v>
                </c:pt>
                <c:pt idx="7">
                  <c:v>13838.706423644</c:v>
                </c:pt>
                <c:pt idx="8">
                  <c:v>14865.3551125206</c:v>
                </c:pt>
                <c:pt idx="9">
                  <c:v>11511.601320002699</c:v>
                </c:pt>
                <c:pt idx="10">
                  <c:v>32278.589396815001</c:v>
                </c:pt>
                <c:pt idx="11">
                  <c:v>222303.607323328</c:v>
                </c:pt>
                <c:pt idx="12">
                  <c:v>17829.693968081301</c:v>
                </c:pt>
                <c:pt idx="13">
                  <c:v>44328.768128424897</c:v>
                </c:pt>
                <c:pt idx="14">
                  <c:v>48730.788212699401</c:v>
                </c:pt>
                <c:pt idx="15">
                  <c:v>140944.522706794</c:v>
                </c:pt>
                <c:pt idx="16">
                  <c:v>40207.866336966101</c:v>
                </c:pt>
                <c:pt idx="17">
                  <c:v>266640.44285571203</c:v>
                </c:pt>
                <c:pt idx="18">
                  <c:v>12922.5120645157</c:v>
                </c:pt>
                <c:pt idx="19">
                  <c:v>17381.240704187301</c:v>
                </c:pt>
                <c:pt idx="20">
                  <c:v>14128.7206300791</c:v>
                </c:pt>
                <c:pt idx="21">
                  <c:v>19876.195905398199</c:v>
                </c:pt>
                <c:pt idx="22">
                  <c:v>15287.094538355101</c:v>
                </c:pt>
                <c:pt idx="23">
                  <c:v>16316.162333554499</c:v>
                </c:pt>
                <c:pt idx="24">
                  <c:v>33709.460372616202</c:v>
                </c:pt>
                <c:pt idx="25">
                  <c:v>235929.47854249101</c:v>
                </c:pt>
                <c:pt idx="26">
                  <c:v>19251.584572950102</c:v>
                </c:pt>
                <c:pt idx="27">
                  <c:v>46662.644528508899</c:v>
                </c:pt>
              </c:numCache>
            </c:numRef>
          </c:xVal>
          <c:yVal>
            <c:numRef>
              <c:f>Sheet1!$I$2:$I$29</c:f>
              <c:numCache>
                <c:formatCode>General</c:formatCode>
                <c:ptCount val="28"/>
                <c:pt idx="13" formatCode="&quot;$&quot;#,##0.00_);[Red]\(&quot;$&quot;#,##0.00\)">
                  <c:v>-55394.240300793303</c:v>
                </c:pt>
                <c:pt idx="27" formatCode="&quot;$&quot;#,##0.00_);[Red]\(&quot;$&quot;#,##0.00\)">
                  <c:v>-100078.99781724501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C00-4C18-854E-01D95C52F040}"/>
            </c:ext>
          </c:extLst>
        </c:ser>
        <c:ser>
          <c:idx val="4"/>
          <c:order val="4"/>
          <c:tx>
            <c:strRef>
              <c:f>Sheet1!$J$1</c:f>
              <c:strCache>
                <c:ptCount val="1"/>
                <c:pt idx="0">
                  <c:v>Baseline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Sheet1!$D$2:$D$29</c:f>
              <c:numCache>
                <c:formatCode>"$"#,##0.00_);[Red]\("$"#,##0.00\)</c:formatCode>
                <c:ptCount val="28"/>
                <c:pt idx="0">
                  <c:v>32506.920082813402</c:v>
                </c:pt>
                <c:pt idx="1">
                  <c:v>68806.729018270402</c:v>
                </c:pt>
                <c:pt idx="2">
                  <c:v>28709.564463483799</c:v>
                </c:pt>
                <c:pt idx="3">
                  <c:v>125786.37310764899</c:v>
                </c:pt>
                <c:pt idx="4">
                  <c:v>15677.5227380697</c:v>
                </c:pt>
                <c:pt idx="5">
                  <c:v>12692.2292408466</c:v>
                </c:pt>
                <c:pt idx="6">
                  <c:v>18375.511162999999</c:v>
                </c:pt>
                <c:pt idx="7">
                  <c:v>13838.706423644</c:v>
                </c:pt>
                <c:pt idx="8">
                  <c:v>14865.3551125206</c:v>
                </c:pt>
                <c:pt idx="9">
                  <c:v>11511.601320002699</c:v>
                </c:pt>
                <c:pt idx="10">
                  <c:v>32278.589396815001</c:v>
                </c:pt>
                <c:pt idx="11">
                  <c:v>222303.607323328</c:v>
                </c:pt>
                <c:pt idx="12">
                  <c:v>17829.693968081301</c:v>
                </c:pt>
                <c:pt idx="13">
                  <c:v>44328.768128424897</c:v>
                </c:pt>
                <c:pt idx="14">
                  <c:v>48730.788212699401</c:v>
                </c:pt>
                <c:pt idx="15">
                  <c:v>140944.522706794</c:v>
                </c:pt>
                <c:pt idx="16">
                  <c:v>40207.866336966101</c:v>
                </c:pt>
                <c:pt idx="17">
                  <c:v>266640.44285571203</c:v>
                </c:pt>
                <c:pt idx="18">
                  <c:v>12922.5120645157</c:v>
                </c:pt>
                <c:pt idx="19">
                  <c:v>17381.240704187301</c:v>
                </c:pt>
                <c:pt idx="20">
                  <c:v>14128.7206300791</c:v>
                </c:pt>
                <c:pt idx="21">
                  <c:v>19876.195905398199</c:v>
                </c:pt>
                <c:pt idx="22">
                  <c:v>15287.094538355101</c:v>
                </c:pt>
                <c:pt idx="23">
                  <c:v>16316.162333554499</c:v>
                </c:pt>
                <c:pt idx="24">
                  <c:v>33709.460372616202</c:v>
                </c:pt>
                <c:pt idx="25">
                  <c:v>235929.47854249101</c:v>
                </c:pt>
                <c:pt idx="26">
                  <c:v>19251.584572950102</c:v>
                </c:pt>
                <c:pt idx="27">
                  <c:v>46662.644528508899</c:v>
                </c:pt>
              </c:numCache>
            </c:numRef>
          </c:xVal>
          <c:yVal>
            <c:numRef>
              <c:f>Sheet1!$J$2:$J$29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C00-4C18-854E-01D95C52F0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886399"/>
        <c:axId val="1171888319"/>
      </c:scatterChart>
      <c:valAx>
        <c:axId val="1171886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1888319"/>
        <c:crosses val="autoZero"/>
        <c:crossBetween val="midCat"/>
      </c:valAx>
      <c:valAx>
        <c:axId val="117188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Benefits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188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'Net-Zero Mandate'!$I$1</c:f>
              <c:strCache>
                <c:ptCount val="1"/>
                <c:pt idx="0">
                  <c:v>Cost Decrease necessary in size of the CDR market in 2050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Mandate'!$D$2:$D$28</c:f>
              <c:numCache>
                <c:formatCode>General</c:formatCode>
                <c:ptCount val="27"/>
                <c:pt idx="0">
                  <c:v>0</c:v>
                </c:pt>
                <c:pt idx="1">
                  <c:v>7.9722193986204699</c:v>
                </c:pt>
                <c:pt idx="2">
                  <c:v>4.18215697221197E-2</c:v>
                </c:pt>
                <c:pt idx="3">
                  <c:v>3.27434679522118</c:v>
                </c:pt>
                <c:pt idx="4">
                  <c:v>11.080702210154501</c:v>
                </c:pt>
                <c:pt idx="5">
                  <c:v>13.3924163736789</c:v>
                </c:pt>
                <c:pt idx="6">
                  <c:v>12.090518117610101</c:v>
                </c:pt>
                <c:pt idx="7">
                  <c:v>11.804833462263</c:v>
                </c:pt>
                <c:pt idx="8">
                  <c:v>17.279164053851499</c:v>
                </c:pt>
                <c:pt idx="9">
                  <c:v>16.858636173362701</c:v>
                </c:pt>
                <c:pt idx="10">
                  <c:v>58.794583510587898</c:v>
                </c:pt>
                <c:pt idx="11">
                  <c:v>13.3113794026041</c:v>
                </c:pt>
                <c:pt idx="12">
                  <c:v>10.5657233468163</c:v>
                </c:pt>
                <c:pt idx="13">
                  <c:v>18.574625943324801</c:v>
                </c:pt>
                <c:pt idx="14">
                  <c:v>17.3728711500404</c:v>
                </c:pt>
                <c:pt idx="15">
                  <c:v>6.9142507501659596</c:v>
                </c:pt>
                <c:pt idx="16">
                  <c:v>10.9377981211906</c:v>
                </c:pt>
                <c:pt idx="17">
                  <c:v>4.3055182785194903</c:v>
                </c:pt>
                <c:pt idx="18">
                  <c:v>10.094129555691</c:v>
                </c:pt>
                <c:pt idx="19">
                  <c:v>9.1295821492606297</c:v>
                </c:pt>
                <c:pt idx="20">
                  <c:v>15.5568590322536</c:v>
                </c:pt>
                <c:pt idx="21">
                  <c:v>30.603730057832198</c:v>
                </c:pt>
                <c:pt idx="22">
                  <c:v>14.5016716897262</c:v>
                </c:pt>
                <c:pt idx="23">
                  <c:v>8.9909705744803396</c:v>
                </c:pt>
                <c:pt idx="24">
                  <c:v>7.5077860222692498</c:v>
                </c:pt>
                <c:pt idx="25">
                  <c:v>-38.3720249610137</c:v>
                </c:pt>
                <c:pt idx="26">
                  <c:v>14.3309846710661</c:v>
                </c:pt>
              </c:numCache>
            </c:numRef>
          </c:xVal>
          <c:yVal>
            <c:numRef>
              <c:f>'Net-Zero Mandate'!$I$2:$I$28</c:f>
              <c:numCache>
                <c:formatCode>General</c:formatCode>
                <c:ptCount val="27"/>
                <c:pt idx="0">
                  <c:v>0</c:v>
                </c:pt>
                <c:pt idx="1">
                  <c:v>2.1065459229826602</c:v>
                </c:pt>
                <c:pt idx="2">
                  <c:v>-32.193007747667103</c:v>
                </c:pt>
                <c:pt idx="3">
                  <c:v>-4.7661224787360901</c:v>
                </c:pt>
                <c:pt idx="4">
                  <c:v>-1.6578001841819501</c:v>
                </c:pt>
                <c:pt idx="5">
                  <c:v>-17.610796138934401</c:v>
                </c:pt>
                <c:pt idx="6">
                  <c:v>-4.2330036189303399</c:v>
                </c:pt>
                <c:pt idx="7">
                  <c:v>-5.6982743163725003</c:v>
                </c:pt>
                <c:pt idx="8">
                  <c:v>10.550045036612699</c:v>
                </c:pt>
                <c:pt idx="9">
                  <c:v>3.6313721464693201</c:v>
                </c:pt>
                <c:pt idx="10">
                  <c:v>11.060630810043</c:v>
                </c:pt>
                <c:pt idx="11">
                  <c:v>3.6008171018680599</c:v>
                </c:pt>
                <c:pt idx="12">
                  <c:v>2.9193308209991198</c:v>
                </c:pt>
                <c:pt idx="13">
                  <c:v>2.9106502559085001</c:v>
                </c:pt>
                <c:pt idx="14">
                  <c:v>6.3225799064404198</c:v>
                </c:pt>
                <c:pt idx="15">
                  <c:v>-3.1562896930530902</c:v>
                </c:pt>
                <c:pt idx="16">
                  <c:v>-1.91250657480905</c:v>
                </c:pt>
                <c:pt idx="17">
                  <c:v>-14.256171407604199</c:v>
                </c:pt>
                <c:pt idx="18">
                  <c:v>-3.7834628368867498</c:v>
                </c:pt>
                <c:pt idx="19">
                  <c:v>-5.5231217389472302</c:v>
                </c:pt>
                <c:pt idx="20">
                  <c:v>2.8341151029912499</c:v>
                </c:pt>
                <c:pt idx="21">
                  <c:v>7.8453238562851402</c:v>
                </c:pt>
                <c:pt idx="22">
                  <c:v>2.51401455023696</c:v>
                </c:pt>
                <c:pt idx="23">
                  <c:v>-5.8747233323781796</c:v>
                </c:pt>
                <c:pt idx="24">
                  <c:v>18.9014044107759</c:v>
                </c:pt>
                <c:pt idx="25">
                  <c:v>-16.938204157826199</c:v>
                </c:pt>
                <c:pt idx="26">
                  <c:v>-14.693518666643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71-4C2D-91EF-23E150E89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8875584"/>
        <c:axId val="678876544"/>
      </c:scatterChart>
      <c:valAx>
        <c:axId val="678875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876544"/>
        <c:crosses val="autoZero"/>
        <c:crossBetween val="midCat"/>
      </c:valAx>
      <c:valAx>
        <c:axId val="67887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875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2.1065459229826602</c:v>
                </c:pt>
                <c:pt idx="2">
                  <c:v>-32.193007747667103</c:v>
                </c:pt>
                <c:pt idx="3">
                  <c:v>-4.7661224787360901</c:v>
                </c:pt>
                <c:pt idx="4">
                  <c:v>-1.6578001841819501</c:v>
                </c:pt>
                <c:pt idx="5">
                  <c:v>-17.610796138934401</c:v>
                </c:pt>
                <c:pt idx="6">
                  <c:v>-4.2330036189303399</c:v>
                </c:pt>
                <c:pt idx="7">
                  <c:v>-5.6982743163725003</c:v>
                </c:pt>
                <c:pt idx="8">
                  <c:v>10.550045036612699</c:v>
                </c:pt>
                <c:pt idx="9">
                  <c:v>3.6313721464693201</c:v>
                </c:pt>
                <c:pt idx="10">
                  <c:v>11.060630810043</c:v>
                </c:pt>
                <c:pt idx="11">
                  <c:v>3.6008171018680599</c:v>
                </c:pt>
                <c:pt idx="12">
                  <c:v>2.9193308209991198</c:v>
                </c:pt>
                <c:pt idx="13">
                  <c:v>2.9106502559085001</c:v>
                </c:pt>
                <c:pt idx="14">
                  <c:v>6.3225799064404198</c:v>
                </c:pt>
                <c:pt idx="15">
                  <c:v>-3.1562896930530902</c:v>
                </c:pt>
                <c:pt idx="16">
                  <c:v>-1.91250657480905</c:v>
                </c:pt>
                <c:pt idx="17">
                  <c:v>-14.256171407604199</c:v>
                </c:pt>
                <c:pt idx="18">
                  <c:v>-3.7834628368867498</c:v>
                </c:pt>
                <c:pt idx="19">
                  <c:v>-5.5231217389472302</c:v>
                </c:pt>
                <c:pt idx="20">
                  <c:v>2.8341151029912499</c:v>
                </c:pt>
                <c:pt idx="21">
                  <c:v>7.8453238562851402</c:v>
                </c:pt>
                <c:pt idx="22">
                  <c:v>2.51401455023696</c:v>
                </c:pt>
                <c:pt idx="23">
                  <c:v>-5.8747233323781796</c:v>
                </c:pt>
                <c:pt idx="24">
                  <c:v>18.9014044107759</c:v>
                </c:pt>
                <c:pt idx="25">
                  <c:v>-16.938204157826199</c:v>
                </c:pt>
                <c:pt idx="26">
                  <c:v>-14.693518666643</c:v>
                </c:pt>
              </c:numCache>
            </c:numRef>
          </c:xVal>
          <c:yVal>
            <c:numRef>
              <c:f>'Net-Zero Mandate'!$E$32:$E$58</c:f>
              <c:numCache>
                <c:formatCode>General</c:formatCode>
                <c:ptCount val="27"/>
                <c:pt idx="3">
                  <c:v>3.27434679522118</c:v>
                </c:pt>
                <c:pt idx="4">
                  <c:v>11.080702210154501</c:v>
                </c:pt>
                <c:pt idx="5">
                  <c:v>13.3924163736789</c:v>
                </c:pt>
                <c:pt idx="6">
                  <c:v>12.090518117610101</c:v>
                </c:pt>
                <c:pt idx="7">
                  <c:v>11.804833462263</c:v>
                </c:pt>
                <c:pt idx="15">
                  <c:v>6.9142507501659596</c:v>
                </c:pt>
                <c:pt idx="16">
                  <c:v>10.9377981211906</c:v>
                </c:pt>
                <c:pt idx="17">
                  <c:v>4.3055182785194903</c:v>
                </c:pt>
                <c:pt idx="18">
                  <c:v>10.094129555691</c:v>
                </c:pt>
                <c:pt idx="19">
                  <c:v>9.1295821492606297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B5-412D-B7FE-A27E6D86BF66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2.1065459229826602</c:v>
                </c:pt>
                <c:pt idx="2">
                  <c:v>-32.193007747667103</c:v>
                </c:pt>
                <c:pt idx="3">
                  <c:v>-4.7661224787360901</c:v>
                </c:pt>
                <c:pt idx="4">
                  <c:v>-1.6578001841819501</c:v>
                </c:pt>
                <c:pt idx="5">
                  <c:v>-17.610796138934401</c:v>
                </c:pt>
                <c:pt idx="6">
                  <c:v>-4.2330036189303399</c:v>
                </c:pt>
                <c:pt idx="7">
                  <c:v>-5.6982743163725003</c:v>
                </c:pt>
                <c:pt idx="8">
                  <c:v>10.550045036612699</c:v>
                </c:pt>
                <c:pt idx="9">
                  <c:v>3.6313721464693201</c:v>
                </c:pt>
                <c:pt idx="10">
                  <c:v>11.060630810043</c:v>
                </c:pt>
                <c:pt idx="11">
                  <c:v>3.6008171018680599</c:v>
                </c:pt>
                <c:pt idx="12">
                  <c:v>2.9193308209991198</c:v>
                </c:pt>
                <c:pt idx="13">
                  <c:v>2.9106502559085001</c:v>
                </c:pt>
                <c:pt idx="14">
                  <c:v>6.3225799064404198</c:v>
                </c:pt>
                <c:pt idx="15">
                  <c:v>-3.1562896930530902</c:v>
                </c:pt>
                <c:pt idx="16">
                  <c:v>-1.91250657480905</c:v>
                </c:pt>
                <c:pt idx="17">
                  <c:v>-14.256171407604199</c:v>
                </c:pt>
                <c:pt idx="18">
                  <c:v>-3.7834628368867498</c:v>
                </c:pt>
                <c:pt idx="19">
                  <c:v>-5.5231217389472302</c:v>
                </c:pt>
                <c:pt idx="20">
                  <c:v>2.8341151029912499</c:v>
                </c:pt>
                <c:pt idx="21">
                  <c:v>7.8453238562851402</c:v>
                </c:pt>
                <c:pt idx="22">
                  <c:v>2.51401455023696</c:v>
                </c:pt>
                <c:pt idx="23">
                  <c:v>-5.8747233323781796</c:v>
                </c:pt>
                <c:pt idx="24">
                  <c:v>18.9014044107759</c:v>
                </c:pt>
                <c:pt idx="25">
                  <c:v>-16.938204157826199</c:v>
                </c:pt>
                <c:pt idx="26">
                  <c:v>-14.693518666643</c:v>
                </c:pt>
              </c:numCache>
            </c:numRef>
          </c:xVal>
          <c:yVal>
            <c:numRef>
              <c:f>'Net-Zero Mandate'!$F$32:$F$58</c:f>
              <c:numCache>
                <c:formatCode>General</c:formatCode>
                <c:ptCount val="27"/>
                <c:pt idx="1">
                  <c:v>7.9722193986204699</c:v>
                </c:pt>
                <c:pt idx="2">
                  <c:v>4.18215697221197E-2</c:v>
                </c:pt>
                <c:pt idx="12">
                  <c:v>10.5657233468163</c:v>
                </c:pt>
                <c:pt idx="13">
                  <c:v>18.574625943324801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B5-412D-B7FE-A27E6D86BF66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2.1065459229826602</c:v>
                </c:pt>
                <c:pt idx="2">
                  <c:v>-32.193007747667103</c:v>
                </c:pt>
                <c:pt idx="3">
                  <c:v>-4.7661224787360901</c:v>
                </c:pt>
                <c:pt idx="4">
                  <c:v>-1.6578001841819501</c:v>
                </c:pt>
                <c:pt idx="5">
                  <c:v>-17.610796138934401</c:v>
                </c:pt>
                <c:pt idx="6">
                  <c:v>-4.2330036189303399</c:v>
                </c:pt>
                <c:pt idx="7">
                  <c:v>-5.6982743163725003</c:v>
                </c:pt>
                <c:pt idx="8">
                  <c:v>10.550045036612699</c:v>
                </c:pt>
                <c:pt idx="9">
                  <c:v>3.6313721464693201</c:v>
                </c:pt>
                <c:pt idx="10">
                  <c:v>11.060630810043</c:v>
                </c:pt>
                <c:pt idx="11">
                  <c:v>3.6008171018680599</c:v>
                </c:pt>
                <c:pt idx="12">
                  <c:v>2.9193308209991198</c:v>
                </c:pt>
                <c:pt idx="13">
                  <c:v>2.9106502559085001</c:v>
                </c:pt>
                <c:pt idx="14">
                  <c:v>6.3225799064404198</c:v>
                </c:pt>
                <c:pt idx="15">
                  <c:v>-3.1562896930530902</c:v>
                </c:pt>
                <c:pt idx="16">
                  <c:v>-1.91250657480905</c:v>
                </c:pt>
                <c:pt idx="17">
                  <c:v>-14.256171407604199</c:v>
                </c:pt>
                <c:pt idx="18">
                  <c:v>-3.7834628368867498</c:v>
                </c:pt>
                <c:pt idx="19">
                  <c:v>-5.5231217389472302</c:v>
                </c:pt>
                <c:pt idx="20">
                  <c:v>2.8341151029912499</c:v>
                </c:pt>
                <c:pt idx="21">
                  <c:v>7.8453238562851402</c:v>
                </c:pt>
                <c:pt idx="22">
                  <c:v>2.51401455023696</c:v>
                </c:pt>
                <c:pt idx="23">
                  <c:v>-5.8747233323781796</c:v>
                </c:pt>
                <c:pt idx="24">
                  <c:v>18.9014044107759</c:v>
                </c:pt>
                <c:pt idx="25">
                  <c:v>-16.938204157826199</c:v>
                </c:pt>
                <c:pt idx="26">
                  <c:v>-14.693518666643</c:v>
                </c:pt>
              </c:numCache>
            </c:numRef>
          </c:xVal>
          <c:yVal>
            <c:numRef>
              <c:f>'Net-Zero Mandate'!$G$32:$G$58</c:f>
              <c:numCache>
                <c:formatCode>General</c:formatCode>
                <c:ptCount val="27"/>
                <c:pt idx="9">
                  <c:v>16.858636173362701</c:v>
                </c:pt>
                <c:pt idx="10">
                  <c:v>58.794583510587898</c:v>
                </c:pt>
                <c:pt idx="11">
                  <c:v>13.3113794026041</c:v>
                </c:pt>
                <c:pt idx="20">
                  <c:v>15.5568590322536</c:v>
                </c:pt>
                <c:pt idx="21">
                  <c:v>30.603730057832198</c:v>
                </c:pt>
                <c:pt idx="22">
                  <c:v>14.5016716897262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EB5-412D-B7FE-A27E6D86BF66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2.1065459229826602</c:v>
                </c:pt>
                <c:pt idx="2">
                  <c:v>-32.193007747667103</c:v>
                </c:pt>
                <c:pt idx="3">
                  <c:v>-4.7661224787360901</c:v>
                </c:pt>
                <c:pt idx="4">
                  <c:v>-1.6578001841819501</c:v>
                </c:pt>
                <c:pt idx="5">
                  <c:v>-17.610796138934401</c:v>
                </c:pt>
                <c:pt idx="6">
                  <c:v>-4.2330036189303399</c:v>
                </c:pt>
                <c:pt idx="7">
                  <c:v>-5.6982743163725003</c:v>
                </c:pt>
                <c:pt idx="8">
                  <c:v>10.550045036612699</c:v>
                </c:pt>
                <c:pt idx="9">
                  <c:v>3.6313721464693201</c:v>
                </c:pt>
                <c:pt idx="10">
                  <c:v>11.060630810043</c:v>
                </c:pt>
                <c:pt idx="11">
                  <c:v>3.6008171018680599</c:v>
                </c:pt>
                <c:pt idx="12">
                  <c:v>2.9193308209991198</c:v>
                </c:pt>
                <c:pt idx="13">
                  <c:v>2.9106502559085001</c:v>
                </c:pt>
                <c:pt idx="14">
                  <c:v>6.3225799064404198</c:v>
                </c:pt>
                <c:pt idx="15">
                  <c:v>-3.1562896930530902</c:v>
                </c:pt>
                <c:pt idx="16">
                  <c:v>-1.91250657480905</c:v>
                </c:pt>
                <c:pt idx="17">
                  <c:v>-14.256171407604199</c:v>
                </c:pt>
                <c:pt idx="18">
                  <c:v>-3.7834628368867498</c:v>
                </c:pt>
                <c:pt idx="19">
                  <c:v>-5.5231217389472302</c:v>
                </c:pt>
                <c:pt idx="20">
                  <c:v>2.8341151029912499</c:v>
                </c:pt>
                <c:pt idx="21">
                  <c:v>7.8453238562851402</c:v>
                </c:pt>
                <c:pt idx="22">
                  <c:v>2.51401455023696</c:v>
                </c:pt>
                <c:pt idx="23">
                  <c:v>-5.8747233323781796</c:v>
                </c:pt>
                <c:pt idx="24">
                  <c:v>18.9014044107759</c:v>
                </c:pt>
                <c:pt idx="25">
                  <c:v>-16.938204157826199</c:v>
                </c:pt>
                <c:pt idx="26">
                  <c:v>-14.693518666643</c:v>
                </c:pt>
              </c:numCache>
            </c:numRef>
          </c:xVal>
          <c:yVal>
            <c:numRef>
              <c:f>'Net-Zero Mandate'!$H$32:$H$58</c:f>
              <c:numCache>
                <c:formatCode>General</c:formatCode>
                <c:ptCount val="27"/>
                <c:pt idx="25">
                  <c:v>-38.3720249610137</c:v>
                </c:pt>
                <c:pt idx="26">
                  <c:v>14.3309846710661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EB5-412D-B7FE-A27E6D86BF66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2.1065459229826602</c:v>
                </c:pt>
                <c:pt idx="2">
                  <c:v>-32.193007747667103</c:v>
                </c:pt>
                <c:pt idx="3">
                  <c:v>-4.7661224787360901</c:v>
                </c:pt>
                <c:pt idx="4">
                  <c:v>-1.6578001841819501</c:v>
                </c:pt>
                <c:pt idx="5">
                  <c:v>-17.610796138934401</c:v>
                </c:pt>
                <c:pt idx="6">
                  <c:v>-4.2330036189303399</c:v>
                </c:pt>
                <c:pt idx="7">
                  <c:v>-5.6982743163725003</c:v>
                </c:pt>
                <c:pt idx="8">
                  <c:v>10.550045036612699</c:v>
                </c:pt>
                <c:pt idx="9">
                  <c:v>3.6313721464693201</c:v>
                </c:pt>
                <c:pt idx="10">
                  <c:v>11.060630810043</c:v>
                </c:pt>
                <c:pt idx="11">
                  <c:v>3.6008171018680599</c:v>
                </c:pt>
                <c:pt idx="12">
                  <c:v>2.9193308209991198</c:v>
                </c:pt>
                <c:pt idx="13">
                  <c:v>2.9106502559085001</c:v>
                </c:pt>
                <c:pt idx="14">
                  <c:v>6.3225799064404198</c:v>
                </c:pt>
                <c:pt idx="15">
                  <c:v>-3.1562896930530902</c:v>
                </c:pt>
                <c:pt idx="16">
                  <c:v>-1.91250657480905</c:v>
                </c:pt>
                <c:pt idx="17">
                  <c:v>-14.256171407604199</c:v>
                </c:pt>
                <c:pt idx="18">
                  <c:v>-3.7834628368867498</c:v>
                </c:pt>
                <c:pt idx="19">
                  <c:v>-5.5231217389472302</c:v>
                </c:pt>
                <c:pt idx="20">
                  <c:v>2.8341151029912499</c:v>
                </c:pt>
                <c:pt idx="21">
                  <c:v>7.8453238562851402</c:v>
                </c:pt>
                <c:pt idx="22">
                  <c:v>2.51401455023696</c:v>
                </c:pt>
                <c:pt idx="23">
                  <c:v>-5.8747233323781796</c:v>
                </c:pt>
                <c:pt idx="24">
                  <c:v>18.9014044107759</c:v>
                </c:pt>
                <c:pt idx="25">
                  <c:v>-16.938204157826199</c:v>
                </c:pt>
                <c:pt idx="26">
                  <c:v>-14.693518666643</c:v>
                </c:pt>
              </c:numCache>
            </c:numRef>
          </c:xVal>
          <c:yVal>
            <c:numRef>
              <c:f>'Net-Zero Mandate'!$I$32:$I$58</c:f>
              <c:numCache>
                <c:formatCode>General</c:formatCode>
                <c:ptCount val="27"/>
                <c:pt idx="0">
                  <c:v>0</c:v>
                </c:pt>
                <c:pt idx="8">
                  <c:v>17.279164053851499</c:v>
                </c:pt>
                <c:pt idx="14">
                  <c:v>17.3728711500404</c:v>
                </c:pt>
                <c:pt idx="23">
                  <c:v>8.9909705744803396</c:v>
                </c:pt>
                <c:pt idx="24">
                  <c:v>7.5077860222692498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EB5-412D-B7FE-A27E6D86B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Change in 2050 cost effectiveness from</a:t>
                </a:r>
                <a:r>
                  <a:rPr lang="en-US" baseline="0"/>
                  <a:t> baseline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359152"/>
        <c:crosses val="autoZero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Change in NPV from Baseline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358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  <cx:data id="1">
      <cx:strDim type="cat">
        <cx:f>_xlchart.v1.0</cx:f>
      </cx:strDim>
      <cx:numDim type="val">
        <cx:f>_xlchart.v1.4</cx:f>
      </cx:numDim>
    </cx:data>
    <cx:data id="2">
      <cx:strDim type="cat">
        <cx:f>_xlchart.v1.0</cx:f>
      </cx:strDim>
      <cx:numDim type="val">
        <cx:f>_xlchart.v1.6</cx:f>
      </cx:numDim>
    </cx:data>
    <cx:data id="3">
      <cx:strDim type="cat">
        <cx:f>_xlchart.v1.0</cx:f>
      </cx:strDim>
      <cx:numDim type="val">
        <cx:f>_xlchart.v1.8</cx:f>
      </cx:numDim>
    </cx:data>
  </cx:chartData>
  <cx:chart>
    <cx:title pos="t" align="ctr" overlay="0"/>
    <cx:plotArea>
      <cx:plotAreaRegion>
        <cx:series layoutId="boxWhisker" uniqueId="{D7DDA11E-BB64-49A4-92FD-2B8AA1488A96}">
          <cx:tx>
            <cx:txData>
              <cx:f>_xlchart.v1.1</cx:f>
              <cx:v>Cost Decrease necessary in NPV of CDR market | 2.0% discount rate</cx:v>
            </cx:txData>
          </cx:tx>
          <cx:dataId val="0"/>
          <cx:layoutPr>
            <cx:statistics quartileMethod="exclusive"/>
          </cx:layoutPr>
        </cx:series>
        <cx:series layoutId="boxWhisker" uniqueId="{BB2DC20C-048A-490D-AB65-11229C93ACF2}">
          <cx:tx>
            <cx:txData>
              <cx:f>_xlchart.v1.3</cx:f>
              <cx:v>Cost Decrease necessary in NPV of CDR market | 12.0% discount rate</cx:v>
            </cx:txData>
          </cx:tx>
          <cx:dataId val="1"/>
          <cx:layoutPr>
            <cx:statistics quartileMethod="exclusive"/>
          </cx:layoutPr>
        </cx:series>
        <cx:series layoutId="boxWhisker" uniqueId="{14FA6E2F-A765-43AD-9556-AF6C2D89BCF9}">
          <cx:tx>
            <cx:txData>
              <cx:f>_xlchart.v1.5</cx:f>
              <cx:v>Cost Decrease necessary in NPV of CDR market | 20.0% discount rate</cx:v>
            </cx:txData>
          </cx:tx>
          <cx:dataId val="2"/>
          <cx:layoutPr>
            <cx:statistics quartileMethod="exclusive"/>
          </cx:layoutPr>
        </cx:series>
        <cx:series layoutId="boxWhisker" uniqueId="{4D230C2F-DE91-4B48-8F0B-69AF37FBC6D6}">
          <cx:tx>
            <cx:txData>
              <cx:f>_xlchart.v1.7</cx:f>
              <cx:v>Cost Decrease necessary in size of the CDR market in 2050</cx:v>
            </cx:txData>
          </cx:tx>
          <cx:dataId val="3"/>
          <cx:layoutPr>
            <cx:statistics quartileMethod="exclusive"/>
          </cx:layoutPr>
        </cx:series>
      </cx:plotAreaRegion>
      <cx:axis id="0">
        <cx:catScaling gapWidth="1"/>
        <cx:title>
          <cx:tx>
            <cx:txData>
              <cx:v>CDR supply in 2050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CDR supply in 2050</a:t>
              </a:r>
            </a:p>
          </cx:txPr>
        </cx:title>
        <cx:tickLabels/>
      </cx:axis>
      <cx:axis id="1">
        <cx:valScaling/>
        <cx:title>
          <cx:tx>
            <cx:txData>
              <cx:v>% of the size of the CDR market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% of the size of the CDR market</a:t>
              </a:r>
            </a:p>
          </cx:txPr>
        </cx:title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471487</xdr:colOff>
      <xdr:row>1</xdr:row>
      <xdr:rowOff>176211</xdr:rowOff>
    </xdr:from>
    <xdr:to>
      <xdr:col>20</xdr:col>
      <xdr:colOff>9525</xdr:colOff>
      <xdr:row>26</xdr:row>
      <xdr:rowOff>85724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173D92-4B67-960D-790D-512C615286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1</xdr:row>
      <xdr:rowOff>100011</xdr:rowOff>
    </xdr:from>
    <xdr:to>
      <xdr:col>19</xdr:col>
      <xdr:colOff>190500</xdr:colOff>
      <xdr:row>31</xdr:row>
      <xdr:rowOff>47624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8AEC7E0-D0A5-1096-0DCB-A2DB2DA0628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91500" y="290511"/>
              <a:ext cx="4572000" cy="566261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19</xdr:col>
      <xdr:colOff>57150</xdr:colOff>
      <xdr:row>10</xdr:row>
      <xdr:rowOff>23812</xdr:rowOff>
    </xdr:from>
    <xdr:to>
      <xdr:col>26</xdr:col>
      <xdr:colOff>361950</xdr:colOff>
      <xdr:row>24</xdr:row>
      <xdr:rowOff>100012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1E21B9-27F7-E53F-D27D-873A4ABDA8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204786</xdr:colOff>
      <xdr:row>31</xdr:row>
      <xdr:rowOff>42862</xdr:rowOff>
    </xdr:from>
    <xdr:to>
      <xdr:col>18</xdr:col>
      <xdr:colOff>247649</xdr:colOff>
      <xdr:row>58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4D9ACEC-3FD7-7289-6819-79EF3D17B1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552450</xdr:colOff>
      <xdr:row>53</xdr:row>
      <xdr:rowOff>161925</xdr:rowOff>
    </xdr:from>
    <xdr:to>
      <xdr:col>12</xdr:col>
      <xdr:colOff>457200</xdr:colOff>
      <xdr:row>56</xdr:row>
      <xdr:rowOff>28575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B200627D-3012-C678-8F56-01D6FFA6A48E}"/>
            </a:ext>
          </a:extLst>
        </xdr:cNvPr>
        <xdr:cNvSpPr txBox="1"/>
      </xdr:nvSpPr>
      <xdr:spPr>
        <a:xfrm>
          <a:off x="8934450" y="10258425"/>
          <a:ext cx="1733550" cy="43815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more efficient pathway and more cost-effective</a:t>
          </a:r>
          <a:r>
            <a:rPr lang="en-US" sz="1100" baseline="0"/>
            <a:t> in 2050</a:t>
          </a:r>
          <a:endParaRPr lang="en-US" sz="1100"/>
        </a:p>
      </xdr:txBody>
    </xdr:sp>
    <xdr:clientData/>
  </xdr:twoCellAnchor>
  <xdr:twoCellAnchor>
    <xdr:from>
      <xdr:col>13</xdr:col>
      <xdr:colOff>476250</xdr:colOff>
      <xdr:row>33</xdr:row>
      <xdr:rowOff>123825</xdr:rowOff>
    </xdr:from>
    <xdr:to>
      <xdr:col>16</xdr:col>
      <xdr:colOff>381000</xdr:colOff>
      <xdr:row>35</xdr:row>
      <xdr:rowOff>180975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3C85F7EA-665D-4B5F-95C3-2833847D1568}"/>
            </a:ext>
          </a:extLst>
        </xdr:cNvPr>
        <xdr:cNvSpPr txBox="1"/>
      </xdr:nvSpPr>
      <xdr:spPr>
        <a:xfrm>
          <a:off x="11296650" y="6410325"/>
          <a:ext cx="1733550" cy="43815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less efficient pathway and less cost-effective</a:t>
          </a:r>
          <a:r>
            <a:rPr lang="en-US" sz="1100" baseline="0"/>
            <a:t> in 2050</a:t>
          </a:r>
          <a:endParaRPr lang="en-US" sz="1100"/>
        </a:p>
      </xdr:txBody>
    </xdr:sp>
    <xdr:clientData/>
  </xdr:twoCellAnchor>
  <xdr:twoCellAnchor>
    <xdr:from>
      <xdr:col>9</xdr:col>
      <xdr:colOff>542925</xdr:colOff>
      <xdr:row>33</xdr:row>
      <xdr:rowOff>133350</xdr:rowOff>
    </xdr:from>
    <xdr:to>
      <xdr:col>12</xdr:col>
      <xdr:colOff>447675</xdr:colOff>
      <xdr:row>36</xdr:row>
      <xdr:rowOff>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B2D4D1B9-D1FE-4274-BDC5-DAACF31510B1}"/>
            </a:ext>
          </a:extLst>
        </xdr:cNvPr>
        <xdr:cNvSpPr txBox="1"/>
      </xdr:nvSpPr>
      <xdr:spPr>
        <a:xfrm>
          <a:off x="8924925" y="6419850"/>
          <a:ext cx="1733550" cy="43815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less efficient pathway and more cost-effective</a:t>
          </a:r>
          <a:r>
            <a:rPr lang="en-US" sz="1100" baseline="0"/>
            <a:t> in 2050</a:t>
          </a:r>
          <a:endParaRPr lang="en-US" sz="1100"/>
        </a:p>
      </xdr:txBody>
    </xdr:sp>
    <xdr:clientData/>
  </xdr:twoCellAnchor>
  <xdr:twoCellAnchor>
    <xdr:from>
      <xdr:col>13</xdr:col>
      <xdr:colOff>495300</xdr:colOff>
      <xdr:row>53</xdr:row>
      <xdr:rowOff>161925</xdr:rowOff>
    </xdr:from>
    <xdr:to>
      <xdr:col>16</xdr:col>
      <xdr:colOff>400050</xdr:colOff>
      <xdr:row>56</xdr:row>
      <xdr:rowOff>28575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615412F4-9FE3-4B65-B1F7-D83D9FE68030}"/>
            </a:ext>
          </a:extLst>
        </xdr:cNvPr>
        <xdr:cNvSpPr txBox="1"/>
      </xdr:nvSpPr>
      <xdr:spPr>
        <a:xfrm>
          <a:off x="11315700" y="10258425"/>
          <a:ext cx="1733550" cy="438150"/>
        </a:xfrm>
        <a:prstGeom prst="rect">
          <a:avLst/>
        </a:prstGeom>
        <a:noFill/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more efficient pathway and less cost-effective</a:t>
          </a:r>
          <a:r>
            <a:rPr lang="en-US" sz="1100" baseline="0"/>
            <a:t> in 2050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4DBF1-F2D7-44F8-977D-1BE3C41C10B1}">
  <dimension ref="A1:AP16"/>
  <sheetViews>
    <sheetView zoomScaleNormal="100" workbookViewId="0">
      <selection activeCell="J20" sqref="J20"/>
    </sheetView>
  </sheetViews>
  <sheetFormatPr defaultRowHeight="15" x14ac:dyDescent="0.25"/>
  <cols>
    <col min="1" max="1" width="22.28515625" bestFit="1" customWidth="1"/>
    <col min="2" max="2" width="14.140625" bestFit="1" customWidth="1"/>
    <col min="3" max="3" width="11.85546875" bestFit="1" customWidth="1"/>
    <col min="4" max="5" width="19.85546875" bestFit="1" customWidth="1"/>
    <col min="6" max="6" width="15.140625" bestFit="1" customWidth="1"/>
    <col min="7" max="7" width="12.85546875" bestFit="1" customWidth="1"/>
    <col min="8" max="9" width="20.85546875" bestFit="1" customWidth="1"/>
    <col min="10" max="10" width="15.140625" bestFit="1" customWidth="1"/>
    <col min="11" max="11" width="12.85546875" bestFit="1" customWidth="1"/>
    <col min="12" max="13" width="20.85546875" bestFit="1" customWidth="1"/>
    <col min="14" max="14" width="22.28515625" bestFit="1" customWidth="1"/>
  </cols>
  <sheetData>
    <row r="1" spans="1:42" x14ac:dyDescent="0.25">
      <c r="A1" s="3" t="s">
        <v>0</v>
      </c>
      <c r="B1" t="s">
        <v>42</v>
      </c>
      <c r="C1" t="s">
        <v>43</v>
      </c>
      <c r="D1" t="s">
        <v>44</v>
      </c>
      <c r="E1" t="s">
        <v>45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x14ac:dyDescent="0.25">
      <c r="A2" t="s">
        <v>1</v>
      </c>
      <c r="B2" s="1">
        <v>-40991.392169844003</v>
      </c>
      <c r="C2" s="1">
        <v>73964.863896627197</v>
      </c>
      <c r="D2">
        <v>-0.55420087336513202</v>
      </c>
      <c r="E2" s="1">
        <f>B2+C2</f>
        <v>32973.471726783195</v>
      </c>
      <c r="F2" s="1">
        <v>-11644.658803537901</v>
      </c>
      <c r="G2" s="1">
        <v>32506.920082813402</v>
      </c>
      <c r="H2">
        <v>-0.358220919541823</v>
      </c>
      <c r="I2" s="1">
        <f>F2+G2</f>
        <v>20862.261279275503</v>
      </c>
      <c r="J2" s="1">
        <v>-5002.1063151110802</v>
      </c>
      <c r="K2" s="1">
        <v>20078.072923277199</v>
      </c>
      <c r="L2">
        <v>-0.24913278949754</v>
      </c>
      <c r="M2" s="1">
        <f>J2+K2</f>
        <v>15075.96660816612</v>
      </c>
      <c r="N2" t="s">
        <v>28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 spans="1:42" x14ac:dyDescent="0.25">
      <c r="A3" t="s">
        <v>2</v>
      </c>
      <c r="B3" s="1">
        <v>-190307.317572267</v>
      </c>
      <c r="C3" s="1">
        <v>341722.55580809899</v>
      </c>
      <c r="D3">
        <v>-0.55690592949661299</v>
      </c>
      <c r="E3" s="1">
        <f t="shared" ref="E3:E15" si="0">B3+C3</f>
        <v>151415.23823583199</v>
      </c>
      <c r="F3" s="1">
        <v>-30848.8092279228</v>
      </c>
      <c r="G3" s="1">
        <v>68806.729018270402</v>
      </c>
      <c r="H3">
        <v>-0.44834000493950898</v>
      </c>
      <c r="I3" s="1">
        <f t="shared" ref="I3:I15" si="1">F3+G3</f>
        <v>37957.919790347602</v>
      </c>
      <c r="J3" s="1">
        <v>-9394.0921605190797</v>
      </c>
      <c r="K3" s="1">
        <v>28774.349079517</v>
      </c>
      <c r="L3">
        <v>-0.32647453238850899</v>
      </c>
      <c r="M3" s="1">
        <f t="shared" ref="M3:M15" si="2">J3+K3</f>
        <v>19380.256918997919</v>
      </c>
      <c r="N3" t="s">
        <v>28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 spans="1:42" x14ac:dyDescent="0.25">
      <c r="A4" t="s">
        <v>3</v>
      </c>
      <c r="B4" s="1">
        <v>-112322.040618713</v>
      </c>
      <c r="C4" s="1">
        <v>56741.484497939098</v>
      </c>
      <c r="D4">
        <v>-1.9795400422206499</v>
      </c>
      <c r="E4" s="1">
        <f t="shared" si="0"/>
        <v>-55580.556120773901</v>
      </c>
      <c r="F4" s="1">
        <v>-48889.259790475502</v>
      </c>
      <c r="G4" s="1">
        <v>28709.564463483799</v>
      </c>
      <c r="H4">
        <v>-1.7028910296656901</v>
      </c>
      <c r="I4" s="1">
        <f t="shared" si="1"/>
        <v>-20179.695326991703</v>
      </c>
      <c r="J4" s="1">
        <v>-28941.9181735079</v>
      </c>
      <c r="K4" s="1">
        <v>18022.833509243501</v>
      </c>
      <c r="L4">
        <v>-1.6058472802661199</v>
      </c>
      <c r="M4" s="1">
        <f t="shared" si="2"/>
        <v>-10919.084664264399</v>
      </c>
      <c r="N4" t="s">
        <v>28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x14ac:dyDescent="0.25">
      <c r="A5" t="s">
        <v>4</v>
      </c>
      <c r="B5" s="1">
        <v>-611711.12191152503</v>
      </c>
      <c r="C5" s="1">
        <v>632967.09479468397</v>
      </c>
      <c r="D5">
        <v>-0.96641851834327297</v>
      </c>
      <c r="E5" s="1">
        <f t="shared" si="0"/>
        <v>21255.972883158945</v>
      </c>
      <c r="F5" s="1">
        <v>-124837.11295495099</v>
      </c>
      <c r="G5" s="1">
        <v>125786.37310764899</v>
      </c>
      <c r="H5">
        <v>-0.99245339436025104</v>
      </c>
      <c r="I5" s="1">
        <f t="shared" si="1"/>
        <v>949.26015269799973</v>
      </c>
      <c r="J5" s="1">
        <v>-49513.350620204001</v>
      </c>
      <c r="K5" s="1">
        <v>47841.174083838101</v>
      </c>
      <c r="L5">
        <v>-1.0349526651130101</v>
      </c>
      <c r="M5" s="1">
        <f t="shared" si="2"/>
        <v>-1672.1765363658997</v>
      </c>
      <c r="N5" t="s">
        <v>28</v>
      </c>
    </row>
    <row r="6" spans="1:42" x14ac:dyDescent="0.25">
      <c r="A6" t="s">
        <v>6</v>
      </c>
      <c r="B6" s="1">
        <v>-23639.052484741402</v>
      </c>
      <c r="C6" s="1">
        <v>19682.8288777735</v>
      </c>
      <c r="D6">
        <v>-1.20099872998618</v>
      </c>
      <c r="E6" s="1">
        <f t="shared" si="0"/>
        <v>-3956.223606967902</v>
      </c>
      <c r="F6" s="1">
        <v>-5718.2312864800897</v>
      </c>
      <c r="G6" s="1">
        <v>15677.5227380697</v>
      </c>
      <c r="H6">
        <v>-0.36474074265537498</v>
      </c>
      <c r="I6" s="1">
        <f t="shared" si="1"/>
        <v>9959.29145158961</v>
      </c>
      <c r="J6" s="1">
        <v>-2790.36636372676</v>
      </c>
      <c r="K6" s="1">
        <v>13463.719299594801</v>
      </c>
      <c r="L6">
        <v>-0.207250782761842</v>
      </c>
      <c r="M6" s="1">
        <f t="shared" si="2"/>
        <v>10673.352935868041</v>
      </c>
      <c r="N6" t="s">
        <v>28</v>
      </c>
    </row>
    <row r="7" spans="1:42" x14ac:dyDescent="0.25">
      <c r="A7" t="s">
        <v>5</v>
      </c>
      <c r="B7" s="1">
        <v>-30682.746255407401</v>
      </c>
      <c r="C7" s="1">
        <v>17090.916249983798</v>
      </c>
      <c r="D7">
        <v>-1.7952663161307201</v>
      </c>
      <c r="E7" s="1">
        <f t="shared" si="0"/>
        <v>-13591.830005423602</v>
      </c>
      <c r="F7" s="1">
        <v>-6100.3980291768003</v>
      </c>
      <c r="G7" s="1">
        <v>12692.2292408466</v>
      </c>
      <c r="H7">
        <v>-0.48064039133048803</v>
      </c>
      <c r="I7" s="1">
        <f t="shared" si="1"/>
        <v>6591.8312116697998</v>
      </c>
      <c r="J7" s="1">
        <v>-2360.7973050558699</v>
      </c>
      <c r="K7" s="1">
        <v>10689.1346820868</v>
      </c>
      <c r="L7">
        <v>-0.220859534028715</v>
      </c>
      <c r="M7" s="1">
        <f t="shared" si="2"/>
        <v>8328.3373770309299</v>
      </c>
      <c r="N7" t="s">
        <v>28</v>
      </c>
    </row>
    <row r="8" spans="1:42" x14ac:dyDescent="0.25">
      <c r="A8" t="s">
        <v>8</v>
      </c>
      <c r="B8" s="1">
        <v>-97079.650583780895</v>
      </c>
      <c r="C8" s="1">
        <v>29977.691435656099</v>
      </c>
      <c r="D8">
        <v>-3.2383964853381602</v>
      </c>
      <c r="E8" s="1">
        <f t="shared" si="0"/>
        <v>-67101.959148124792</v>
      </c>
      <c r="F8" s="1">
        <v>-20972.403124771499</v>
      </c>
      <c r="G8" s="1">
        <v>18375.511162999999</v>
      </c>
      <c r="H8">
        <v>-1.14132352230834</v>
      </c>
      <c r="I8" s="1">
        <f t="shared" si="1"/>
        <v>-2596.8919617715001</v>
      </c>
      <c r="J8" s="1">
        <v>-8406.4334333911793</v>
      </c>
      <c r="K8" s="1">
        <v>13832.566021950501</v>
      </c>
      <c r="L8">
        <v>-0.60772769275427296</v>
      </c>
      <c r="M8" s="1">
        <f t="shared" si="2"/>
        <v>5426.1325885593214</v>
      </c>
      <c r="N8" t="s">
        <v>28</v>
      </c>
    </row>
    <row r="9" spans="1:42" x14ac:dyDescent="0.25">
      <c r="A9" t="s">
        <v>7</v>
      </c>
      <c r="B9" s="1">
        <v>-43683.1580178394</v>
      </c>
      <c r="C9" s="1">
        <v>19701.6259138606</v>
      </c>
      <c r="D9">
        <v>-2.2172361920194099</v>
      </c>
      <c r="E9" s="1">
        <f t="shared" si="0"/>
        <v>-23981.5321039788</v>
      </c>
      <c r="F9" s="1">
        <v>-9175.9801601351992</v>
      </c>
      <c r="G9" s="1">
        <v>13838.706423644</v>
      </c>
      <c r="H9">
        <v>-0.66306632131870602</v>
      </c>
      <c r="I9" s="1">
        <f t="shared" si="1"/>
        <v>4662.7262635088009</v>
      </c>
      <c r="J9" s="1">
        <v>-3610.0129557775899</v>
      </c>
      <c r="K9" s="1">
        <v>11226.4948888167</v>
      </c>
      <c r="L9">
        <v>-0.32156189367473098</v>
      </c>
      <c r="M9" s="1">
        <f t="shared" si="2"/>
        <v>7616.4819330391101</v>
      </c>
      <c r="N9" t="s">
        <v>28</v>
      </c>
    </row>
    <row r="10" spans="1:42" x14ac:dyDescent="0.25">
      <c r="A10" t="s">
        <v>9</v>
      </c>
      <c r="B10" s="1">
        <v>-50470.5551048856</v>
      </c>
      <c r="C10" s="1">
        <v>22047.6456426271</v>
      </c>
      <c r="D10">
        <v>-2.2891584853534401</v>
      </c>
      <c r="E10" s="1">
        <f t="shared" si="0"/>
        <v>-28422.9094622585</v>
      </c>
      <c r="F10" s="1">
        <v>-10472.8845316388</v>
      </c>
      <c r="G10" s="1">
        <v>14865.3551125206</v>
      </c>
      <c r="H10">
        <v>-0.70451626970000103</v>
      </c>
      <c r="I10" s="1">
        <f t="shared" si="1"/>
        <v>4392.4705808817998</v>
      </c>
      <c r="J10" s="1">
        <v>-4213.4803805597603</v>
      </c>
      <c r="K10" s="1">
        <v>12164.270271887701</v>
      </c>
      <c r="L10">
        <v>-0.346381680641979</v>
      </c>
      <c r="M10" s="1">
        <f t="shared" si="2"/>
        <v>7950.7898913279405</v>
      </c>
      <c r="N10" t="s">
        <v>28</v>
      </c>
    </row>
    <row r="11" spans="1:42" x14ac:dyDescent="0.25">
      <c r="A11" t="s">
        <v>13</v>
      </c>
      <c r="B11" s="1">
        <v>0</v>
      </c>
      <c r="C11" s="1">
        <v>14486.1268858849</v>
      </c>
      <c r="D11">
        <v>0</v>
      </c>
      <c r="E11" s="1">
        <f t="shared" si="0"/>
        <v>14486.1268858849</v>
      </c>
      <c r="F11" s="1">
        <v>0</v>
      </c>
      <c r="G11" s="1">
        <v>11511.601320002699</v>
      </c>
      <c r="H11">
        <v>0</v>
      </c>
      <c r="I11" s="1">
        <f t="shared" si="1"/>
        <v>11511.601320002699</v>
      </c>
      <c r="J11" s="1">
        <v>0</v>
      </c>
      <c r="K11" s="1">
        <v>9874.8984398431494</v>
      </c>
      <c r="L11">
        <v>0</v>
      </c>
      <c r="M11" s="1">
        <f t="shared" si="2"/>
        <v>9874.8984398431494</v>
      </c>
      <c r="N11" t="s">
        <v>28</v>
      </c>
    </row>
    <row r="12" spans="1:42" x14ac:dyDescent="0.25">
      <c r="A12" t="s">
        <v>10</v>
      </c>
      <c r="B12" s="1">
        <v>-1404.5679010868701</v>
      </c>
      <c r="C12" s="1">
        <v>45132.0836071905</v>
      </c>
      <c r="D12">
        <v>-3.1121273134907899E-2</v>
      </c>
      <c r="E12" s="1">
        <f t="shared" si="0"/>
        <v>43727.51570610363</v>
      </c>
      <c r="F12" s="1">
        <v>-32.085743248811902</v>
      </c>
      <c r="G12" s="1">
        <v>32278.589396815001</v>
      </c>
      <c r="H12">
        <v>-9.9402557076976408E-4</v>
      </c>
      <c r="I12" s="1">
        <f t="shared" si="1"/>
        <v>32246.503653566189</v>
      </c>
      <c r="J12" s="1">
        <v>-227.43782558660999</v>
      </c>
      <c r="K12" s="1">
        <v>26285.648960687002</v>
      </c>
      <c r="L12">
        <v>-8.6525474766389696E-3</v>
      </c>
      <c r="M12" s="1">
        <f t="shared" si="2"/>
        <v>26058.211135100391</v>
      </c>
      <c r="N12" t="s">
        <v>28</v>
      </c>
    </row>
    <row r="13" spans="1:42" x14ac:dyDescent="0.25">
      <c r="A13" t="s">
        <v>11</v>
      </c>
      <c r="B13" s="1">
        <v>40603.4193094004</v>
      </c>
      <c r="C13" s="1">
        <v>828169.20249635505</v>
      </c>
      <c r="D13">
        <v>4.9027927127704499E-2</v>
      </c>
      <c r="E13" s="1">
        <f t="shared" si="0"/>
        <v>868772.62180575542</v>
      </c>
      <c r="F13" s="1">
        <v>4460.6170443716501</v>
      </c>
      <c r="G13" s="1">
        <v>222303.607323328</v>
      </c>
      <c r="H13">
        <v>2.0065428078654302E-2</v>
      </c>
      <c r="I13" s="1">
        <f t="shared" si="1"/>
        <v>226764.22436769964</v>
      </c>
      <c r="J13" s="1">
        <v>-1031.07110519603</v>
      </c>
      <c r="K13" s="1">
        <v>108783.803081255</v>
      </c>
      <c r="L13">
        <v>-9.4781674844175191E-3</v>
      </c>
      <c r="M13" s="1">
        <f t="shared" si="2"/>
        <v>107752.73197605897</v>
      </c>
      <c r="N13" t="s">
        <v>28</v>
      </c>
    </row>
    <row r="14" spans="1:42" x14ac:dyDescent="0.25">
      <c r="A14" t="s">
        <v>12</v>
      </c>
      <c r="B14" s="1">
        <v>-2626.77829541446</v>
      </c>
      <c r="C14" s="1">
        <v>25767.324754375601</v>
      </c>
      <c r="D14">
        <v>-0.10194222025196401</v>
      </c>
      <c r="E14" s="1">
        <f t="shared" si="0"/>
        <v>23140.54645896114</v>
      </c>
      <c r="F14" s="1">
        <v>-184.162683612303</v>
      </c>
      <c r="G14" s="1">
        <v>17829.693968081301</v>
      </c>
      <c r="H14">
        <v>-1.0328987359064601E-2</v>
      </c>
      <c r="I14" s="1">
        <f t="shared" si="1"/>
        <v>17645.531284468998</v>
      </c>
      <c r="J14" s="1">
        <v>-125.237709722896</v>
      </c>
      <c r="K14" s="1">
        <v>14163.2689710182</v>
      </c>
      <c r="L14">
        <v>-8.84242966642553E-3</v>
      </c>
      <c r="M14" s="1">
        <f t="shared" si="2"/>
        <v>14038.031261295304</v>
      </c>
      <c r="N14" t="s">
        <v>28</v>
      </c>
    </row>
    <row r="15" spans="1:42" x14ac:dyDescent="0.25">
      <c r="A15" t="s">
        <v>59</v>
      </c>
      <c r="B15" s="1">
        <v>-177560.27976733001</v>
      </c>
      <c r="C15" s="1">
        <v>84648.601837562499</v>
      </c>
      <c r="D15">
        <v>-2.0976162147138702</v>
      </c>
      <c r="E15" s="1">
        <f t="shared" si="0"/>
        <v>-92911.677929767509</v>
      </c>
      <c r="F15" s="1">
        <v>-55394.240300793303</v>
      </c>
      <c r="G15" s="1">
        <v>44328.768128424897</v>
      </c>
      <c r="H15">
        <v>-1.2496228214668701</v>
      </c>
      <c r="I15" s="1">
        <f t="shared" si="1"/>
        <v>-11065.472172368405</v>
      </c>
      <c r="J15" s="1">
        <v>-27847.218892906101</v>
      </c>
      <c r="K15" s="1">
        <v>28922.694502216698</v>
      </c>
      <c r="L15">
        <v>-0.96281551121635001</v>
      </c>
      <c r="M15" s="1">
        <f t="shared" si="2"/>
        <v>1075.4756093105971</v>
      </c>
      <c r="N15" t="s">
        <v>28</v>
      </c>
    </row>
    <row r="16" spans="1:42" x14ac:dyDescent="0.25">
      <c r="B16" s="1"/>
      <c r="C16" s="1"/>
      <c r="D16" s="1"/>
      <c r="E16" s="1"/>
      <c r="F16" s="1"/>
      <c r="G16" s="1"/>
      <c r="H16" s="1"/>
      <c r="I16" s="1"/>
      <c r="J16" s="1"/>
    </row>
  </sheetData>
  <autoFilter ref="A1:N1" xr:uid="{E1B4DBF1-F2D7-44F8-977D-1BE3C41C10B1}">
    <sortState xmlns:xlrd2="http://schemas.microsoft.com/office/spreadsheetml/2017/richdata2" ref="A2:N14">
      <sortCondition ref="A1"/>
    </sortState>
  </autoFilter>
  <conditionalFormatting sqref="D2:D15 H2:H15 L2:L14">
    <cfRule type="colorScale" priority="1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25FA5-7769-47FF-9EA0-8E472D7D4015}">
  <dimension ref="A1:AP16"/>
  <sheetViews>
    <sheetView workbookViewId="0">
      <selection activeCell="E35" sqref="E35"/>
    </sheetView>
  </sheetViews>
  <sheetFormatPr defaultRowHeight="15" x14ac:dyDescent="0.25"/>
  <cols>
    <col min="1" max="1" width="22.28515625" bestFit="1" customWidth="1"/>
    <col min="2" max="2" width="14.28515625" bestFit="1" customWidth="1"/>
    <col min="3" max="3" width="13.5703125" bestFit="1" customWidth="1"/>
    <col min="4" max="5" width="19.85546875" bestFit="1" customWidth="1"/>
    <col min="6" max="6" width="15.140625" bestFit="1" customWidth="1"/>
    <col min="7" max="7" width="12.85546875" bestFit="1" customWidth="1"/>
    <col min="8" max="9" width="20.85546875" bestFit="1" customWidth="1"/>
    <col min="10" max="10" width="15.140625" bestFit="1" customWidth="1"/>
    <col min="11" max="11" width="12.85546875" bestFit="1" customWidth="1"/>
    <col min="12" max="13" width="20.85546875" bestFit="1" customWidth="1"/>
  </cols>
  <sheetData>
    <row r="1" spans="1:42" x14ac:dyDescent="0.25">
      <c r="A1" t="s">
        <v>0</v>
      </c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</row>
    <row r="2" spans="1:42" x14ac:dyDescent="0.25">
      <c r="A2" t="s">
        <v>1</v>
      </c>
      <c r="B2" s="1">
        <v>-94864.731470308194</v>
      </c>
      <c r="C2" s="1">
        <v>121535.566517909</v>
      </c>
      <c r="D2">
        <v>-0.78055119327006905</v>
      </c>
      <c r="E2" s="1">
        <f>B2+C2</f>
        <v>26670.835047600805</v>
      </c>
      <c r="F2" s="1">
        <v>-24012.4014868552</v>
      </c>
      <c r="G2" s="1">
        <v>48730.788212699401</v>
      </c>
      <c r="H2">
        <v>-0.49275627108772002</v>
      </c>
      <c r="I2" s="1">
        <f>F2+G2</f>
        <v>24718.386725844201</v>
      </c>
      <c r="J2" s="1">
        <v>-9686.1108143464007</v>
      </c>
      <c r="K2" s="1">
        <v>27914.545327342599</v>
      </c>
      <c r="L2">
        <v>-0.346991530786594</v>
      </c>
      <c r="M2" s="1">
        <f>J2+K2</f>
        <v>18228.434512996198</v>
      </c>
      <c r="N2" t="s">
        <v>28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</row>
    <row r="3" spans="1:42" x14ac:dyDescent="0.25">
      <c r="A3" t="s">
        <v>2</v>
      </c>
      <c r="B3" s="1">
        <v>-573819.81405192497</v>
      </c>
      <c r="C3" s="1">
        <v>815193.62386759603</v>
      </c>
      <c r="D3">
        <v>-0.70390616075908496</v>
      </c>
      <c r="E3" s="1">
        <f t="shared" ref="E3:E15" si="0">B3+C3</f>
        <v>241373.80981567106</v>
      </c>
      <c r="F3" s="1">
        <v>-84257.525916830593</v>
      </c>
      <c r="G3" s="1">
        <v>140944.522706794</v>
      </c>
      <c r="H3">
        <v>-0.59780631626324898</v>
      </c>
      <c r="I3" s="1">
        <f t="shared" ref="I3:I15" si="1">F3+G3</f>
        <v>56686.996789963407</v>
      </c>
      <c r="J3" s="1">
        <v>-23204.8464252616</v>
      </c>
      <c r="K3" s="1">
        <v>49651.190773092399</v>
      </c>
      <c r="L3">
        <v>-0.46735729927019298</v>
      </c>
      <c r="M3" s="1">
        <f t="shared" ref="M3:M15" si="2">J3+K3</f>
        <v>26446.3443478308</v>
      </c>
      <c r="N3" t="s">
        <v>28</v>
      </c>
    </row>
    <row r="4" spans="1:42" x14ac:dyDescent="0.25">
      <c r="A4" t="s">
        <v>3</v>
      </c>
      <c r="B4" s="1">
        <v>-189547.67770812401</v>
      </c>
      <c r="C4" s="1">
        <v>81242.480945637202</v>
      </c>
      <c r="D4">
        <v>-2.3331104060566301</v>
      </c>
      <c r="E4" s="1">
        <f t="shared" si="0"/>
        <v>-108305.19676248681</v>
      </c>
      <c r="F4" s="1">
        <v>-74162.1476601756</v>
      </c>
      <c r="G4" s="1">
        <v>40207.866336966101</v>
      </c>
      <c r="H4">
        <v>-1.8444686181219401</v>
      </c>
      <c r="I4" s="1">
        <f t="shared" si="1"/>
        <v>-33954.2813232095</v>
      </c>
      <c r="J4" s="1">
        <v>-41535.203838220703</v>
      </c>
      <c r="K4" s="1">
        <v>24697.2770423121</v>
      </c>
      <c r="L4">
        <v>-1.68177260056083</v>
      </c>
      <c r="M4" s="1">
        <f t="shared" si="2"/>
        <v>-16837.926795908603</v>
      </c>
      <c r="N4" t="s">
        <v>28</v>
      </c>
    </row>
    <row r="5" spans="1:42" x14ac:dyDescent="0.25">
      <c r="A5" t="s">
        <v>4</v>
      </c>
      <c r="B5" s="1">
        <v>-1529260.70418628</v>
      </c>
      <c r="C5" s="1">
        <v>1535271.1979602601</v>
      </c>
      <c r="D5">
        <v>-0.99608506055349399</v>
      </c>
      <c r="E5" s="1">
        <f t="shared" si="0"/>
        <v>6010.4937739800662</v>
      </c>
      <c r="F5" s="1">
        <v>-265902.76421105402</v>
      </c>
      <c r="G5" s="1">
        <v>266640.44285571203</v>
      </c>
      <c r="H5">
        <v>-0.99723343302029399</v>
      </c>
      <c r="I5" s="1">
        <f t="shared" si="1"/>
        <v>737.67864465800812</v>
      </c>
      <c r="J5" s="1">
        <v>-90741.464406757499</v>
      </c>
      <c r="K5" s="1">
        <v>89320.816158220798</v>
      </c>
      <c r="L5">
        <v>-1.0159050074735101</v>
      </c>
      <c r="M5" s="1">
        <f t="shared" si="2"/>
        <v>-1420.6482485367014</v>
      </c>
      <c r="N5" t="s">
        <v>28</v>
      </c>
    </row>
    <row r="6" spans="1:42" x14ac:dyDescent="0.25">
      <c r="A6" t="s">
        <v>14</v>
      </c>
      <c r="B6" s="1">
        <v>0</v>
      </c>
      <c r="C6" s="1">
        <v>16454.604553368801</v>
      </c>
      <c r="D6">
        <v>0</v>
      </c>
      <c r="E6" s="1">
        <f t="shared" si="0"/>
        <v>16454.604553368801</v>
      </c>
      <c r="F6" s="1">
        <v>0</v>
      </c>
      <c r="G6" s="1">
        <v>12922.5120645157</v>
      </c>
      <c r="H6">
        <v>0</v>
      </c>
      <c r="I6" s="1">
        <f t="shared" si="1"/>
        <v>12922.5120645157</v>
      </c>
      <c r="J6" s="1">
        <v>0</v>
      </c>
      <c r="K6" s="1">
        <v>10988.815786839299</v>
      </c>
      <c r="L6">
        <v>0</v>
      </c>
      <c r="M6" s="1">
        <f t="shared" si="2"/>
        <v>10988.815786839299</v>
      </c>
      <c r="N6" t="s">
        <v>28</v>
      </c>
    </row>
    <row r="7" spans="1:42" x14ac:dyDescent="0.25">
      <c r="A7" t="s">
        <v>6</v>
      </c>
      <c r="B7" s="1">
        <v>-81711.783899172602</v>
      </c>
      <c r="C7" s="1">
        <v>22059.733037833099</v>
      </c>
      <c r="D7">
        <v>-3.7041148122252601</v>
      </c>
      <c r="E7" s="1">
        <f t="shared" si="0"/>
        <v>-59652.050861339507</v>
      </c>
      <c r="F7" s="1">
        <v>-14041.807010664401</v>
      </c>
      <c r="G7" s="1">
        <v>17381.240704187301</v>
      </c>
      <c r="H7">
        <v>-0.8078713855727</v>
      </c>
      <c r="I7" s="1">
        <f t="shared" si="1"/>
        <v>3339.4336935229003</v>
      </c>
      <c r="J7" s="1">
        <v>-5067.3328268512496</v>
      </c>
      <c r="K7" s="1">
        <v>14808.855061788299</v>
      </c>
      <c r="L7">
        <v>-0.34218262017612899</v>
      </c>
      <c r="M7" s="1">
        <f t="shared" si="2"/>
        <v>9741.5222349370488</v>
      </c>
      <c r="N7" t="s">
        <v>28</v>
      </c>
    </row>
    <row r="8" spans="1:42" x14ac:dyDescent="0.25">
      <c r="A8" t="s">
        <v>5</v>
      </c>
      <c r="B8" s="1">
        <v>-74787.623200904796</v>
      </c>
      <c r="C8" s="1">
        <v>19094.971222653399</v>
      </c>
      <c r="D8">
        <v>-3.9166135590809201</v>
      </c>
      <c r="E8" s="1">
        <f t="shared" si="0"/>
        <v>-55692.651978251393</v>
      </c>
      <c r="F8" s="1">
        <v>-12795.920628411601</v>
      </c>
      <c r="G8" s="1">
        <v>14128.7206300791</v>
      </c>
      <c r="H8">
        <v>-0.90566732568623198</v>
      </c>
      <c r="I8" s="1">
        <f t="shared" si="1"/>
        <v>1332.8000016674996</v>
      </c>
      <c r="J8" s="1">
        <v>-4277.3243685469497</v>
      </c>
      <c r="K8" s="1">
        <v>11823.3041249241</v>
      </c>
      <c r="L8">
        <v>-0.361770645781675</v>
      </c>
      <c r="M8" s="1">
        <f t="shared" si="2"/>
        <v>7545.9797563771499</v>
      </c>
      <c r="N8" t="s">
        <v>28</v>
      </c>
    </row>
    <row r="9" spans="1:42" x14ac:dyDescent="0.25">
      <c r="A9" t="s">
        <v>8</v>
      </c>
      <c r="B9" s="1">
        <v>-201382.40255214801</v>
      </c>
      <c r="C9" s="1">
        <v>32071.308412600101</v>
      </c>
      <c r="D9">
        <v>-6.2792075696240897</v>
      </c>
      <c r="E9" s="1">
        <f t="shared" si="0"/>
        <v>-169311.0941395479</v>
      </c>
      <c r="F9" s="1">
        <v>-38626.101035459098</v>
      </c>
      <c r="G9" s="1">
        <v>19876.195905398199</v>
      </c>
      <c r="H9">
        <v>-1.9433346913716201</v>
      </c>
      <c r="I9" s="1">
        <f t="shared" si="1"/>
        <v>-18749.905130060899</v>
      </c>
      <c r="J9" s="1">
        <v>-14104.8743016727</v>
      </c>
      <c r="K9" s="1">
        <v>15017.4159804518</v>
      </c>
      <c r="L9">
        <v>-0.93923444086739505</v>
      </c>
      <c r="M9" s="1">
        <f t="shared" si="2"/>
        <v>912.54167877910004</v>
      </c>
      <c r="N9" t="s">
        <v>28</v>
      </c>
    </row>
    <row r="10" spans="1:42" x14ac:dyDescent="0.25">
      <c r="A10" t="s">
        <v>7</v>
      </c>
      <c r="B10" s="1">
        <v>-98338.675448048598</v>
      </c>
      <c r="C10" s="1">
        <v>21722.272439247401</v>
      </c>
      <c r="D10">
        <v>-4.5270896828626404</v>
      </c>
      <c r="E10" s="1">
        <f t="shared" si="0"/>
        <v>-76616.403008801193</v>
      </c>
      <c r="F10" s="1">
        <v>-17986.986790839499</v>
      </c>
      <c r="G10" s="1">
        <v>15287.094538355101</v>
      </c>
      <c r="H10">
        <v>-1.1766125175526601</v>
      </c>
      <c r="I10" s="1">
        <f t="shared" si="1"/>
        <v>-2699.8922524843983</v>
      </c>
      <c r="J10" s="1">
        <v>-6302.0903447309802</v>
      </c>
      <c r="K10" s="1">
        <v>12370.0600946878</v>
      </c>
      <c r="L10">
        <v>-0.50946319552944896</v>
      </c>
      <c r="M10" s="1">
        <f t="shared" si="2"/>
        <v>6067.9697499568201</v>
      </c>
      <c r="N10" t="s">
        <v>28</v>
      </c>
    </row>
    <row r="11" spans="1:42" x14ac:dyDescent="0.25">
      <c r="A11" t="s">
        <v>9</v>
      </c>
      <c r="B11" s="1">
        <v>-112560.083841115</v>
      </c>
      <c r="C11" s="1">
        <v>24071.699131444799</v>
      </c>
      <c r="D11">
        <v>-4.6760340109967</v>
      </c>
      <c r="E11" s="1">
        <f t="shared" si="0"/>
        <v>-88488.384709670208</v>
      </c>
      <c r="F11" s="1">
        <v>-20252.154009836198</v>
      </c>
      <c r="G11" s="1">
        <v>16316.162333554499</v>
      </c>
      <c r="H11">
        <v>-1.2412326866954</v>
      </c>
      <c r="I11" s="1">
        <f t="shared" si="1"/>
        <v>-3935.9916762816993</v>
      </c>
      <c r="J11" s="1">
        <v>-7133.5598014398502</v>
      </c>
      <c r="K11" s="1">
        <v>13309.729450819899</v>
      </c>
      <c r="L11">
        <v>-0.535965800642205</v>
      </c>
      <c r="M11" s="1">
        <f t="shared" si="2"/>
        <v>6176.1696493800491</v>
      </c>
      <c r="N11" t="s">
        <v>28</v>
      </c>
    </row>
    <row r="12" spans="1:42" x14ac:dyDescent="0.25">
      <c r="A12" t="s">
        <v>10</v>
      </c>
      <c r="B12" s="1">
        <v>-20612.841126253501</v>
      </c>
      <c r="C12" s="1">
        <v>47147.659759674803</v>
      </c>
      <c r="D12">
        <v>-0.43719754556903001</v>
      </c>
      <c r="E12" s="1">
        <f t="shared" si="0"/>
        <v>26534.818633421302</v>
      </c>
      <c r="F12" s="1">
        <v>-2555.2191726661399</v>
      </c>
      <c r="G12" s="1">
        <v>33709.460372616202</v>
      </c>
      <c r="H12">
        <v>-7.58012482081101E-2</v>
      </c>
      <c r="I12" s="1">
        <f t="shared" si="1"/>
        <v>31154.241199950062</v>
      </c>
      <c r="J12" s="1">
        <v>-817.00285092435604</v>
      </c>
      <c r="K12" s="1">
        <v>27410.213109250599</v>
      </c>
      <c r="L12">
        <v>-2.9806512180987999E-2</v>
      </c>
      <c r="M12" s="1">
        <f t="shared" si="2"/>
        <v>26593.210258326242</v>
      </c>
      <c r="N12" t="s">
        <v>28</v>
      </c>
    </row>
    <row r="13" spans="1:42" x14ac:dyDescent="0.25">
      <c r="A13" t="s">
        <v>11</v>
      </c>
      <c r="B13" s="1">
        <v>33750.559282223403</v>
      </c>
      <c r="C13" s="1">
        <v>913639.44245667802</v>
      </c>
      <c r="D13">
        <v>3.6940786172137897E-2</v>
      </c>
      <c r="E13" s="1">
        <f t="shared" si="0"/>
        <v>947390.00173890148</v>
      </c>
      <c r="F13" s="1">
        <v>5157.5221174354301</v>
      </c>
      <c r="G13" s="1">
        <v>235929.47854249101</v>
      </c>
      <c r="H13">
        <v>2.1860439608043899E-2</v>
      </c>
      <c r="I13" s="1">
        <f t="shared" si="1"/>
        <v>241087.00065992645</v>
      </c>
      <c r="J13" s="1">
        <v>-354.46081332431601</v>
      </c>
      <c r="K13" s="1">
        <v>113106.55812487499</v>
      </c>
      <c r="L13">
        <v>-3.1338661453474098E-3</v>
      </c>
      <c r="M13" s="1">
        <f t="shared" si="2"/>
        <v>112752.09731155068</v>
      </c>
      <c r="N13" t="s">
        <v>28</v>
      </c>
    </row>
    <row r="14" spans="1:42" x14ac:dyDescent="0.25">
      <c r="A14" t="s">
        <v>12</v>
      </c>
      <c r="B14" s="1">
        <v>-22101.075343330998</v>
      </c>
      <c r="C14" s="1">
        <v>27762.780358668701</v>
      </c>
      <c r="D14">
        <v>-0.79606851539385404</v>
      </c>
      <c r="E14" s="1">
        <f t="shared" si="0"/>
        <v>5661.7050153377022</v>
      </c>
      <c r="F14" s="1">
        <v>-2707.91448460225</v>
      </c>
      <c r="G14" s="1">
        <v>19251.584572950102</v>
      </c>
      <c r="H14">
        <v>-0.140659303879175</v>
      </c>
      <c r="I14" s="1">
        <f t="shared" si="1"/>
        <v>16543.670088347852</v>
      </c>
      <c r="J14" s="1">
        <v>-692.01167725153198</v>
      </c>
      <c r="K14" s="1">
        <v>15282.8414246461</v>
      </c>
      <c r="L14">
        <v>-4.5280302139073698E-2</v>
      </c>
      <c r="M14" s="1">
        <f t="shared" si="2"/>
        <v>14590.829747394568</v>
      </c>
      <c r="N14" t="s">
        <v>28</v>
      </c>
    </row>
    <row r="15" spans="1:42" x14ac:dyDescent="0.25">
      <c r="A15" t="s">
        <v>59</v>
      </c>
      <c r="B15" s="1">
        <v>-343064.27648368402</v>
      </c>
      <c r="C15" s="1">
        <v>96166.745901482194</v>
      </c>
      <c r="D15">
        <v>-3.5673898837664302</v>
      </c>
      <c r="E15" s="1">
        <f t="shared" si="0"/>
        <v>-246897.53058220184</v>
      </c>
      <c r="F15" s="1">
        <v>-100078.99781724501</v>
      </c>
      <c r="G15" s="1">
        <v>46662.644528508899</v>
      </c>
      <c r="H15">
        <v>-2.14473480507734</v>
      </c>
      <c r="I15" s="1">
        <f t="shared" si="1"/>
        <v>-53416.353288736107</v>
      </c>
      <c r="J15" s="1">
        <v>-49751.588765194501</v>
      </c>
      <c r="K15" s="1">
        <v>28330.3209334069</v>
      </c>
      <c r="L15">
        <v>-1.75612513822699</v>
      </c>
      <c r="M15" s="1">
        <f t="shared" si="2"/>
        <v>-21421.267831787602</v>
      </c>
      <c r="N15" s="1" t="s">
        <v>28</v>
      </c>
      <c r="O15" s="1"/>
    </row>
    <row r="16" spans="1:42" x14ac:dyDescent="0.25">
      <c r="B16" s="1"/>
      <c r="C16" s="1"/>
      <c r="D16" s="1"/>
      <c r="E16" s="1"/>
      <c r="F16" s="1"/>
      <c r="G16" s="1"/>
      <c r="H16" s="1"/>
      <c r="I16" s="1"/>
      <c r="J16" s="1"/>
    </row>
  </sheetData>
  <autoFilter ref="A1:N1" xr:uid="{18025FA5-7769-47FF-9EA0-8E472D7D4015}">
    <sortState xmlns:xlrd2="http://schemas.microsoft.com/office/spreadsheetml/2017/richdata2" ref="A2:N14">
      <sortCondition ref="A1"/>
    </sortState>
  </autoFilter>
  <conditionalFormatting sqref="L2:L15 H2:H15 D2:D15">
    <cfRule type="colorScale" priority="1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C2576-3F3B-4E71-BDB4-1E4541BB8CBE}">
  <dimension ref="A1:J29"/>
  <sheetViews>
    <sheetView tabSelected="1" workbookViewId="0">
      <selection activeCell="T34" sqref="T34"/>
    </sheetView>
  </sheetViews>
  <sheetFormatPr defaultRowHeight="15" x14ac:dyDescent="0.25"/>
  <cols>
    <col min="3" max="3" width="15.140625" bestFit="1" customWidth="1"/>
    <col min="4" max="4" width="12.85546875" bestFit="1" customWidth="1"/>
    <col min="6" max="7" width="11.5703125" bestFit="1" customWidth="1"/>
    <col min="8" max="8" width="10.5703125" bestFit="1" customWidth="1"/>
    <col min="9" max="9" width="12.5703125" bestFit="1" customWidth="1"/>
  </cols>
  <sheetData>
    <row r="1" spans="1:10" x14ac:dyDescent="0.25">
      <c r="A1" t="str">
        <f>Low!A1</f>
        <v>Scenario</v>
      </c>
      <c r="B1" t="s">
        <v>32</v>
      </c>
      <c r="C1" t="str">
        <f>Low!F1</f>
        <v>Benefits | 12.0%</v>
      </c>
      <c r="D1" t="str">
        <f>Low!G1</f>
        <v>Costs | 12.0%</v>
      </c>
      <c r="F1" t="s">
        <v>60</v>
      </c>
      <c r="G1" t="s">
        <v>61</v>
      </c>
      <c r="H1" t="s">
        <v>62</v>
      </c>
      <c r="I1" t="s">
        <v>59</v>
      </c>
      <c r="J1" t="s">
        <v>32</v>
      </c>
    </row>
    <row r="2" spans="1:10" x14ac:dyDescent="0.25">
      <c r="A2" t="str">
        <f>Low!A2</f>
        <v>45Q-2040</v>
      </c>
      <c r="B2" t="s">
        <v>63</v>
      </c>
      <c r="C2" s="1">
        <f>Low!F2</f>
        <v>-11644.658803537901</v>
      </c>
      <c r="D2" s="1">
        <f>Low!G2</f>
        <v>32506.920082813402</v>
      </c>
      <c r="G2" s="1">
        <f>C2</f>
        <v>-11644.658803537901</v>
      </c>
    </row>
    <row r="3" spans="1:10" x14ac:dyDescent="0.25">
      <c r="A3" t="str">
        <f>Low!A3</f>
        <v>45Q-2050</v>
      </c>
      <c r="B3" t="s">
        <v>63</v>
      </c>
      <c r="C3" s="1">
        <f>Low!F3</f>
        <v>-30848.8092279228</v>
      </c>
      <c r="D3" s="1">
        <f>Low!G3</f>
        <v>68806.729018270402</v>
      </c>
      <c r="G3" s="1">
        <f t="shared" ref="G3:G5" si="0">C3</f>
        <v>-30848.8092279228</v>
      </c>
    </row>
    <row r="4" spans="1:10" x14ac:dyDescent="0.25">
      <c r="A4" t="str">
        <f>Low!A4</f>
        <v>CDRIA-2035</v>
      </c>
      <c r="B4" t="s">
        <v>63</v>
      </c>
      <c r="C4" s="1">
        <f>Low!F4</f>
        <v>-48889.259790475502</v>
      </c>
      <c r="D4" s="1">
        <f>Low!G4</f>
        <v>28709.564463483799</v>
      </c>
      <c r="G4" s="1">
        <f t="shared" si="0"/>
        <v>-48889.259790475502</v>
      </c>
    </row>
    <row r="5" spans="1:10" x14ac:dyDescent="0.25">
      <c r="A5" t="str">
        <f>Low!A5</f>
        <v>CDRIA-2050</v>
      </c>
      <c r="B5" t="s">
        <v>63</v>
      </c>
      <c r="C5" s="1">
        <f>Low!F5</f>
        <v>-124837.11295495099</v>
      </c>
      <c r="D5" s="1">
        <f>Low!G5</f>
        <v>125786.37310764899</v>
      </c>
      <c r="G5" s="1">
        <f t="shared" si="0"/>
        <v>-124837.11295495099</v>
      </c>
    </row>
    <row r="6" spans="1:10" x14ac:dyDescent="0.25">
      <c r="A6" t="str">
        <f>Low!A6</f>
        <v>Innovation-DACHubs</v>
      </c>
      <c r="B6" t="s">
        <v>63</v>
      </c>
      <c r="C6" s="1">
        <f>Low!F6</f>
        <v>-5718.2312864800897</v>
      </c>
      <c r="D6" s="1">
        <f>Low!G6</f>
        <v>15677.5227380697</v>
      </c>
      <c r="F6" s="1">
        <f>C6</f>
        <v>-5718.2312864800897</v>
      </c>
    </row>
    <row r="7" spans="1:10" x14ac:dyDescent="0.25">
      <c r="A7" t="str">
        <f>Low!A7</f>
        <v>Innovation-maintain</v>
      </c>
      <c r="B7" t="s">
        <v>63</v>
      </c>
      <c r="C7" s="1">
        <f>Low!F7</f>
        <v>-6100.3980291768003</v>
      </c>
      <c r="D7" s="1">
        <f>Low!G7</f>
        <v>12692.2292408466</v>
      </c>
      <c r="F7" s="1">
        <f t="shared" ref="F7:F10" si="1">C7</f>
        <v>-6100.3980291768003</v>
      </c>
    </row>
    <row r="8" spans="1:10" x14ac:dyDescent="0.25">
      <c r="A8" t="str">
        <f>Low!A8</f>
        <v>Innovation-rhodium18b</v>
      </c>
      <c r="B8" t="s">
        <v>63</v>
      </c>
      <c r="C8" s="1">
        <f>Low!F8</f>
        <v>-20972.403124771499</v>
      </c>
      <c r="D8" s="1">
        <f>Low!G8</f>
        <v>18375.511162999999</v>
      </c>
      <c r="F8" s="1">
        <f t="shared" si="1"/>
        <v>-20972.403124771499</v>
      </c>
    </row>
    <row r="9" spans="1:10" x14ac:dyDescent="0.25">
      <c r="A9" t="str">
        <f>Low!A9</f>
        <v>Innovation-rhodium6b</v>
      </c>
      <c r="B9" t="s">
        <v>63</v>
      </c>
      <c r="C9" s="1">
        <f>Low!F9</f>
        <v>-9175.9801601351992</v>
      </c>
      <c r="D9" s="1">
        <f>Low!G9</f>
        <v>13838.706423644</v>
      </c>
      <c r="F9" s="1">
        <f t="shared" si="1"/>
        <v>-9175.9801601351992</v>
      </c>
    </row>
    <row r="10" spans="1:10" x14ac:dyDescent="0.25">
      <c r="A10" t="str">
        <f>Low!A10</f>
        <v>Innovation-triple</v>
      </c>
      <c r="B10" t="s">
        <v>63</v>
      </c>
      <c r="C10" s="1">
        <f>Low!F10</f>
        <v>-10472.8845316388</v>
      </c>
      <c r="D10" s="1">
        <f>Low!G10</f>
        <v>14865.3551125206</v>
      </c>
      <c r="F10" s="1">
        <f t="shared" si="1"/>
        <v>-10472.8845316388</v>
      </c>
    </row>
    <row r="11" spans="1:10" x14ac:dyDescent="0.25">
      <c r="A11" t="str">
        <f>Low!A11</f>
        <v>Low Baseline</v>
      </c>
      <c r="B11" t="s">
        <v>63</v>
      </c>
      <c r="C11" s="1">
        <f>Low!F11</f>
        <v>0</v>
      </c>
      <c r="D11" s="1">
        <f>Low!G11</f>
        <v>11511.601320002699</v>
      </c>
      <c r="J11" s="1">
        <f>C11</f>
        <v>0</v>
      </c>
    </row>
    <row r="12" spans="1:10" x14ac:dyDescent="0.25">
      <c r="A12" t="str">
        <f>Low!A12</f>
        <v>Procure3B</v>
      </c>
      <c r="B12" t="s">
        <v>63</v>
      </c>
      <c r="C12" s="1">
        <f>Low!F12</f>
        <v>-32.085743248811902</v>
      </c>
      <c r="D12" s="1">
        <f>Low!G12</f>
        <v>32278.589396815001</v>
      </c>
      <c r="H12" s="1">
        <f>C12</f>
        <v>-32.085743248811902</v>
      </c>
    </row>
    <row r="13" spans="1:10" x14ac:dyDescent="0.25">
      <c r="A13" t="str">
        <f>Low!A13</f>
        <v>ProcureRhodium</v>
      </c>
      <c r="B13" t="s">
        <v>63</v>
      </c>
      <c r="C13" s="1">
        <f>Low!F13</f>
        <v>4460.6170443716501</v>
      </c>
      <c r="D13" s="1">
        <f>Low!G13</f>
        <v>222303.607323328</v>
      </c>
      <c r="H13" s="1">
        <f t="shared" ref="H13:H14" si="2">C13</f>
        <v>4460.6170443716501</v>
      </c>
    </row>
    <row r="14" spans="1:10" x14ac:dyDescent="0.25">
      <c r="A14" t="str">
        <f>Low!A14</f>
        <v>ProcureScaling</v>
      </c>
      <c r="B14" t="s">
        <v>63</v>
      </c>
      <c r="C14" s="1">
        <f>Low!F14</f>
        <v>-184.162683612303</v>
      </c>
      <c r="D14" s="1">
        <f>Low!G14</f>
        <v>17829.693968081301</v>
      </c>
      <c r="H14" s="1">
        <f t="shared" si="2"/>
        <v>-184.162683612303</v>
      </c>
    </row>
    <row r="15" spans="1:10" x14ac:dyDescent="0.25">
      <c r="A15" t="str">
        <f>Low!A15</f>
        <v>Optimal</v>
      </c>
      <c r="B15" t="s">
        <v>63</v>
      </c>
      <c r="C15" s="1">
        <f>Low!F15</f>
        <v>-55394.240300793303</v>
      </c>
      <c r="D15" s="1">
        <f>Low!G15</f>
        <v>44328.768128424897</v>
      </c>
      <c r="I15" s="1">
        <f>C15</f>
        <v>-55394.240300793303</v>
      </c>
    </row>
    <row r="16" spans="1:10" x14ac:dyDescent="0.25">
      <c r="A16" t="str">
        <f>High!A2</f>
        <v>45Q-2040</v>
      </c>
      <c r="B16" t="s">
        <v>36</v>
      </c>
      <c r="C16" s="1">
        <f>High!F2</f>
        <v>-24012.4014868552</v>
      </c>
      <c r="D16" s="1">
        <f>High!G2</f>
        <v>48730.788212699401</v>
      </c>
      <c r="G16" s="1">
        <f>C16</f>
        <v>-24012.4014868552</v>
      </c>
    </row>
    <row r="17" spans="1:10" x14ac:dyDescent="0.25">
      <c r="A17" t="str">
        <f>High!A3</f>
        <v>45Q-2050</v>
      </c>
      <c r="B17" t="s">
        <v>36</v>
      </c>
      <c r="C17" s="1">
        <f>High!F3</f>
        <v>-84257.525916830593</v>
      </c>
      <c r="D17" s="1">
        <f>High!G3</f>
        <v>140944.522706794</v>
      </c>
      <c r="G17" s="1">
        <f t="shared" ref="G17:G19" si="3">C17</f>
        <v>-84257.525916830593</v>
      </c>
    </row>
    <row r="18" spans="1:10" x14ac:dyDescent="0.25">
      <c r="A18" t="str">
        <f>High!A4</f>
        <v>CDRIA-2035</v>
      </c>
      <c r="B18" t="s">
        <v>36</v>
      </c>
      <c r="C18" s="1">
        <f>High!F4</f>
        <v>-74162.1476601756</v>
      </c>
      <c r="D18" s="1">
        <f>High!G4</f>
        <v>40207.866336966101</v>
      </c>
      <c r="G18" s="1">
        <f t="shared" si="3"/>
        <v>-74162.1476601756</v>
      </c>
    </row>
    <row r="19" spans="1:10" x14ac:dyDescent="0.25">
      <c r="A19" t="str">
        <f>High!A5</f>
        <v>CDRIA-2050</v>
      </c>
      <c r="B19" t="s">
        <v>36</v>
      </c>
      <c r="C19" s="1">
        <f>High!F5</f>
        <v>-265902.76421105402</v>
      </c>
      <c r="D19" s="1">
        <f>High!G5</f>
        <v>266640.44285571203</v>
      </c>
      <c r="G19" s="1">
        <f t="shared" si="3"/>
        <v>-265902.76421105402</v>
      </c>
    </row>
    <row r="20" spans="1:10" x14ac:dyDescent="0.25">
      <c r="A20" t="str">
        <f>High!A6</f>
        <v>High Baseline</v>
      </c>
      <c r="B20" t="s">
        <v>36</v>
      </c>
      <c r="C20" s="1">
        <f>High!F6</f>
        <v>0</v>
      </c>
      <c r="D20" s="1">
        <f>High!G6</f>
        <v>12922.5120645157</v>
      </c>
      <c r="J20" s="1">
        <f>C20</f>
        <v>0</v>
      </c>
    </row>
    <row r="21" spans="1:10" x14ac:dyDescent="0.25">
      <c r="A21" t="str">
        <f>High!A7</f>
        <v>Innovation-DACHubs</v>
      </c>
      <c r="B21" t="s">
        <v>36</v>
      </c>
      <c r="C21" s="1">
        <f>High!F7</f>
        <v>-14041.807010664401</v>
      </c>
      <c r="D21" s="1">
        <f>High!G7</f>
        <v>17381.240704187301</v>
      </c>
      <c r="F21" s="1">
        <f>C21</f>
        <v>-14041.807010664401</v>
      </c>
    </row>
    <row r="22" spans="1:10" x14ac:dyDescent="0.25">
      <c r="A22" t="str">
        <f>High!A8</f>
        <v>Innovation-maintain</v>
      </c>
      <c r="B22" t="s">
        <v>36</v>
      </c>
      <c r="C22" s="1">
        <f>High!F8</f>
        <v>-12795.920628411601</v>
      </c>
      <c r="D22" s="1">
        <f>High!G8</f>
        <v>14128.7206300791</v>
      </c>
      <c r="F22" s="1">
        <f t="shared" ref="F22:F25" si="4">C22</f>
        <v>-12795.920628411601</v>
      </c>
    </row>
    <row r="23" spans="1:10" x14ac:dyDescent="0.25">
      <c r="A23" t="str">
        <f>High!A9</f>
        <v>Innovation-rhodium18b</v>
      </c>
      <c r="B23" t="s">
        <v>36</v>
      </c>
      <c r="C23" s="1">
        <f>High!F9</f>
        <v>-38626.101035459098</v>
      </c>
      <c r="D23" s="1">
        <f>High!G9</f>
        <v>19876.195905398199</v>
      </c>
      <c r="F23" s="1">
        <f t="shared" si="4"/>
        <v>-38626.101035459098</v>
      </c>
    </row>
    <row r="24" spans="1:10" x14ac:dyDescent="0.25">
      <c r="A24" t="str">
        <f>High!A10</f>
        <v>Innovation-rhodium6b</v>
      </c>
      <c r="B24" t="s">
        <v>36</v>
      </c>
      <c r="C24" s="1">
        <f>High!F10</f>
        <v>-17986.986790839499</v>
      </c>
      <c r="D24" s="1">
        <f>High!G10</f>
        <v>15287.094538355101</v>
      </c>
      <c r="F24" s="1">
        <f t="shared" si="4"/>
        <v>-17986.986790839499</v>
      </c>
    </row>
    <row r="25" spans="1:10" x14ac:dyDescent="0.25">
      <c r="A25" t="str">
        <f>High!A11</f>
        <v>Innovation-triple</v>
      </c>
      <c r="B25" t="s">
        <v>36</v>
      </c>
      <c r="C25" s="1">
        <f>High!F11</f>
        <v>-20252.154009836198</v>
      </c>
      <c r="D25" s="1">
        <f>High!G11</f>
        <v>16316.162333554499</v>
      </c>
      <c r="F25" s="1">
        <f t="shared" si="4"/>
        <v>-20252.154009836198</v>
      </c>
    </row>
    <row r="26" spans="1:10" x14ac:dyDescent="0.25">
      <c r="A26" t="str">
        <f>High!A12</f>
        <v>Procure3B</v>
      </c>
      <c r="B26" t="s">
        <v>36</v>
      </c>
      <c r="C26" s="1">
        <f>High!F12</f>
        <v>-2555.2191726661399</v>
      </c>
      <c r="D26" s="1">
        <f>High!G12</f>
        <v>33709.460372616202</v>
      </c>
      <c r="H26" s="1">
        <f>C26</f>
        <v>-2555.2191726661399</v>
      </c>
    </row>
    <row r="27" spans="1:10" x14ac:dyDescent="0.25">
      <c r="A27" t="str">
        <f>High!A13</f>
        <v>ProcureRhodium</v>
      </c>
      <c r="B27" t="s">
        <v>36</v>
      </c>
      <c r="C27" s="1">
        <f>High!F13</f>
        <v>5157.5221174354301</v>
      </c>
      <c r="D27" s="1">
        <f>High!G13</f>
        <v>235929.47854249101</v>
      </c>
      <c r="H27" s="1">
        <f t="shared" ref="H27:H28" si="5">C27</f>
        <v>5157.5221174354301</v>
      </c>
    </row>
    <row r="28" spans="1:10" x14ac:dyDescent="0.25">
      <c r="A28" t="str">
        <f>High!A14</f>
        <v>ProcureScaling</v>
      </c>
      <c r="B28" t="s">
        <v>36</v>
      </c>
      <c r="C28" s="1">
        <f>High!F14</f>
        <v>-2707.91448460225</v>
      </c>
      <c r="D28" s="1">
        <f>High!G14</f>
        <v>19251.584572950102</v>
      </c>
      <c r="H28" s="1">
        <f t="shared" si="5"/>
        <v>-2707.91448460225</v>
      </c>
    </row>
    <row r="29" spans="1:10" x14ac:dyDescent="0.25">
      <c r="A29" t="str">
        <f>High!A15</f>
        <v>Optimal</v>
      </c>
      <c r="B29" t="s">
        <v>36</v>
      </c>
      <c r="C29" s="1">
        <f>High!F15</f>
        <v>-100078.99781724501</v>
      </c>
      <c r="D29" s="1">
        <f>High!G15</f>
        <v>46662.644528508899</v>
      </c>
      <c r="I29" s="1">
        <f>C29</f>
        <v>-100078.99781724501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F8D6B-AAC7-4D47-8A22-E3B6AC50568B}">
  <dimension ref="A1:J58"/>
  <sheetViews>
    <sheetView topLeftCell="A15" workbookViewId="0">
      <selection activeCell="E31" sqref="E31:I31"/>
    </sheetView>
  </sheetViews>
  <sheetFormatPr defaultRowHeight="15" x14ac:dyDescent="0.25"/>
  <cols>
    <col min="1" max="1" width="22.28515625" bestFit="1" customWidth="1"/>
    <col min="2" max="2" width="10.85546875" bestFit="1" customWidth="1"/>
    <col min="3" max="3" width="23.28515625" customWidth="1"/>
    <col min="4" max="4" width="23.5703125" customWidth="1"/>
  </cols>
  <sheetData>
    <row r="1" spans="1:10" x14ac:dyDescent="0.25">
      <c r="A1" t="s">
        <v>0</v>
      </c>
      <c r="B1" t="s">
        <v>32</v>
      </c>
      <c r="C1" t="s">
        <v>46</v>
      </c>
      <c r="D1" t="s">
        <v>56</v>
      </c>
      <c r="E1" t="s">
        <v>38</v>
      </c>
      <c r="F1" t="s">
        <v>55</v>
      </c>
      <c r="G1" t="s">
        <v>39</v>
      </c>
      <c r="H1" t="s">
        <v>57</v>
      </c>
      <c r="I1" t="s">
        <v>54</v>
      </c>
      <c r="J1" t="s">
        <v>47</v>
      </c>
    </row>
    <row r="2" spans="1:10" x14ac:dyDescent="0.25">
      <c r="A2" t="s">
        <v>31</v>
      </c>
      <c r="B2" t="s">
        <v>33</v>
      </c>
      <c r="C2">
        <v>5.4175769899473796</v>
      </c>
      <c r="D2">
        <v>0</v>
      </c>
      <c r="E2">
        <v>1.21462324059764</v>
      </c>
      <c r="F2">
        <v>0</v>
      </c>
      <c r="G2">
        <v>0.50517645710506498</v>
      </c>
      <c r="H2">
        <v>0</v>
      </c>
      <c r="I2">
        <v>0</v>
      </c>
      <c r="J2">
        <v>0.84290901691641495</v>
      </c>
    </row>
    <row r="3" spans="1:10" x14ac:dyDescent="0.25">
      <c r="A3" t="s">
        <v>1</v>
      </c>
      <c r="B3" t="s">
        <v>34</v>
      </c>
      <c r="C3">
        <v>5.4526751392889503</v>
      </c>
      <c r="D3">
        <v>7.9722193986204699</v>
      </c>
      <c r="E3">
        <v>1.2265993616247699</v>
      </c>
      <c r="F3">
        <v>12.943976807287701</v>
      </c>
      <c r="G3">
        <v>0.51196546571708901</v>
      </c>
      <c r="H3">
        <v>17.3256530369916</v>
      </c>
      <c r="I3">
        <v>2.1065459229826602</v>
      </c>
      <c r="J3">
        <v>0.84470017355869997</v>
      </c>
    </row>
    <row r="4" spans="1:10" x14ac:dyDescent="0.25">
      <c r="A4" t="s">
        <v>2</v>
      </c>
      <c r="B4" t="s">
        <v>34</v>
      </c>
      <c r="C4">
        <v>5.4176986655229298</v>
      </c>
      <c r="D4">
        <v>4.18215697221197E-2</v>
      </c>
      <c r="E4">
        <v>1.2200220480936199</v>
      </c>
      <c r="F4">
        <v>7.3634914210611901</v>
      </c>
      <c r="G4">
        <v>0.50945647219154799</v>
      </c>
      <c r="H4">
        <v>12.3014623706724</v>
      </c>
      <c r="I4">
        <v>-32.193007747667103</v>
      </c>
      <c r="J4">
        <v>0.83139861124438796</v>
      </c>
    </row>
    <row r="5" spans="1:10" x14ac:dyDescent="0.25">
      <c r="A5" t="s">
        <v>6</v>
      </c>
      <c r="B5" t="s">
        <v>34</v>
      </c>
      <c r="C5">
        <v>5.4325606637280597</v>
      </c>
      <c r="D5">
        <v>3.27434679522118</v>
      </c>
      <c r="E5">
        <v>1.2224848613141599</v>
      </c>
      <c r="F5">
        <v>7.9854624669163199</v>
      </c>
      <c r="G5">
        <v>0.51069933585084104</v>
      </c>
      <c r="H5">
        <v>13.341427664723501</v>
      </c>
      <c r="I5">
        <v>-4.7661224787360901</v>
      </c>
      <c r="J5">
        <v>0.83899992545385804</v>
      </c>
    </row>
    <row r="6" spans="1:10" x14ac:dyDescent="0.25">
      <c r="A6" t="s">
        <v>5</v>
      </c>
      <c r="B6" t="s">
        <v>34</v>
      </c>
      <c r="C6">
        <v>5.4675026820248398</v>
      </c>
      <c r="D6">
        <v>11.080702210154501</v>
      </c>
      <c r="E6">
        <v>1.23111451544623</v>
      </c>
      <c r="F6">
        <v>16.816335761750899</v>
      </c>
      <c r="G6">
        <v>0.513737215902481</v>
      </c>
      <c r="H6">
        <v>20.4675390471334</v>
      </c>
      <c r="I6">
        <v>-1.6578001841819501</v>
      </c>
      <c r="J6">
        <v>0.84157377260607302</v>
      </c>
    </row>
    <row r="7" spans="1:10" x14ac:dyDescent="0.25">
      <c r="A7" t="s">
        <v>8</v>
      </c>
      <c r="B7" t="s">
        <v>34</v>
      </c>
      <c r="C7">
        <v>5.4690262916548296</v>
      </c>
      <c r="D7">
        <v>13.3924163736789</v>
      </c>
      <c r="E7">
        <v>1.24274587562168</v>
      </c>
      <c r="F7">
        <v>33.8032802979519</v>
      </c>
      <c r="G7">
        <v>0.52159577509564503</v>
      </c>
      <c r="H7">
        <v>45.889149664641799</v>
      </c>
      <c r="I7">
        <v>-17.610796138934401</v>
      </c>
      <c r="J7">
        <v>0.83026724806194996</v>
      </c>
    </row>
    <row r="8" spans="1:10" x14ac:dyDescent="0.25">
      <c r="A8" t="s">
        <v>7</v>
      </c>
      <c r="B8" t="s">
        <v>34</v>
      </c>
      <c r="C8">
        <v>5.4704807351999003</v>
      </c>
      <c r="D8">
        <v>12.090518117610101</v>
      </c>
      <c r="E8">
        <v>1.2344805645724799</v>
      </c>
      <c r="F8">
        <v>20.904336245338801</v>
      </c>
      <c r="G8">
        <v>0.51580994167138305</v>
      </c>
      <c r="H8">
        <v>26.205814883550801</v>
      </c>
      <c r="I8">
        <v>-4.2330036189303399</v>
      </c>
      <c r="J8">
        <v>0.83955683086218402</v>
      </c>
    </row>
    <row r="9" spans="1:10" x14ac:dyDescent="0.25">
      <c r="A9" t="s">
        <v>9</v>
      </c>
      <c r="B9" t="s">
        <v>34</v>
      </c>
      <c r="C9">
        <v>5.4684294412951697</v>
      </c>
      <c r="D9">
        <v>11.804833462263</v>
      </c>
      <c r="E9">
        <v>1.23469984643818</v>
      </c>
      <c r="F9">
        <v>21.4277299143567</v>
      </c>
      <c r="G9">
        <v>0.51633662594582996</v>
      </c>
      <c r="H9">
        <v>27.919026065915698</v>
      </c>
      <c r="I9">
        <v>-5.6982743163725003</v>
      </c>
      <c r="J9">
        <v>0.83849573801586097</v>
      </c>
    </row>
    <row r="10" spans="1:10" x14ac:dyDescent="0.25">
      <c r="A10" t="s">
        <v>13</v>
      </c>
      <c r="B10" t="s">
        <v>34</v>
      </c>
      <c r="C10">
        <v>5.5007324623894398</v>
      </c>
      <c r="D10">
        <v>17.279164053851499</v>
      </c>
      <c r="E10">
        <v>1.2333937815064</v>
      </c>
      <c r="F10">
        <v>18.019593931069998</v>
      </c>
      <c r="G10">
        <v>0.513172389200656</v>
      </c>
      <c r="H10">
        <v>18.0957375351921</v>
      </c>
      <c r="I10">
        <v>10.550045036612699</v>
      </c>
      <c r="J10">
        <v>0.85202798348279696</v>
      </c>
    </row>
    <row r="11" spans="1:10" x14ac:dyDescent="0.25">
      <c r="A11" t="s">
        <v>10</v>
      </c>
      <c r="B11" t="s">
        <v>34</v>
      </c>
      <c r="C11">
        <v>5.4984718932521197</v>
      </c>
      <c r="D11">
        <v>16.858636173362701</v>
      </c>
      <c r="E11">
        <v>1.2461970757383001</v>
      </c>
      <c r="F11">
        <v>30.32001009859</v>
      </c>
      <c r="G11">
        <v>0.52572239246154995</v>
      </c>
      <c r="H11">
        <v>46.738446809391498</v>
      </c>
      <c r="I11">
        <v>3.6313721464693201</v>
      </c>
      <c r="J11">
        <v>0.84599726777568296</v>
      </c>
    </row>
    <row r="12" spans="1:10" x14ac:dyDescent="0.25">
      <c r="A12" t="s">
        <v>11</v>
      </c>
      <c r="B12" t="s">
        <v>34</v>
      </c>
      <c r="C12">
        <v>5.7243968175114803</v>
      </c>
      <c r="D12">
        <v>58.794583510587898</v>
      </c>
      <c r="E12">
        <v>1.3160625148040399</v>
      </c>
      <c r="F12">
        <v>93.382246268824602</v>
      </c>
      <c r="G12">
        <v>0.56052492044233604</v>
      </c>
      <c r="H12">
        <v>128.25279781669599</v>
      </c>
      <c r="I12">
        <v>11.060630810043</v>
      </c>
      <c r="J12">
        <v>0.85298997575326196</v>
      </c>
    </row>
    <row r="13" spans="1:10" x14ac:dyDescent="0.25">
      <c r="A13" t="s">
        <v>12</v>
      </c>
      <c r="B13" t="s">
        <v>34</v>
      </c>
      <c r="C13">
        <v>5.4812879541932098</v>
      </c>
      <c r="D13">
        <v>13.3113794026041</v>
      </c>
      <c r="E13">
        <v>1.2334114219814001</v>
      </c>
      <c r="F13">
        <v>18.068472816125901</v>
      </c>
      <c r="G13">
        <v>0.51482952026028495</v>
      </c>
      <c r="H13">
        <v>21.908114265485199</v>
      </c>
      <c r="I13">
        <v>3.6008171018680599</v>
      </c>
      <c r="J13">
        <v>0.84597114411709196</v>
      </c>
    </row>
    <row r="14" spans="1:10" x14ac:dyDescent="0.25">
      <c r="A14" t="s">
        <v>1</v>
      </c>
      <c r="B14" t="s">
        <v>36</v>
      </c>
      <c r="C14">
        <v>5.5417657965940101</v>
      </c>
      <c r="D14">
        <v>10.5657233468163</v>
      </c>
      <c r="E14">
        <v>1.2457635282608599</v>
      </c>
      <c r="F14">
        <v>15.427706085558601</v>
      </c>
      <c r="G14">
        <v>0.51994929271492896</v>
      </c>
      <c r="H14">
        <v>21.036516548608301</v>
      </c>
      <c r="I14">
        <v>2.9193308209991198</v>
      </c>
      <c r="J14">
        <v>0.85190822649338904</v>
      </c>
    </row>
    <row r="15" spans="1:10" x14ac:dyDescent="0.25">
      <c r="A15" t="s">
        <v>2</v>
      </c>
      <c r="B15" t="s">
        <v>36</v>
      </c>
      <c r="C15">
        <v>5.5469377878581998</v>
      </c>
      <c r="D15">
        <v>18.574625943324801</v>
      </c>
      <c r="E15">
        <v>1.24906589704301</v>
      </c>
      <c r="F15">
        <v>24.3236703991907</v>
      </c>
      <c r="G15">
        <v>0.52138261081502402</v>
      </c>
      <c r="H15">
        <v>28.5792634483009</v>
      </c>
      <c r="I15">
        <v>2.9106502559085001</v>
      </c>
      <c r="J15">
        <v>0.84685936766477898</v>
      </c>
    </row>
    <row r="16" spans="1:10" x14ac:dyDescent="0.25">
      <c r="A16" t="s">
        <v>14</v>
      </c>
      <c r="B16" t="s">
        <v>36</v>
      </c>
      <c r="C16">
        <v>5.6382572848615498</v>
      </c>
      <c r="D16">
        <v>17.3728711500404</v>
      </c>
      <c r="E16">
        <v>1.26406672926263</v>
      </c>
      <c r="F16">
        <v>21.891315429941098</v>
      </c>
      <c r="G16">
        <v>0.52557117328980196</v>
      </c>
      <c r="H16">
        <v>25.521841091825902</v>
      </c>
      <c r="I16">
        <v>6.3225799064404198</v>
      </c>
      <c r="J16">
        <v>0.86290930411762501</v>
      </c>
    </row>
    <row r="17" spans="1:10" x14ac:dyDescent="0.25">
      <c r="A17" t="s">
        <v>6</v>
      </c>
      <c r="B17" t="s">
        <v>36</v>
      </c>
      <c r="C17">
        <v>5.4997560593119497</v>
      </c>
      <c r="D17">
        <v>6.9142507501659596</v>
      </c>
      <c r="E17">
        <v>1.2403987076644101</v>
      </c>
      <c r="F17">
        <v>12.1687368263228</v>
      </c>
      <c r="G17">
        <v>0.51878134271989196</v>
      </c>
      <c r="H17">
        <v>18.177778055381498</v>
      </c>
      <c r="I17">
        <v>-3.1562896930530902</v>
      </c>
      <c r="J17">
        <v>0.83367092671279197</v>
      </c>
    </row>
    <row r="18" spans="1:10" x14ac:dyDescent="0.25">
      <c r="A18" t="s">
        <v>5</v>
      </c>
      <c r="B18" t="s">
        <v>36</v>
      </c>
      <c r="C18">
        <v>5.54833513221618</v>
      </c>
      <c r="D18">
        <v>10.9377981211906</v>
      </c>
      <c r="E18">
        <v>1.2520633936749701</v>
      </c>
      <c r="F18">
        <v>17.572339232378901</v>
      </c>
      <c r="G18">
        <v>0.52294039663778702</v>
      </c>
      <c r="H18">
        <v>23.486863841748999</v>
      </c>
      <c r="I18">
        <v>-1.91250657480905</v>
      </c>
      <c r="J18">
        <v>0.83722312530660403</v>
      </c>
    </row>
    <row r="19" spans="1:10" x14ac:dyDescent="0.25">
      <c r="A19" t="s">
        <v>8</v>
      </c>
      <c r="B19" t="s">
        <v>36</v>
      </c>
      <c r="C19">
        <v>5.4635976264752202</v>
      </c>
      <c r="D19">
        <v>4.3055182785194903</v>
      </c>
      <c r="E19">
        <v>1.24990611993794</v>
      </c>
      <c r="F19">
        <v>18.844388223606401</v>
      </c>
      <c r="G19">
        <v>0.52663439663696598</v>
      </c>
      <c r="H19">
        <v>32.607896734475098</v>
      </c>
      <c r="I19">
        <v>-14.256171407604199</v>
      </c>
      <c r="J19">
        <v>0.803877527412028</v>
      </c>
    </row>
    <row r="20" spans="1:10" x14ac:dyDescent="0.25">
      <c r="A20" t="s">
        <v>7</v>
      </c>
      <c r="B20" t="s">
        <v>36</v>
      </c>
      <c r="C20">
        <v>5.5358720502600303</v>
      </c>
      <c r="D20">
        <v>10.094129555691</v>
      </c>
      <c r="E20">
        <v>1.2527627412573199</v>
      </c>
      <c r="F20">
        <v>18.347595088783098</v>
      </c>
      <c r="G20">
        <v>0.52415207638914296</v>
      </c>
      <c r="H20">
        <v>25.7790287192941</v>
      </c>
      <c r="I20">
        <v>-3.7834628368867498</v>
      </c>
      <c r="J20">
        <v>0.83178761107612398</v>
      </c>
    </row>
    <row r="21" spans="1:10" x14ac:dyDescent="0.25">
      <c r="A21" t="s">
        <v>9</v>
      </c>
      <c r="B21" t="s">
        <v>36</v>
      </c>
      <c r="C21">
        <v>5.5232699771311804</v>
      </c>
      <c r="D21">
        <v>9.1295821492606297</v>
      </c>
      <c r="E21">
        <v>1.2516020094135401</v>
      </c>
      <c r="F21">
        <v>17.985190607705601</v>
      </c>
      <c r="G21">
        <v>0.52434373084310903</v>
      </c>
      <c r="H21">
        <v>26.336894077588902</v>
      </c>
      <c r="I21">
        <v>-5.5231217389472302</v>
      </c>
      <c r="J21">
        <v>0.82691386934122102</v>
      </c>
    </row>
    <row r="22" spans="1:10" x14ac:dyDescent="0.25">
      <c r="A22" t="s">
        <v>10</v>
      </c>
      <c r="B22" t="s">
        <v>36</v>
      </c>
      <c r="C22">
        <v>5.6119825340455902</v>
      </c>
      <c r="D22">
        <v>15.5568590322536</v>
      </c>
      <c r="E22">
        <v>1.2719189458234801</v>
      </c>
      <c r="F22">
        <v>25.6581977557504</v>
      </c>
      <c r="G22">
        <v>0.53623613968750194</v>
      </c>
      <c r="H22">
        <v>39.269411978856098</v>
      </c>
      <c r="I22">
        <v>2.8341151029912499</v>
      </c>
      <c r="J22">
        <v>0.851644293857301</v>
      </c>
    </row>
    <row r="23" spans="1:10" x14ac:dyDescent="0.25">
      <c r="A23" t="s">
        <v>11</v>
      </c>
      <c r="B23" t="s">
        <v>36</v>
      </c>
      <c r="C23">
        <v>5.8166522657457698</v>
      </c>
      <c r="D23">
        <v>30.603730057832198</v>
      </c>
      <c r="E23">
        <v>1.3364385232365401</v>
      </c>
      <c r="F23">
        <v>52.730135299082299</v>
      </c>
      <c r="G23">
        <v>0.56914999220891305</v>
      </c>
      <c r="H23">
        <v>80.412834541766998</v>
      </c>
      <c r="I23">
        <v>7.8453238562851402</v>
      </c>
      <c r="J23">
        <v>0.86755067881605097</v>
      </c>
    </row>
    <row r="24" spans="1:10" x14ac:dyDescent="0.25">
      <c r="A24" t="s">
        <v>12</v>
      </c>
      <c r="B24" t="s">
        <v>36</v>
      </c>
      <c r="C24">
        <v>5.5985806170975803</v>
      </c>
      <c r="D24">
        <v>14.5016716897262</v>
      </c>
      <c r="E24">
        <v>1.2617380288169799</v>
      </c>
      <c r="F24">
        <v>21.1134106483448</v>
      </c>
      <c r="G24">
        <v>0.52686850022717402</v>
      </c>
      <c r="H24">
        <v>27.382435589819298</v>
      </c>
      <c r="I24">
        <v>2.51401455023696</v>
      </c>
      <c r="J24">
        <v>0.850655130555378</v>
      </c>
    </row>
    <row r="25" spans="1:10" x14ac:dyDescent="0.25">
      <c r="A25" t="s">
        <v>29</v>
      </c>
      <c r="B25" t="s">
        <v>35</v>
      </c>
      <c r="C25">
        <v>5.59858089366009</v>
      </c>
      <c r="D25">
        <v>8.9909705744803396</v>
      </c>
      <c r="E25">
        <v>1.26706396066733</v>
      </c>
      <c r="F25">
        <v>15.740247717615199</v>
      </c>
      <c r="G25">
        <v>0.52914280295609695</v>
      </c>
      <c r="H25">
        <v>21.9644485184402</v>
      </c>
      <c r="I25">
        <v>-5.8747233323781796</v>
      </c>
      <c r="J25">
        <v>0.81035839577417801</v>
      </c>
    </row>
    <row r="26" spans="1:10" x14ac:dyDescent="0.25">
      <c r="A26" t="s">
        <v>30</v>
      </c>
      <c r="B26" t="s">
        <v>37</v>
      </c>
      <c r="C26">
        <v>5.6764675158573299</v>
      </c>
      <c r="D26">
        <v>7.5077860222692498</v>
      </c>
      <c r="E26">
        <v>1.2753904629780699</v>
      </c>
      <c r="F26">
        <v>11.388571489914501</v>
      </c>
      <c r="G26">
        <v>0.53294102312719405</v>
      </c>
      <c r="H26">
        <v>17.1908399626004</v>
      </c>
      <c r="I26">
        <v>18.9014044107759</v>
      </c>
      <c r="J26">
        <v>1.03936327231345</v>
      </c>
    </row>
    <row r="27" spans="1:10" x14ac:dyDescent="0.25">
      <c r="A27" t="s">
        <v>58</v>
      </c>
      <c r="B27" t="s">
        <v>34</v>
      </c>
      <c r="C27">
        <v>5.3010462151932503</v>
      </c>
      <c r="D27">
        <v>-38.3720249610137</v>
      </c>
      <c r="E27">
        <v>1.1731321959108101</v>
      </c>
      <c r="F27">
        <v>-85.069436552493201</v>
      </c>
      <c r="G27">
        <v>0.48426792383517298</v>
      </c>
      <c r="H27">
        <v>-127.962275149492</v>
      </c>
      <c r="I27">
        <v>-16.938204157826199</v>
      </c>
      <c r="J27">
        <v>0.83073285141483499</v>
      </c>
    </row>
    <row r="28" spans="1:10" x14ac:dyDescent="0.25">
      <c r="A28" t="s">
        <v>58</v>
      </c>
      <c r="B28" t="s">
        <v>36</v>
      </c>
      <c r="C28">
        <v>5.5504529880081197</v>
      </c>
      <c r="D28">
        <v>14.3309846710661</v>
      </c>
      <c r="E28">
        <v>1.28812765278595</v>
      </c>
      <c r="F28">
        <v>58.438907219487298</v>
      </c>
      <c r="G28">
        <v>0.54364839445570401</v>
      </c>
      <c r="H28">
        <v>127.562664353183</v>
      </c>
      <c r="I28">
        <v>-14.693518666643</v>
      </c>
      <c r="J28">
        <v>0.80267852328578704</v>
      </c>
    </row>
    <row r="31" spans="1:10" x14ac:dyDescent="0.25">
      <c r="A31" t="str">
        <f>A1</f>
        <v>Scenario</v>
      </c>
      <c r="B31" t="str">
        <f>B1</f>
        <v>Baseline</v>
      </c>
      <c r="C31" t="str">
        <f>D1</f>
        <v>Cost Decrease necessary in NPV of CDR market | 2.0% discount rate</v>
      </c>
      <c r="D31" t="str">
        <f>I1</f>
        <v>Cost Decrease necessary in size of the CDR market in 2050</v>
      </c>
      <c r="E31" t="s">
        <v>60</v>
      </c>
      <c r="F31" t="s">
        <v>61</v>
      </c>
      <c r="G31" t="s">
        <v>62</v>
      </c>
      <c r="H31" t="s">
        <v>59</v>
      </c>
      <c r="I31" t="s">
        <v>32</v>
      </c>
    </row>
    <row r="32" spans="1:10" x14ac:dyDescent="0.25">
      <c r="A32" t="str">
        <f t="shared" ref="A32:B32" si="0">A2</f>
        <v>100 Mt Baseline</v>
      </c>
      <c r="B32" t="str">
        <f t="shared" si="0"/>
        <v>100 Mt</v>
      </c>
      <c r="C32">
        <f t="shared" ref="C32:C58" si="1">D2</f>
        <v>0</v>
      </c>
      <c r="D32">
        <f t="shared" ref="D32:D56" si="2">I2</f>
        <v>0</v>
      </c>
      <c r="I32">
        <f>C32</f>
        <v>0</v>
      </c>
    </row>
    <row r="33" spans="1:9" x14ac:dyDescent="0.25">
      <c r="A33" t="str">
        <f t="shared" ref="A33:B33" si="3">A3</f>
        <v>45Q-2040</v>
      </c>
      <c r="B33" t="str">
        <f t="shared" si="3"/>
        <v>500 Mt</v>
      </c>
      <c r="C33">
        <f t="shared" si="1"/>
        <v>7.9722193986204699</v>
      </c>
      <c r="D33">
        <f t="shared" si="2"/>
        <v>2.1065459229826602</v>
      </c>
      <c r="F33">
        <f>C33</f>
        <v>7.9722193986204699</v>
      </c>
    </row>
    <row r="34" spans="1:9" x14ac:dyDescent="0.25">
      <c r="A34" t="str">
        <f t="shared" ref="A34:B34" si="4">A4</f>
        <v>45Q-2050</v>
      </c>
      <c r="B34" t="str">
        <f t="shared" si="4"/>
        <v>500 Mt</v>
      </c>
      <c r="C34">
        <f t="shared" si="1"/>
        <v>4.18215697221197E-2</v>
      </c>
      <c r="D34">
        <f t="shared" si="2"/>
        <v>-32.193007747667103</v>
      </c>
      <c r="F34">
        <f>C34</f>
        <v>4.18215697221197E-2</v>
      </c>
    </row>
    <row r="35" spans="1:9" x14ac:dyDescent="0.25">
      <c r="A35" t="str">
        <f t="shared" ref="A35:B35" si="5">A5</f>
        <v>Innovation-DACHubs</v>
      </c>
      <c r="B35" t="str">
        <f t="shared" si="5"/>
        <v>500 Mt</v>
      </c>
      <c r="C35">
        <f t="shared" si="1"/>
        <v>3.27434679522118</v>
      </c>
      <c r="D35">
        <f t="shared" si="2"/>
        <v>-4.7661224787360901</v>
      </c>
      <c r="E35">
        <f>C35</f>
        <v>3.27434679522118</v>
      </c>
    </row>
    <row r="36" spans="1:9" x14ac:dyDescent="0.25">
      <c r="A36" t="str">
        <f t="shared" ref="A36:B36" si="6">A6</f>
        <v>Innovation-maintain</v>
      </c>
      <c r="B36" t="str">
        <f t="shared" si="6"/>
        <v>500 Mt</v>
      </c>
      <c r="C36">
        <f t="shared" si="1"/>
        <v>11.080702210154501</v>
      </c>
      <c r="D36">
        <f t="shared" si="2"/>
        <v>-1.6578001841819501</v>
      </c>
      <c r="E36">
        <f t="shared" ref="E36:E39" si="7">C36</f>
        <v>11.080702210154501</v>
      </c>
    </row>
    <row r="37" spans="1:9" x14ac:dyDescent="0.25">
      <c r="A37" t="str">
        <f t="shared" ref="A37:B37" si="8">A7</f>
        <v>Innovation-rhodium18b</v>
      </c>
      <c r="B37" t="str">
        <f t="shared" si="8"/>
        <v>500 Mt</v>
      </c>
      <c r="C37">
        <f t="shared" si="1"/>
        <v>13.3924163736789</v>
      </c>
      <c r="D37">
        <f t="shared" si="2"/>
        <v>-17.610796138934401</v>
      </c>
      <c r="E37">
        <f t="shared" si="7"/>
        <v>13.3924163736789</v>
      </c>
    </row>
    <row r="38" spans="1:9" x14ac:dyDescent="0.25">
      <c r="A38" t="str">
        <f t="shared" ref="A38:B38" si="9">A8</f>
        <v>Innovation-rhodium6b</v>
      </c>
      <c r="B38" t="str">
        <f t="shared" si="9"/>
        <v>500 Mt</v>
      </c>
      <c r="C38">
        <f t="shared" si="1"/>
        <v>12.090518117610101</v>
      </c>
      <c r="D38">
        <f t="shared" si="2"/>
        <v>-4.2330036189303399</v>
      </c>
      <c r="E38">
        <f t="shared" si="7"/>
        <v>12.090518117610101</v>
      </c>
    </row>
    <row r="39" spans="1:9" x14ac:dyDescent="0.25">
      <c r="A39" t="str">
        <f t="shared" ref="A39:B39" si="10">A9</f>
        <v>Innovation-triple</v>
      </c>
      <c r="B39" t="str">
        <f t="shared" si="10"/>
        <v>500 Mt</v>
      </c>
      <c r="C39">
        <f t="shared" si="1"/>
        <v>11.804833462263</v>
      </c>
      <c r="D39">
        <f t="shared" si="2"/>
        <v>-5.6982743163725003</v>
      </c>
      <c r="E39">
        <f t="shared" si="7"/>
        <v>11.804833462263</v>
      </c>
    </row>
    <row r="40" spans="1:9" x14ac:dyDescent="0.25">
      <c r="A40" t="str">
        <f t="shared" ref="A40:B40" si="11">A10</f>
        <v>Low Baseline</v>
      </c>
      <c r="B40" t="str">
        <f t="shared" si="11"/>
        <v>500 Mt</v>
      </c>
      <c r="C40">
        <f t="shared" si="1"/>
        <v>17.279164053851499</v>
      </c>
      <c r="D40">
        <f t="shared" si="2"/>
        <v>10.550045036612699</v>
      </c>
      <c r="I40">
        <f>C40</f>
        <v>17.279164053851499</v>
      </c>
    </row>
    <row r="41" spans="1:9" x14ac:dyDescent="0.25">
      <c r="A41" t="str">
        <f t="shared" ref="A41:B41" si="12">A11</f>
        <v>Procure3B</v>
      </c>
      <c r="B41" t="str">
        <f t="shared" si="12"/>
        <v>500 Mt</v>
      </c>
      <c r="C41">
        <f t="shared" si="1"/>
        <v>16.858636173362701</v>
      </c>
      <c r="D41">
        <f t="shared" si="2"/>
        <v>3.6313721464693201</v>
      </c>
      <c r="G41">
        <f>C41</f>
        <v>16.858636173362701</v>
      </c>
    </row>
    <row r="42" spans="1:9" x14ac:dyDescent="0.25">
      <c r="A42" t="str">
        <f t="shared" ref="A42:B42" si="13">A12</f>
        <v>ProcureRhodium</v>
      </c>
      <c r="B42" t="str">
        <f t="shared" si="13"/>
        <v>500 Mt</v>
      </c>
      <c r="C42">
        <f t="shared" si="1"/>
        <v>58.794583510587898</v>
      </c>
      <c r="D42">
        <f t="shared" si="2"/>
        <v>11.060630810043</v>
      </c>
      <c r="G42">
        <f>C42</f>
        <v>58.794583510587898</v>
      </c>
    </row>
    <row r="43" spans="1:9" x14ac:dyDescent="0.25">
      <c r="A43" t="str">
        <f t="shared" ref="A43:B43" si="14">A13</f>
        <v>ProcureScaling</v>
      </c>
      <c r="B43" t="str">
        <f t="shared" si="14"/>
        <v>500 Mt</v>
      </c>
      <c r="C43">
        <f t="shared" si="1"/>
        <v>13.3113794026041</v>
      </c>
      <c r="D43">
        <f t="shared" si="2"/>
        <v>3.6008171018680599</v>
      </c>
      <c r="G43">
        <f>C43</f>
        <v>13.3113794026041</v>
      </c>
    </row>
    <row r="44" spans="1:9" x14ac:dyDescent="0.25">
      <c r="A44" t="str">
        <f t="shared" ref="A44:B44" si="15">A14</f>
        <v>45Q-2040</v>
      </c>
      <c r="B44" t="str">
        <f t="shared" si="15"/>
        <v>1.5 Gt</v>
      </c>
      <c r="C44">
        <f t="shared" si="1"/>
        <v>10.5657233468163</v>
      </c>
      <c r="D44">
        <f t="shared" si="2"/>
        <v>2.9193308209991198</v>
      </c>
      <c r="F44">
        <f>C44</f>
        <v>10.5657233468163</v>
      </c>
    </row>
    <row r="45" spans="1:9" x14ac:dyDescent="0.25">
      <c r="A45" t="str">
        <f t="shared" ref="A45:B45" si="16">A15</f>
        <v>45Q-2050</v>
      </c>
      <c r="B45" t="str">
        <f t="shared" si="16"/>
        <v>1.5 Gt</v>
      </c>
      <c r="C45">
        <f t="shared" si="1"/>
        <v>18.574625943324801</v>
      </c>
      <c r="D45">
        <f t="shared" si="2"/>
        <v>2.9106502559085001</v>
      </c>
      <c r="F45">
        <f>C45</f>
        <v>18.574625943324801</v>
      </c>
    </row>
    <row r="46" spans="1:9" x14ac:dyDescent="0.25">
      <c r="A46" t="str">
        <f t="shared" ref="A46:B46" si="17">A16</f>
        <v>High Baseline</v>
      </c>
      <c r="B46" t="str">
        <f t="shared" si="17"/>
        <v>1.5 Gt</v>
      </c>
      <c r="C46">
        <f t="shared" si="1"/>
        <v>17.3728711500404</v>
      </c>
      <c r="D46">
        <f t="shared" si="2"/>
        <v>6.3225799064404198</v>
      </c>
      <c r="I46">
        <f>C46</f>
        <v>17.3728711500404</v>
      </c>
    </row>
    <row r="47" spans="1:9" x14ac:dyDescent="0.25">
      <c r="A47" t="str">
        <f t="shared" ref="A47:B47" si="18">A17</f>
        <v>Innovation-DACHubs</v>
      </c>
      <c r="B47" t="str">
        <f t="shared" si="18"/>
        <v>1.5 Gt</v>
      </c>
      <c r="C47">
        <f t="shared" si="1"/>
        <v>6.9142507501659596</v>
      </c>
      <c r="D47">
        <f t="shared" si="2"/>
        <v>-3.1562896930530902</v>
      </c>
      <c r="E47">
        <f>C47</f>
        <v>6.9142507501659596</v>
      </c>
    </row>
    <row r="48" spans="1:9" x14ac:dyDescent="0.25">
      <c r="A48" t="str">
        <f t="shared" ref="A48:B48" si="19">A18</f>
        <v>Innovation-maintain</v>
      </c>
      <c r="B48" t="str">
        <f t="shared" si="19"/>
        <v>1.5 Gt</v>
      </c>
      <c r="C48">
        <f t="shared" si="1"/>
        <v>10.9377981211906</v>
      </c>
      <c r="D48">
        <f t="shared" si="2"/>
        <v>-1.91250657480905</v>
      </c>
      <c r="E48">
        <f t="shared" ref="E48:E51" si="20">C48</f>
        <v>10.9377981211906</v>
      </c>
    </row>
    <row r="49" spans="1:9" x14ac:dyDescent="0.25">
      <c r="A49" t="str">
        <f t="shared" ref="A49:B49" si="21">A19</f>
        <v>Innovation-rhodium18b</v>
      </c>
      <c r="B49" t="str">
        <f t="shared" si="21"/>
        <v>1.5 Gt</v>
      </c>
      <c r="C49">
        <f t="shared" si="1"/>
        <v>4.3055182785194903</v>
      </c>
      <c r="D49">
        <f t="shared" si="2"/>
        <v>-14.256171407604199</v>
      </c>
      <c r="E49">
        <f t="shared" si="20"/>
        <v>4.3055182785194903</v>
      </c>
    </row>
    <row r="50" spans="1:9" x14ac:dyDescent="0.25">
      <c r="A50" t="str">
        <f t="shared" ref="A50:B50" si="22">A20</f>
        <v>Innovation-rhodium6b</v>
      </c>
      <c r="B50" t="str">
        <f t="shared" si="22"/>
        <v>1.5 Gt</v>
      </c>
      <c r="C50">
        <f t="shared" si="1"/>
        <v>10.094129555691</v>
      </c>
      <c r="D50">
        <f t="shared" si="2"/>
        <v>-3.7834628368867498</v>
      </c>
      <c r="E50">
        <f t="shared" si="20"/>
        <v>10.094129555691</v>
      </c>
    </row>
    <row r="51" spans="1:9" x14ac:dyDescent="0.25">
      <c r="A51" t="str">
        <f t="shared" ref="A51:B51" si="23">A21</f>
        <v>Innovation-triple</v>
      </c>
      <c r="B51" t="str">
        <f t="shared" si="23"/>
        <v>1.5 Gt</v>
      </c>
      <c r="C51">
        <f t="shared" si="1"/>
        <v>9.1295821492606297</v>
      </c>
      <c r="D51">
        <f t="shared" si="2"/>
        <v>-5.5231217389472302</v>
      </c>
      <c r="E51">
        <f t="shared" si="20"/>
        <v>9.1295821492606297</v>
      </c>
    </row>
    <row r="52" spans="1:9" x14ac:dyDescent="0.25">
      <c r="A52" t="str">
        <f t="shared" ref="A52:B52" si="24">A22</f>
        <v>Procure3B</v>
      </c>
      <c r="B52" t="str">
        <f t="shared" si="24"/>
        <v>1.5 Gt</v>
      </c>
      <c r="C52">
        <f t="shared" si="1"/>
        <v>15.5568590322536</v>
      </c>
      <c r="D52">
        <f t="shared" si="2"/>
        <v>2.8341151029912499</v>
      </c>
      <c r="G52">
        <f>C52</f>
        <v>15.5568590322536</v>
      </c>
    </row>
    <row r="53" spans="1:9" x14ac:dyDescent="0.25">
      <c r="A53" t="str">
        <f t="shared" ref="A53:B53" si="25">A23</f>
        <v>ProcureRhodium</v>
      </c>
      <c r="B53" t="str">
        <f t="shared" si="25"/>
        <v>1.5 Gt</v>
      </c>
      <c r="C53">
        <f t="shared" si="1"/>
        <v>30.603730057832198</v>
      </c>
      <c r="D53">
        <f t="shared" si="2"/>
        <v>7.8453238562851402</v>
      </c>
      <c r="G53">
        <f>C53</f>
        <v>30.603730057832198</v>
      </c>
    </row>
    <row r="54" spans="1:9" x14ac:dyDescent="0.25">
      <c r="A54" t="str">
        <f t="shared" ref="A54:B54" si="26">A24</f>
        <v>ProcureScaling</v>
      </c>
      <c r="B54" t="str">
        <f t="shared" si="26"/>
        <v>1.5 Gt</v>
      </c>
      <c r="C54">
        <f t="shared" si="1"/>
        <v>14.5016716897262</v>
      </c>
      <c r="D54">
        <f t="shared" si="2"/>
        <v>2.51401455023696</v>
      </c>
      <c r="G54">
        <f>C54</f>
        <v>14.5016716897262</v>
      </c>
    </row>
    <row r="55" spans="1:9" x14ac:dyDescent="0.25">
      <c r="A55" t="str">
        <f t="shared" ref="A55:B55" si="27">A25</f>
        <v>2.4 Gt Baseline</v>
      </c>
      <c r="B55" t="str">
        <f t="shared" si="27"/>
        <v>2.4 Gt</v>
      </c>
      <c r="C55">
        <f t="shared" si="1"/>
        <v>8.9909705744803396</v>
      </c>
      <c r="D55">
        <f t="shared" si="2"/>
        <v>-5.8747233323781796</v>
      </c>
      <c r="I55">
        <f>C55</f>
        <v>8.9909705744803396</v>
      </c>
    </row>
    <row r="56" spans="1:9" x14ac:dyDescent="0.25">
      <c r="A56" t="str">
        <f t="shared" ref="A56:B56" si="28">A26</f>
        <v>4.1 Gt Baseline</v>
      </c>
      <c r="B56" t="str">
        <f t="shared" si="28"/>
        <v>4.1 Gt</v>
      </c>
      <c r="C56">
        <f t="shared" si="1"/>
        <v>7.5077860222692498</v>
      </c>
      <c r="D56">
        <f t="shared" si="2"/>
        <v>18.9014044107759</v>
      </c>
      <c r="I56">
        <f>C56</f>
        <v>7.5077860222692498</v>
      </c>
    </row>
    <row r="57" spans="1:9" x14ac:dyDescent="0.25">
      <c r="A57" t="str">
        <f>A27</f>
        <v>CDRIA-Rhodium18b</v>
      </c>
      <c r="B57" t="str">
        <f>B27</f>
        <v>500 Mt</v>
      </c>
      <c r="C57">
        <f>D27</f>
        <v>-38.3720249610137</v>
      </c>
      <c r="D57">
        <f>I27</f>
        <v>-16.938204157826199</v>
      </c>
      <c r="H57">
        <f>C57</f>
        <v>-38.3720249610137</v>
      </c>
    </row>
    <row r="58" spans="1:9" x14ac:dyDescent="0.25">
      <c r="A58" t="str">
        <f t="shared" ref="A58:B58" si="29">A28</f>
        <v>CDRIA-Rhodium18b</v>
      </c>
      <c r="B58" t="str">
        <f t="shared" si="29"/>
        <v>1.5 Gt</v>
      </c>
      <c r="C58">
        <f t="shared" si="1"/>
        <v>14.3309846710661</v>
      </c>
      <c r="D58">
        <f t="shared" ref="D58" si="30">I28</f>
        <v>-14.693518666643</v>
      </c>
      <c r="H58">
        <f>C58</f>
        <v>14.3309846710661</v>
      </c>
    </row>
  </sheetData>
  <autoFilter ref="A1:H26" xr:uid="{66EF8D6B-AAC7-4D47-8A22-E3B6AC50568B}">
    <sortState xmlns:xlrd2="http://schemas.microsoft.com/office/spreadsheetml/2017/richdata2" ref="A14:H24">
      <sortCondition ref="A1:A26"/>
    </sortState>
  </autoFilter>
  <phoneticPr fontId="3" type="noConversion"/>
  <conditionalFormatting sqref="E35:Z35 E36:E39">
    <cfRule type="colorScale" priority="2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D2:D28 F2:F28 H2:I28">
    <cfRule type="colorScale" priority="1">
      <colorScale>
        <cfvo type="min"/>
        <cfvo type="num" val="0"/>
        <cfvo type="max"/>
        <color rgb="FF00B050"/>
        <color theme="0"/>
        <color rgb="FFC00000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DCC38-97F2-44B2-A211-84A041F26FA0}">
  <dimension ref="A1:O23"/>
  <sheetViews>
    <sheetView workbookViewId="0">
      <selection activeCell="G1" sqref="G1"/>
    </sheetView>
  </sheetViews>
  <sheetFormatPr defaultRowHeight="15" x14ac:dyDescent="0.25"/>
  <cols>
    <col min="1" max="1" width="22.28515625" bestFit="1" customWidth="1"/>
    <col min="2" max="2" width="10.85546875" bestFit="1" customWidth="1"/>
    <col min="3" max="3" width="12.7109375" bestFit="1" customWidth="1"/>
    <col min="4" max="4" width="13.85546875" bestFit="1" customWidth="1"/>
    <col min="5" max="5" width="17.7109375" bestFit="1" customWidth="1"/>
    <col min="6" max="6" width="25.5703125" bestFit="1" customWidth="1"/>
    <col min="7" max="7" width="20.85546875" bestFit="1" customWidth="1"/>
    <col min="8" max="8" width="28.7109375" bestFit="1" customWidth="1"/>
    <col min="11" max="11" width="22.85546875" bestFit="1" customWidth="1"/>
    <col min="14" max="14" width="26" bestFit="1" customWidth="1"/>
  </cols>
  <sheetData>
    <row r="1" spans="1:15" x14ac:dyDescent="0.25">
      <c r="A1" t="s">
        <v>0</v>
      </c>
      <c r="B1" t="s">
        <v>32</v>
      </c>
      <c r="C1" t="s">
        <v>40</v>
      </c>
      <c r="D1" t="s">
        <v>41</v>
      </c>
      <c r="E1" t="s">
        <v>52</v>
      </c>
      <c r="F1" t="s">
        <v>53</v>
      </c>
      <c r="G1" t="s">
        <v>50</v>
      </c>
      <c r="H1" t="s">
        <v>51</v>
      </c>
      <c r="K1" s="3" t="s">
        <v>48</v>
      </c>
      <c r="L1">
        <f>CORREL(D2:D23,F2:F23)</f>
        <v>0.67272727272727262</v>
      </c>
      <c r="N1" s="3" t="s">
        <v>49</v>
      </c>
      <c r="O1">
        <f>CORREL(C2:C23,H2:H23)</f>
        <v>3.8878507412835051E-2</v>
      </c>
    </row>
    <row r="2" spans="1:15" x14ac:dyDescent="0.25">
      <c r="A2" t="s">
        <v>2</v>
      </c>
      <c r="B2" t="s">
        <v>36</v>
      </c>
      <c r="C2">
        <v>-0.70390616075908496</v>
      </c>
      <c r="D2">
        <v>8</v>
      </c>
      <c r="E2">
        <v>18.574625943324801</v>
      </c>
      <c r="F2">
        <v>10</v>
      </c>
      <c r="G2">
        <v>7.3634914210611901</v>
      </c>
      <c r="H2">
        <v>1</v>
      </c>
    </row>
    <row r="3" spans="1:15" x14ac:dyDescent="0.25">
      <c r="A3" t="s">
        <v>14</v>
      </c>
      <c r="B3" t="s">
        <v>36</v>
      </c>
      <c r="C3">
        <v>0</v>
      </c>
      <c r="D3">
        <v>10</v>
      </c>
      <c r="E3">
        <v>17.3728711500404</v>
      </c>
      <c r="F3">
        <v>9</v>
      </c>
      <c r="G3">
        <v>7.9854624669163199</v>
      </c>
      <c r="H3">
        <v>2</v>
      </c>
    </row>
    <row r="4" spans="1:15" x14ac:dyDescent="0.25">
      <c r="A4" t="s">
        <v>1</v>
      </c>
      <c r="B4" t="s">
        <v>36</v>
      </c>
      <c r="C4">
        <v>-0.78055119327006905</v>
      </c>
      <c r="D4">
        <v>7</v>
      </c>
      <c r="E4">
        <v>10.5657233468163</v>
      </c>
      <c r="F4">
        <v>5</v>
      </c>
      <c r="G4">
        <v>12.943976807287701</v>
      </c>
      <c r="H4">
        <v>3</v>
      </c>
    </row>
    <row r="5" spans="1:15" x14ac:dyDescent="0.25">
      <c r="A5" t="s">
        <v>6</v>
      </c>
      <c r="B5" t="s">
        <v>36</v>
      </c>
      <c r="C5">
        <v>-3.7041148122252601</v>
      </c>
      <c r="D5">
        <v>5</v>
      </c>
      <c r="E5">
        <v>6.9142507501659596</v>
      </c>
      <c r="F5">
        <v>2</v>
      </c>
      <c r="G5">
        <v>16.816335761750899</v>
      </c>
      <c r="H5">
        <v>4</v>
      </c>
    </row>
    <row r="6" spans="1:15" x14ac:dyDescent="0.25">
      <c r="A6" t="s">
        <v>9</v>
      </c>
      <c r="B6" t="s">
        <v>36</v>
      </c>
      <c r="C6">
        <v>-4.6760340109967</v>
      </c>
      <c r="D6">
        <v>2</v>
      </c>
      <c r="E6">
        <v>9.1295821492606297</v>
      </c>
      <c r="F6">
        <v>3</v>
      </c>
      <c r="G6">
        <v>18.019593931069998</v>
      </c>
      <c r="H6">
        <v>5</v>
      </c>
    </row>
    <row r="7" spans="1:15" x14ac:dyDescent="0.25">
      <c r="A7" t="s">
        <v>12</v>
      </c>
      <c r="B7" t="s">
        <v>36</v>
      </c>
      <c r="C7">
        <v>-0.79606851539385404</v>
      </c>
      <c r="D7">
        <v>6</v>
      </c>
      <c r="E7">
        <v>14.5016716897262</v>
      </c>
      <c r="F7">
        <v>7</v>
      </c>
      <c r="G7">
        <v>18.068472816125901</v>
      </c>
      <c r="H7">
        <v>6</v>
      </c>
    </row>
    <row r="8" spans="1:15" x14ac:dyDescent="0.25">
      <c r="A8" t="s">
        <v>8</v>
      </c>
      <c r="B8" t="s">
        <v>36</v>
      </c>
      <c r="C8">
        <v>-6.2792075696240897</v>
      </c>
      <c r="D8">
        <v>1</v>
      </c>
      <c r="E8">
        <v>4.3055182785194903</v>
      </c>
      <c r="F8">
        <v>1</v>
      </c>
      <c r="G8">
        <v>20.904336245338801</v>
      </c>
      <c r="H8">
        <v>7</v>
      </c>
    </row>
    <row r="9" spans="1:15" x14ac:dyDescent="0.25">
      <c r="A9" t="s">
        <v>7</v>
      </c>
      <c r="B9" t="s">
        <v>36</v>
      </c>
      <c r="C9">
        <v>-4.5270896828626404</v>
      </c>
      <c r="D9">
        <v>3</v>
      </c>
      <c r="E9">
        <v>10.094129555691</v>
      </c>
      <c r="F9">
        <v>4</v>
      </c>
      <c r="G9">
        <v>21.4277299143567</v>
      </c>
      <c r="H9">
        <v>8</v>
      </c>
    </row>
    <row r="10" spans="1:15" x14ac:dyDescent="0.25">
      <c r="A10" t="s">
        <v>10</v>
      </c>
      <c r="B10" t="s">
        <v>36</v>
      </c>
      <c r="C10">
        <v>-0.43719754556903001</v>
      </c>
      <c r="D10">
        <v>9</v>
      </c>
      <c r="E10">
        <v>15.5568590322536</v>
      </c>
      <c r="F10">
        <v>8</v>
      </c>
      <c r="G10">
        <v>30.32001009859</v>
      </c>
      <c r="H10">
        <v>9</v>
      </c>
    </row>
    <row r="11" spans="1:15" x14ac:dyDescent="0.25">
      <c r="A11" t="s">
        <v>5</v>
      </c>
      <c r="B11" t="s">
        <v>36</v>
      </c>
      <c r="C11">
        <v>-3.9166135590809201</v>
      </c>
      <c r="D11">
        <v>4</v>
      </c>
      <c r="E11">
        <v>10.9377981211906</v>
      </c>
      <c r="F11">
        <v>6</v>
      </c>
      <c r="G11">
        <v>33.8032802979519</v>
      </c>
      <c r="H11">
        <v>10</v>
      </c>
    </row>
    <row r="12" spans="1:15" x14ac:dyDescent="0.25">
      <c r="A12" t="s">
        <v>11</v>
      </c>
      <c r="B12" t="s">
        <v>36</v>
      </c>
      <c r="C12">
        <v>3.6940786172137897E-2</v>
      </c>
      <c r="D12">
        <v>11</v>
      </c>
      <c r="E12">
        <v>30.603730057832198</v>
      </c>
      <c r="F12">
        <v>11</v>
      </c>
      <c r="G12">
        <v>93.382246268824602</v>
      </c>
      <c r="H12">
        <v>11</v>
      </c>
    </row>
    <row r="13" spans="1:15" x14ac:dyDescent="0.25">
      <c r="A13" t="s">
        <v>5</v>
      </c>
      <c r="B13" t="s">
        <v>34</v>
      </c>
      <c r="C13">
        <v>-1.7952663161307201</v>
      </c>
      <c r="D13">
        <v>4</v>
      </c>
      <c r="E13">
        <v>11.080702210154501</v>
      </c>
      <c r="F13">
        <v>4</v>
      </c>
      <c r="G13">
        <v>12.1687368263228</v>
      </c>
      <c r="H13">
        <v>1</v>
      </c>
    </row>
    <row r="14" spans="1:15" x14ac:dyDescent="0.25">
      <c r="A14" t="s">
        <v>1</v>
      </c>
      <c r="B14" t="s">
        <v>34</v>
      </c>
      <c r="C14">
        <v>-0.55420087336513202</v>
      </c>
      <c r="D14">
        <v>7</v>
      </c>
      <c r="E14">
        <v>7.9722193986204699</v>
      </c>
      <c r="F14">
        <v>3</v>
      </c>
      <c r="G14">
        <v>15.427706085558601</v>
      </c>
      <c r="H14">
        <v>2</v>
      </c>
    </row>
    <row r="15" spans="1:15" x14ac:dyDescent="0.25">
      <c r="A15" t="s">
        <v>8</v>
      </c>
      <c r="B15" t="s">
        <v>34</v>
      </c>
      <c r="C15">
        <v>-3.2383964853381602</v>
      </c>
      <c r="D15">
        <v>1</v>
      </c>
      <c r="E15">
        <v>13.3924163736789</v>
      </c>
      <c r="F15">
        <v>8</v>
      </c>
      <c r="G15">
        <v>17.572339232378901</v>
      </c>
      <c r="H15">
        <v>3</v>
      </c>
    </row>
    <row r="16" spans="1:15" x14ac:dyDescent="0.25">
      <c r="A16" t="s">
        <v>13</v>
      </c>
      <c r="B16" t="s">
        <v>34</v>
      </c>
      <c r="C16">
        <v>0</v>
      </c>
      <c r="D16">
        <v>10</v>
      </c>
      <c r="E16">
        <v>17.279164053851499</v>
      </c>
      <c r="F16">
        <v>10</v>
      </c>
      <c r="G16">
        <v>17.985190607705601</v>
      </c>
      <c r="H16">
        <v>4</v>
      </c>
    </row>
    <row r="17" spans="1:8" x14ac:dyDescent="0.25">
      <c r="A17" t="s">
        <v>9</v>
      </c>
      <c r="B17" t="s">
        <v>34</v>
      </c>
      <c r="C17">
        <v>-2.2891584853534401</v>
      </c>
      <c r="D17">
        <v>2</v>
      </c>
      <c r="E17">
        <v>11.804833462263</v>
      </c>
      <c r="F17">
        <v>5</v>
      </c>
      <c r="G17">
        <v>18.347595088783098</v>
      </c>
      <c r="H17">
        <v>5</v>
      </c>
    </row>
    <row r="18" spans="1:8" x14ac:dyDescent="0.25">
      <c r="A18" t="s">
        <v>7</v>
      </c>
      <c r="B18" t="s">
        <v>34</v>
      </c>
      <c r="C18">
        <v>-2.2172361920194099</v>
      </c>
      <c r="D18">
        <v>3</v>
      </c>
      <c r="E18">
        <v>12.090518117610101</v>
      </c>
      <c r="F18">
        <v>6</v>
      </c>
      <c r="G18">
        <v>18.844388223606401</v>
      </c>
      <c r="H18">
        <v>6</v>
      </c>
    </row>
    <row r="19" spans="1:8" x14ac:dyDescent="0.25">
      <c r="A19" t="s">
        <v>12</v>
      </c>
      <c r="B19" t="s">
        <v>34</v>
      </c>
      <c r="C19">
        <v>-0.10194222025196401</v>
      </c>
      <c r="D19">
        <v>8</v>
      </c>
      <c r="E19">
        <v>13.3113794026041</v>
      </c>
      <c r="F19">
        <v>7</v>
      </c>
      <c r="G19">
        <v>21.1134106483448</v>
      </c>
      <c r="H19">
        <v>7</v>
      </c>
    </row>
    <row r="20" spans="1:8" x14ac:dyDescent="0.25">
      <c r="A20" t="s">
        <v>6</v>
      </c>
      <c r="B20" t="s">
        <v>34</v>
      </c>
      <c r="C20">
        <v>-1.20099872998618</v>
      </c>
      <c r="D20">
        <v>5</v>
      </c>
      <c r="E20">
        <v>3.27434679522118</v>
      </c>
      <c r="F20">
        <v>2</v>
      </c>
      <c r="G20">
        <v>21.891315429941098</v>
      </c>
      <c r="H20">
        <v>8</v>
      </c>
    </row>
    <row r="21" spans="1:8" x14ac:dyDescent="0.25">
      <c r="A21" t="s">
        <v>2</v>
      </c>
      <c r="B21" t="s">
        <v>34</v>
      </c>
      <c r="C21">
        <v>-0.55690592949661299</v>
      </c>
      <c r="D21">
        <v>6</v>
      </c>
      <c r="E21">
        <v>4.18215697221197E-2</v>
      </c>
      <c r="F21">
        <v>1</v>
      </c>
      <c r="G21">
        <v>24.3236703991907</v>
      </c>
      <c r="H21">
        <v>9</v>
      </c>
    </row>
    <row r="22" spans="1:8" x14ac:dyDescent="0.25">
      <c r="A22" t="s">
        <v>10</v>
      </c>
      <c r="B22" t="s">
        <v>34</v>
      </c>
      <c r="C22">
        <v>-3.1121273134907899E-2</v>
      </c>
      <c r="D22">
        <v>9</v>
      </c>
      <c r="E22">
        <v>16.858636173362701</v>
      </c>
      <c r="F22">
        <v>9</v>
      </c>
      <c r="G22">
        <v>25.6581977557504</v>
      </c>
      <c r="H22">
        <v>10</v>
      </c>
    </row>
    <row r="23" spans="1:8" x14ac:dyDescent="0.25">
      <c r="A23" t="s">
        <v>11</v>
      </c>
      <c r="B23" t="s">
        <v>34</v>
      </c>
      <c r="C23">
        <v>4.9027927127704499E-2</v>
      </c>
      <c r="D23">
        <v>11</v>
      </c>
      <c r="E23">
        <v>58.794583510587898</v>
      </c>
      <c r="F23">
        <v>11</v>
      </c>
      <c r="G23">
        <v>52.730135299082299</v>
      </c>
      <c r="H23">
        <v>11</v>
      </c>
    </row>
  </sheetData>
  <autoFilter ref="A1:H23" xr:uid="{C6EDCC38-97F2-44B2-A211-84A041F26FA0}">
    <sortState xmlns:xlrd2="http://schemas.microsoft.com/office/spreadsheetml/2017/richdata2" ref="A2:H12">
      <sortCondition ref="G1:G23"/>
    </sortState>
  </autoFilter>
  <phoneticPr fontId="3" type="noConversion"/>
  <conditionalFormatting sqref="C2:C12">
    <cfRule type="colorScale" priority="5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C13:C23">
    <cfRule type="colorScale" priority="26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E2:E12">
    <cfRule type="colorScale" priority="3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E13:E23">
    <cfRule type="colorScale" priority="4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G2:G12">
    <cfRule type="colorScale" priority="2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G13:G23">
    <cfRule type="colorScale" priority="1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J3:J13">
    <cfRule type="colorScale" priority="27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Low</vt:lpstr>
      <vt:lpstr>High</vt:lpstr>
      <vt:lpstr>Sheet1</vt:lpstr>
      <vt:lpstr>Net-Zero Mandate</vt:lpstr>
      <vt:lpstr>Counterproductive Intervention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2025-10-29T16:38:10Z</dcterms:created>
  <dcterms:modified xsi:type="dcterms:W3CDTF">2025-12-05T16:08:57Z</dcterms:modified>
</cp:coreProperties>
</file>