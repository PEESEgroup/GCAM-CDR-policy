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D4290F7B-359E-4BE3-A7EB-5DA4415A6C23}" xr6:coauthVersionLast="47" xr6:coauthVersionMax="47" xr10:uidLastSave="{00000000-0000-0000-0000-000000000000}"/>
  <bookViews>
    <workbookView xWindow="-120" yWindow="-120" windowWidth="29040" windowHeight="17520" xr2:uid="{5B094011-67C9-461D-BBBF-A6D3FE50B4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1" l="1"/>
  <c r="R24" i="1"/>
  <c r="V24" i="1"/>
  <c r="S24" i="1" s="1"/>
  <c r="AA24" i="1"/>
  <c r="Y24" i="1" s="1"/>
  <c r="AF24" i="1"/>
  <c r="AE24" i="1" s="1"/>
  <c r="AK24" i="1"/>
  <c r="AI24" i="1" s="1"/>
  <c r="AP24" i="1"/>
  <c r="AL24" i="1" s="1"/>
  <c r="B24" i="1"/>
  <c r="C24" i="1"/>
  <c r="D24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E5" i="1"/>
  <c r="F5" i="1"/>
  <c r="G5" i="1"/>
  <c r="E16" i="1"/>
  <c r="F16" i="1"/>
  <c r="G16" i="1"/>
  <c r="J16" i="1" s="1"/>
  <c r="B14" i="1"/>
  <c r="C14" i="1"/>
  <c r="D14" i="1"/>
  <c r="Q5" i="1"/>
  <c r="U5" i="1" s="1"/>
  <c r="T5" i="1"/>
  <c r="V5" i="1"/>
  <c r="R5" i="1" s="1"/>
  <c r="AA5" i="1"/>
  <c r="Y5" i="1" s="1"/>
  <c r="AF5" i="1"/>
  <c r="AD5" i="1" s="1"/>
  <c r="AG5" i="1"/>
  <c r="AH5" i="1"/>
  <c r="AI5" i="1"/>
  <c r="AJ5" i="1"/>
  <c r="AK5" i="1"/>
  <c r="AO5" i="1" s="1"/>
  <c r="AN5" i="1"/>
  <c r="AP5" i="1"/>
  <c r="AL5" i="1" s="1"/>
  <c r="Q6" i="1"/>
  <c r="V6" i="1"/>
  <c r="U6" i="1" s="1"/>
  <c r="AA6" i="1"/>
  <c r="AF6" i="1"/>
  <c r="AK6" i="1"/>
  <c r="AP6" i="1"/>
  <c r="Q7" i="1"/>
  <c r="V7" i="1"/>
  <c r="AA7" i="1"/>
  <c r="AC7" i="1" s="1"/>
  <c r="AF7" i="1"/>
  <c r="AB7" i="1" s="1"/>
  <c r="AK7" i="1"/>
  <c r="AJ7" i="1" s="1"/>
  <c r="AP7" i="1"/>
  <c r="AM7" i="1" s="1"/>
  <c r="Q8" i="1"/>
  <c r="V8" i="1"/>
  <c r="AA8" i="1"/>
  <c r="AB8" i="1" s="1"/>
  <c r="AF8" i="1"/>
  <c r="AK8" i="1"/>
  <c r="AP8" i="1"/>
  <c r="AL8" i="1" s="1"/>
  <c r="Q9" i="1"/>
  <c r="U9" i="1"/>
  <c r="V9" i="1"/>
  <c r="R9" i="1" s="1"/>
  <c r="AA9" i="1"/>
  <c r="X9" i="1" s="1"/>
  <c r="AF9" i="1"/>
  <c r="AG9" i="1" s="1"/>
  <c r="AK9" i="1"/>
  <c r="AP9" i="1"/>
  <c r="AL9" i="1" s="1"/>
  <c r="Q10" i="1"/>
  <c r="V10" i="1"/>
  <c r="S10" i="1" s="1"/>
  <c r="AA10" i="1"/>
  <c r="AF10" i="1"/>
  <c r="AC10" i="1" s="1"/>
  <c r="AK10" i="1"/>
  <c r="AI10" i="1" s="1"/>
  <c r="AP10" i="1"/>
  <c r="AM10" i="1" s="1"/>
  <c r="Q11" i="1"/>
  <c r="V11" i="1"/>
  <c r="AA11" i="1"/>
  <c r="X11" i="1" s="1"/>
  <c r="AF11" i="1"/>
  <c r="AB11" i="1" s="1"/>
  <c r="AK11" i="1"/>
  <c r="AO11" i="1" s="1"/>
  <c r="AL11" i="1"/>
  <c r="AM11" i="1"/>
  <c r="AN11" i="1"/>
  <c r="AP11" i="1"/>
  <c r="Q12" i="1"/>
  <c r="V12" i="1"/>
  <c r="AA12" i="1"/>
  <c r="AF12" i="1"/>
  <c r="AI12" i="1" s="1"/>
  <c r="AK12" i="1"/>
  <c r="AM12" i="1" s="1"/>
  <c r="AL12" i="1"/>
  <c r="AP12" i="1"/>
  <c r="Q13" i="1"/>
  <c r="V13" i="1"/>
  <c r="S13" i="1" s="1"/>
  <c r="AA13" i="1"/>
  <c r="AC13" i="1" s="1"/>
  <c r="AB13" i="1"/>
  <c r="AF13" i="1"/>
  <c r="AK13" i="1"/>
  <c r="AP13" i="1"/>
  <c r="AN13" i="1" s="1"/>
  <c r="Q14" i="1"/>
  <c r="V14" i="1"/>
  <c r="AA14" i="1"/>
  <c r="AF14" i="1"/>
  <c r="AB14" i="1" s="1"/>
  <c r="AK14" i="1"/>
  <c r="AJ14" i="1" s="1"/>
  <c r="AP14" i="1"/>
  <c r="AO14" i="1" s="1"/>
  <c r="Q15" i="1"/>
  <c r="V15" i="1"/>
  <c r="AA15" i="1"/>
  <c r="Y15" i="1" s="1"/>
  <c r="AF15" i="1"/>
  <c r="AE15" i="1" s="1"/>
  <c r="AK15" i="1"/>
  <c r="AP15" i="1"/>
  <c r="AL15" i="1" s="1"/>
  <c r="Q16" i="1"/>
  <c r="V16" i="1"/>
  <c r="U16" i="1" s="1"/>
  <c r="AA16" i="1"/>
  <c r="AE16" i="1" s="1"/>
  <c r="AB16" i="1"/>
  <c r="AC16" i="1"/>
  <c r="AD16" i="1"/>
  <c r="AF16" i="1"/>
  <c r="AG16" i="1" s="1"/>
  <c r="AH16" i="1"/>
  <c r="AK16" i="1"/>
  <c r="AP16" i="1"/>
  <c r="AO16" i="1" s="1"/>
  <c r="Q17" i="1"/>
  <c r="V17" i="1"/>
  <c r="AA17" i="1"/>
  <c r="AF17" i="1"/>
  <c r="AB17" i="1" s="1"/>
  <c r="AK17" i="1"/>
  <c r="AP17" i="1"/>
  <c r="AM17" i="1" s="1"/>
  <c r="Q18" i="1"/>
  <c r="V18" i="1"/>
  <c r="AA18" i="1"/>
  <c r="AF18" i="1"/>
  <c r="AE18" i="1" s="1"/>
  <c r="AK18" i="1"/>
  <c r="AP18" i="1"/>
  <c r="AL18" i="1" s="1"/>
  <c r="Q19" i="1"/>
  <c r="V19" i="1"/>
  <c r="AA19" i="1"/>
  <c r="AF19" i="1"/>
  <c r="AK19" i="1"/>
  <c r="AP19" i="1"/>
  <c r="AL19" i="1" s="1"/>
  <c r="Q20" i="1"/>
  <c r="V20" i="1"/>
  <c r="U20" i="1" s="1"/>
  <c r="AA20" i="1"/>
  <c r="AF20" i="1"/>
  <c r="AK20" i="1"/>
  <c r="AI20" i="1" s="1"/>
  <c r="AP20" i="1"/>
  <c r="AN20" i="1" s="1"/>
  <c r="Q21" i="1"/>
  <c r="V21" i="1"/>
  <c r="AA21" i="1"/>
  <c r="X21" i="1" s="1"/>
  <c r="AF21" i="1"/>
  <c r="AE21" i="1" s="1"/>
  <c r="AK21" i="1"/>
  <c r="AP21" i="1"/>
  <c r="AM21" i="1" s="1"/>
  <c r="Q22" i="1"/>
  <c r="V22" i="1"/>
  <c r="R22" i="1" s="1"/>
  <c r="AA22" i="1"/>
  <c r="AF22" i="1"/>
  <c r="AI22" i="1" s="1"/>
  <c r="AG22" i="1"/>
  <c r="AH22" i="1"/>
  <c r="AK22" i="1"/>
  <c r="AL22" i="1"/>
  <c r="AP22" i="1"/>
  <c r="Q23" i="1"/>
  <c r="V23" i="1"/>
  <c r="S23" i="1" s="1"/>
  <c r="AA23" i="1"/>
  <c r="AC23" i="1" s="1"/>
  <c r="AF23" i="1"/>
  <c r="AK23" i="1"/>
  <c r="AP23" i="1"/>
  <c r="AN23" i="1" s="1"/>
  <c r="F4" i="1"/>
  <c r="C4" i="1" s="1"/>
  <c r="I4" i="1" s="1"/>
  <c r="G4" i="1"/>
  <c r="D5" i="1" s="1"/>
  <c r="J5" i="1" s="1"/>
  <c r="E4" i="1"/>
  <c r="B12" i="1" s="1"/>
  <c r="B5" i="1"/>
  <c r="H5" i="1" s="1"/>
  <c r="AP4" i="1"/>
  <c r="AK4" i="1"/>
  <c r="AO4" i="1" s="1"/>
  <c r="AF4" i="1"/>
  <c r="AA4" i="1"/>
  <c r="V4" i="1"/>
  <c r="Q4" i="1"/>
  <c r="AO24" i="1" l="1"/>
  <c r="AN24" i="1"/>
  <c r="AM24" i="1"/>
  <c r="AH24" i="1"/>
  <c r="AJ24" i="1"/>
  <c r="AG24" i="1"/>
  <c r="U24" i="1"/>
  <c r="T24" i="1"/>
  <c r="AL23" i="1"/>
  <c r="AG23" i="1"/>
  <c r="AB23" i="1"/>
  <c r="AM22" i="1"/>
  <c r="S22" i="1"/>
  <c r="W22" i="1"/>
  <c r="AN21" i="1"/>
  <c r="AO21" i="1"/>
  <c r="AL21" i="1"/>
  <c r="W21" i="1"/>
  <c r="S21" i="1"/>
  <c r="R21" i="1"/>
  <c r="T21" i="1"/>
  <c r="U21" i="1"/>
  <c r="AG20" i="1"/>
  <c r="AC20" i="1"/>
  <c r="AB20" i="1"/>
  <c r="AD20" i="1"/>
  <c r="AE20" i="1"/>
  <c r="Z20" i="1"/>
  <c r="Y20" i="1"/>
  <c r="X20" i="1"/>
  <c r="W20" i="1"/>
  <c r="AG19" i="1"/>
  <c r="W19" i="1"/>
  <c r="R19" i="1"/>
  <c r="AM18" i="1"/>
  <c r="AB18" i="1"/>
  <c r="W18" i="1"/>
  <c r="R18" i="1"/>
  <c r="S18" i="1"/>
  <c r="AC24" i="1"/>
  <c r="Z24" i="1"/>
  <c r="AD24" i="1"/>
  <c r="X24" i="1"/>
  <c r="W24" i="1"/>
  <c r="AB24" i="1"/>
  <c r="AC17" i="1"/>
  <c r="AG17" i="1"/>
  <c r="X17" i="1"/>
  <c r="W17" i="1"/>
  <c r="Y17" i="1"/>
  <c r="I16" i="1"/>
  <c r="H16" i="1"/>
  <c r="AM15" i="1"/>
  <c r="AN15" i="1"/>
  <c r="AO15" i="1"/>
  <c r="AI15" i="1"/>
  <c r="AJ15" i="1"/>
  <c r="AH15" i="1"/>
  <c r="AG15" i="1"/>
  <c r="W15" i="1"/>
  <c r="T15" i="1"/>
  <c r="S15" i="1"/>
  <c r="R15" i="1"/>
  <c r="U15" i="1"/>
  <c r="AE14" i="1"/>
  <c r="W14" i="1"/>
  <c r="AL13" i="1"/>
  <c r="AG13" i="1"/>
  <c r="R13" i="1"/>
  <c r="AH12" i="1"/>
  <c r="AG12" i="1"/>
  <c r="S12" i="1"/>
  <c r="Y12" i="1"/>
  <c r="T12" i="1"/>
  <c r="R12" i="1"/>
  <c r="W11" i="1"/>
  <c r="T11" i="1"/>
  <c r="S11" i="1"/>
  <c r="R11" i="1"/>
  <c r="U11" i="1"/>
  <c r="AB10" i="1"/>
  <c r="AD10" i="1"/>
  <c r="AE10" i="1"/>
  <c r="X10" i="1"/>
  <c r="Z10" i="1"/>
  <c r="Y10" i="1"/>
  <c r="W10" i="1"/>
  <c r="AO9" i="1"/>
  <c r="AM8" i="1"/>
  <c r="AC8" i="1"/>
  <c r="W8" i="1"/>
  <c r="R8" i="1"/>
  <c r="S8" i="1"/>
  <c r="AD7" i="1"/>
  <c r="Y7" i="1"/>
  <c r="W7" i="1"/>
  <c r="X7" i="1"/>
  <c r="AO6" i="1"/>
  <c r="AG6" i="1"/>
  <c r="AC6" i="1"/>
  <c r="AE6" i="1"/>
  <c r="AD6" i="1"/>
  <c r="AH6" i="1"/>
  <c r="AB6" i="1"/>
  <c r="AE19" i="1"/>
  <c r="AD19" i="1"/>
  <c r="Y23" i="1"/>
  <c r="AH18" i="1"/>
  <c r="AC22" i="1"/>
  <c r="U10" i="1"/>
  <c r="Z19" i="1"/>
  <c r="AB12" i="1"/>
  <c r="AL7" i="1"/>
  <c r="U23" i="1"/>
  <c r="Y19" i="1"/>
  <c r="AI14" i="1"/>
  <c r="AG11" i="1"/>
  <c r="Z22" i="1"/>
  <c r="AJ17" i="1"/>
  <c r="T13" i="1"/>
  <c r="Y22" i="1"/>
  <c r="AC18" i="1"/>
  <c r="AG14" i="1"/>
  <c r="AE11" i="1"/>
  <c r="AI7" i="1"/>
  <c r="X22" i="1"/>
  <c r="AD21" i="1"/>
  <c r="AJ20" i="1"/>
  <c r="AH17" i="1"/>
  <c r="AN16" i="1"/>
  <c r="T16" i="1"/>
  <c r="Z15" i="1"/>
  <c r="X12" i="1"/>
  <c r="AD11" i="1"/>
  <c r="AJ10" i="1"/>
  <c r="AH7" i="1"/>
  <c r="AN6" i="1"/>
  <c r="T6" i="1"/>
  <c r="Z5" i="1"/>
  <c r="T14" i="1"/>
  <c r="AO17" i="1"/>
  <c r="AE12" i="1"/>
  <c r="AC9" i="1"/>
  <c r="R14" i="1"/>
  <c r="AO20" i="1"/>
  <c r="AG18" i="1"/>
  <c r="AC12" i="1"/>
  <c r="S7" i="1"/>
  <c r="AH21" i="1"/>
  <c r="R17" i="1"/>
  <c r="AN10" i="1"/>
  <c r="Z9" i="1"/>
  <c r="R7" i="1"/>
  <c r="AO23" i="1"/>
  <c r="AM20" i="1"/>
  <c r="Y9" i="1"/>
  <c r="AC5" i="1"/>
  <c r="AL20" i="1"/>
  <c r="AD18" i="1"/>
  <c r="AB15" i="1"/>
  <c r="Z12" i="1"/>
  <c r="R10" i="1"/>
  <c r="F10" i="1" s="1"/>
  <c r="AD8" i="1"/>
  <c r="AM23" i="1"/>
  <c r="AI17" i="1"/>
  <c r="R23" i="1"/>
  <c r="AC21" i="1"/>
  <c r="AO19" i="1"/>
  <c r="U19" i="1"/>
  <c r="AM16" i="1"/>
  <c r="S16" i="1"/>
  <c r="W12" i="1"/>
  <c r="AC11" i="1"/>
  <c r="AG7" i="1"/>
  <c r="AM6" i="1"/>
  <c r="S6" i="1"/>
  <c r="AJ23" i="1"/>
  <c r="AB21" i="1"/>
  <c r="AH20" i="1"/>
  <c r="AN19" i="1"/>
  <c r="T19" i="1"/>
  <c r="Z18" i="1"/>
  <c r="AL16" i="1"/>
  <c r="R16" i="1"/>
  <c r="X15" i="1"/>
  <c r="AD14" i="1"/>
  <c r="AJ13" i="1"/>
  <c r="AH10" i="1"/>
  <c r="AN9" i="1"/>
  <c r="T9" i="1"/>
  <c r="Z8" i="1"/>
  <c r="AL6" i="1"/>
  <c r="R6" i="1"/>
  <c r="X5" i="1"/>
  <c r="AI23" i="1"/>
  <c r="AO22" i="1"/>
  <c r="U22" i="1"/>
  <c r="AM19" i="1"/>
  <c r="S19" i="1"/>
  <c r="Y18" i="1"/>
  <c r="AE17" i="1"/>
  <c r="AC14" i="1"/>
  <c r="AI13" i="1"/>
  <c r="AO12" i="1"/>
  <c r="U12" i="1"/>
  <c r="AG10" i="1"/>
  <c r="AM9" i="1"/>
  <c r="S9" i="1"/>
  <c r="Y8" i="1"/>
  <c r="AE7" i="1"/>
  <c r="W5" i="1"/>
  <c r="AO7" i="1"/>
  <c r="X23" i="1"/>
  <c r="AN17" i="1"/>
  <c r="AD12" i="1"/>
  <c r="AN7" i="1"/>
  <c r="Y16" i="1"/>
  <c r="AI11" i="1"/>
  <c r="AG8" i="1"/>
  <c r="T10" i="1"/>
  <c r="X6" i="1"/>
  <c r="AG21" i="1"/>
  <c r="AC15" i="1"/>
  <c r="U13" i="1"/>
  <c r="T23" i="1"/>
  <c r="X19" i="1"/>
  <c r="AH14" i="1"/>
  <c r="AL10" i="1"/>
  <c r="AB5" i="1"/>
  <c r="AM13" i="1"/>
  <c r="W9" i="1"/>
  <c r="Z23" i="1"/>
  <c r="AJ18" i="1"/>
  <c r="AN14" i="1"/>
  <c r="AJ8" i="1"/>
  <c r="AE22" i="1"/>
  <c r="U17" i="1"/>
  <c r="Y13" i="1"/>
  <c r="AJ21" i="1"/>
  <c r="Z16" i="1"/>
  <c r="AJ11" i="1"/>
  <c r="AH8" i="1"/>
  <c r="AI21" i="1"/>
  <c r="S17" i="1"/>
  <c r="AO10" i="1"/>
  <c r="AE5" i="1"/>
  <c r="T20" i="1"/>
  <c r="AD15" i="1"/>
  <c r="AH11" i="1"/>
  <c r="S20" i="1"/>
  <c r="W16" i="1"/>
  <c r="AO13" i="1"/>
  <c r="AE8" i="1"/>
  <c r="W6" i="1"/>
  <c r="R20" i="1"/>
  <c r="AH23" i="1"/>
  <c r="AN22" i="1"/>
  <c r="T22" i="1"/>
  <c r="Z21" i="1"/>
  <c r="X18" i="1"/>
  <c r="AD17" i="1"/>
  <c r="AJ16" i="1"/>
  <c r="AH13" i="1"/>
  <c r="AN12" i="1"/>
  <c r="Z11" i="1"/>
  <c r="X8" i="1"/>
  <c r="AJ6" i="1"/>
  <c r="Y21" i="1"/>
  <c r="AI16" i="1"/>
  <c r="Y11" i="1"/>
  <c r="AI6" i="1"/>
  <c r="U14" i="1"/>
  <c r="Z13" i="1"/>
  <c r="AI18" i="1"/>
  <c r="AI8" i="1"/>
  <c r="AL14" i="1"/>
  <c r="Z6" i="1"/>
  <c r="W23" i="1"/>
  <c r="AB22" i="1"/>
  <c r="AL17" i="1"/>
  <c r="Z14" i="1"/>
  <c r="AE23" i="1"/>
  <c r="AI19" i="1"/>
  <c r="AO18" i="1"/>
  <c r="U18" i="1"/>
  <c r="Y14" i="1"/>
  <c r="AE13" i="1"/>
  <c r="AI9" i="1"/>
  <c r="AO8" i="1"/>
  <c r="U8" i="1"/>
  <c r="AM5" i="1"/>
  <c r="S5" i="1"/>
  <c r="AD9" i="1"/>
  <c r="AM14" i="1"/>
  <c r="AD22" i="1"/>
  <c r="AB19" i="1"/>
  <c r="T17" i="1"/>
  <c r="X13" i="1"/>
  <c r="AB9" i="1"/>
  <c r="Y6" i="1"/>
  <c r="AJ19" i="1"/>
  <c r="AJ9" i="1"/>
  <c r="AH19" i="1"/>
  <c r="AN18" i="1"/>
  <c r="Z17" i="1"/>
  <c r="X14" i="1"/>
  <c r="AD13" i="1"/>
  <c r="AJ12" i="1"/>
  <c r="AH9" i="1"/>
  <c r="AN8" i="1"/>
  <c r="T8" i="1"/>
  <c r="Z7" i="1"/>
  <c r="AE9" i="1"/>
  <c r="AC19" i="1"/>
  <c r="S14" i="1"/>
  <c r="U7" i="1"/>
  <c r="T7" i="1"/>
  <c r="W13" i="1"/>
  <c r="X16" i="1"/>
  <c r="AD23" i="1"/>
  <c r="AJ22" i="1"/>
  <c r="T18" i="1"/>
  <c r="D4" i="1"/>
  <c r="D13" i="1"/>
  <c r="D12" i="1"/>
  <c r="J4" i="1"/>
  <c r="D11" i="1"/>
  <c r="D10" i="1"/>
  <c r="D9" i="1"/>
  <c r="D8" i="1"/>
  <c r="D7" i="1"/>
  <c r="D6" i="1"/>
  <c r="C13" i="1"/>
  <c r="C12" i="1"/>
  <c r="C11" i="1"/>
  <c r="C10" i="1"/>
  <c r="C9" i="1"/>
  <c r="C8" i="1"/>
  <c r="C7" i="1"/>
  <c r="C6" i="1"/>
  <c r="C5" i="1"/>
  <c r="I5" i="1" s="1"/>
  <c r="B11" i="1"/>
  <c r="B4" i="1"/>
  <c r="H4" i="1"/>
  <c r="B10" i="1"/>
  <c r="B9" i="1"/>
  <c r="B8" i="1"/>
  <c r="B7" i="1"/>
  <c r="B13" i="1"/>
  <c r="B6" i="1"/>
  <c r="AE4" i="1"/>
  <c r="Z4" i="1"/>
  <c r="AI4" i="1"/>
  <c r="AJ4" i="1"/>
  <c r="AL4" i="1"/>
  <c r="R4" i="1"/>
  <c r="S4" i="1"/>
  <c r="T4" i="1"/>
  <c r="U4" i="1"/>
  <c r="W4" i="1"/>
  <c r="X4" i="1"/>
  <c r="Y4" i="1"/>
  <c r="AB4" i="1"/>
  <c r="AC4" i="1"/>
  <c r="AD4" i="1"/>
  <c r="AG4" i="1"/>
  <c r="AH4" i="1"/>
  <c r="AM4" i="1"/>
  <c r="AN4" i="1"/>
  <c r="E24" i="1" l="1"/>
  <c r="H24" i="1" s="1"/>
  <c r="F24" i="1"/>
  <c r="I24" i="1" s="1"/>
  <c r="G24" i="1"/>
  <c r="J24" i="1" s="1"/>
  <c r="F23" i="1"/>
  <c r="I23" i="1" s="1"/>
  <c r="E23" i="1"/>
  <c r="H23" i="1" s="1"/>
  <c r="G23" i="1"/>
  <c r="J23" i="1" s="1"/>
  <c r="E22" i="1"/>
  <c r="H22" i="1" s="1"/>
  <c r="G22" i="1"/>
  <c r="J22" i="1" s="1"/>
  <c r="F22" i="1"/>
  <c r="I22" i="1" s="1"/>
  <c r="G21" i="1"/>
  <c r="J21" i="1" s="1"/>
  <c r="E21" i="1"/>
  <c r="H21" i="1" s="1"/>
  <c r="F21" i="1"/>
  <c r="I21" i="1" s="1"/>
  <c r="G20" i="1"/>
  <c r="J20" i="1" s="1"/>
  <c r="F20" i="1"/>
  <c r="I20" i="1" s="1"/>
  <c r="E20" i="1"/>
  <c r="H20" i="1" s="1"/>
  <c r="E19" i="1"/>
  <c r="H19" i="1" s="1"/>
  <c r="G19" i="1"/>
  <c r="J19" i="1" s="1"/>
  <c r="F19" i="1"/>
  <c r="I19" i="1" s="1"/>
  <c r="G18" i="1"/>
  <c r="J18" i="1" s="1"/>
  <c r="F18" i="1"/>
  <c r="I18" i="1" s="1"/>
  <c r="E18" i="1"/>
  <c r="H18" i="1" s="1"/>
  <c r="F17" i="1"/>
  <c r="I17" i="1" s="1"/>
  <c r="E17" i="1"/>
  <c r="H17" i="1" s="1"/>
  <c r="G17" i="1"/>
  <c r="J17" i="1" s="1"/>
  <c r="G15" i="1"/>
  <c r="D15" i="1" s="1"/>
  <c r="E15" i="1"/>
  <c r="B15" i="1" s="1"/>
  <c r="H15" i="1" s="1"/>
  <c r="F15" i="1"/>
  <c r="C15" i="1" s="1"/>
  <c r="I15" i="1" s="1"/>
  <c r="G14" i="1"/>
  <c r="J14" i="1" s="1"/>
  <c r="E14" i="1"/>
  <c r="H14" i="1" s="1"/>
  <c r="F14" i="1"/>
  <c r="I14" i="1" s="1"/>
  <c r="G13" i="1"/>
  <c r="J13" i="1" s="1"/>
  <c r="E13" i="1"/>
  <c r="H13" i="1" s="1"/>
  <c r="F13" i="1"/>
  <c r="I13" i="1"/>
  <c r="E12" i="1"/>
  <c r="H12" i="1" s="1"/>
  <c r="G12" i="1"/>
  <c r="J12" i="1" s="1"/>
  <c r="F12" i="1"/>
  <c r="I12" i="1" s="1"/>
  <c r="G11" i="1"/>
  <c r="J11" i="1" s="1"/>
  <c r="F11" i="1"/>
  <c r="E11" i="1"/>
  <c r="H11" i="1" s="1"/>
  <c r="I11" i="1"/>
  <c r="I10" i="1"/>
  <c r="E10" i="1"/>
  <c r="H10" i="1" s="1"/>
  <c r="G10" i="1"/>
  <c r="J10" i="1" s="1"/>
  <c r="E9" i="1"/>
  <c r="H9" i="1" s="1"/>
  <c r="F9" i="1"/>
  <c r="I9" i="1" s="1"/>
  <c r="G9" i="1"/>
  <c r="J9" i="1" s="1"/>
  <c r="E8" i="1"/>
  <c r="H8" i="1" s="1"/>
  <c r="F8" i="1"/>
  <c r="I8" i="1" s="1"/>
  <c r="G8" i="1"/>
  <c r="J8" i="1" s="1"/>
  <c r="E7" i="1"/>
  <c r="H7" i="1" s="1"/>
  <c r="F7" i="1"/>
  <c r="I7" i="1" s="1"/>
  <c r="G7" i="1"/>
  <c r="J7" i="1" s="1"/>
  <c r="E6" i="1"/>
  <c r="H6" i="1" s="1"/>
  <c r="F6" i="1"/>
  <c r="I6" i="1" s="1"/>
  <c r="G6" i="1"/>
  <c r="J6" i="1" s="1"/>
  <c r="J15" i="1" l="1"/>
</calcChain>
</file>

<file path=xl/sharedStrings.xml><?xml version="1.0" encoding="utf-8"?>
<sst xmlns="http://schemas.openxmlformats.org/spreadsheetml/2006/main" count="28" uniqueCount="28">
  <si>
    <t>Policy Effectivess</t>
  </si>
  <si>
    <t>Scenario</t>
  </si>
  <si>
    <t>Interpolation</t>
  </si>
  <si>
    <t>Results</t>
  </si>
  <si>
    <t>Baseline NPV</t>
  </si>
  <si>
    <t>NPV with Discount Rate</t>
  </si>
  <si>
    <t>Change in NPV from Baseline</t>
  </si>
  <si>
    <t>low_low</t>
  </si>
  <si>
    <t>innovation-DACHubs_low</t>
  </si>
  <si>
    <t>innovation-maintain_low</t>
  </si>
  <si>
    <t>innovation-rhodium-6B_low</t>
  </si>
  <si>
    <t>innovation-rhodium-18B_low</t>
  </si>
  <si>
    <t>innovation-triple_low</t>
  </si>
  <si>
    <t>s1-itc-l_low</t>
  </si>
  <si>
    <t>s1-noBECCS-itc-l_low</t>
  </si>
  <si>
    <t>s1-procure-3B-l_low</t>
  </si>
  <si>
    <t>s1-procure-rhodium-l_low</t>
  </si>
  <si>
    <t>s1-procure-scaling-l_low</t>
  </si>
  <si>
    <t>high_high</t>
  </si>
  <si>
    <t>innovation-DACHubs_high</t>
  </si>
  <si>
    <t>innovation-maintain_high</t>
  </si>
  <si>
    <t>innovation-rhodium-6B_high</t>
  </si>
  <si>
    <t>innovation-rhodium-18B_high</t>
  </si>
  <si>
    <t>innovation-triple_high</t>
  </si>
  <si>
    <t>s1-itc-h_high</t>
  </si>
  <si>
    <t>s1-procure-3B-h_high</t>
  </si>
  <si>
    <t>s1-procure-rhodium-h_high</t>
  </si>
  <si>
    <t>s1-procure-scaling-h_high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</si>
</sst>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9" fontId="0" fillId="0" borderId="0" xfId="0" applyNumberFormat="1"/>
    <xf numFmtId="0" fontId="0" fillId="0" borderId="0" xfId="0" applyNumberFormat="1"/>
    <xf numFmtId="0" fontId="2" fillId="0" borderId="0" xfId="0" applyFont="1" applyAlignment="1">
      <alignment horizontal="center"/>
    </xf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24"/>
  <sheetViews>
    <sheetView tabSelected="1" zoomScale="80" zoomScaleNormal="80" workbookViewId="0">
      <selection activeCell="Q24" sqref="Q24"/>
    </sheetView>
  </sheetViews>
  <sheetFormatPr defaultRowHeight="15" x14ac:dyDescent="0.25"/>
  <cols>
    <col min="1" max="1" width="27.140625" bestFit="1" customWidth="1"/>
    <col min="2" max="6" width="12.7109375" bestFit="1" customWidth="1"/>
    <col min="7" max="7" width="11.5703125" bestFit="1" customWidth="1"/>
    <col min="8" max="9" width="13.42578125" bestFit="1" customWidth="1"/>
    <col min="10" max="10" width="12.2851562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B2" s="4" t="s">
        <v>4</v>
      </c>
      <c r="C2" s="4"/>
      <c r="D2" s="4"/>
      <c r="E2" s="4" t="s">
        <v>5</v>
      </c>
      <c r="F2" s="4"/>
      <c r="G2" s="4"/>
      <c r="H2" s="4" t="s">
        <v>6</v>
      </c>
      <c r="I2" s="4"/>
      <c r="J2" s="4"/>
      <c r="K2" s="4" t="s">
        <v>3</v>
      </c>
      <c r="L2" s="4"/>
      <c r="M2" s="4"/>
      <c r="N2" s="4"/>
      <c r="O2" s="4"/>
      <c r="P2" s="4"/>
      <c r="Q2" s="4" t="s">
        <v>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t="s">
        <v>1</v>
      </c>
      <c r="B3" s="2">
        <v>0.05</v>
      </c>
      <c r="C3" s="2">
        <v>0.12</v>
      </c>
      <c r="D3" s="2">
        <v>0.2</v>
      </c>
      <c r="E3" s="2">
        <v>0.05</v>
      </c>
      <c r="F3" s="2">
        <v>0.12</v>
      </c>
      <c r="G3" s="2">
        <v>0.2</v>
      </c>
      <c r="H3" s="2">
        <v>0.05</v>
      </c>
      <c r="I3" s="2">
        <v>0.12</v>
      </c>
      <c r="J3" s="2">
        <v>0.2</v>
      </c>
      <c r="K3" s="3">
        <v>2025</v>
      </c>
      <c r="L3" s="3">
        <v>2030</v>
      </c>
      <c r="M3" s="3">
        <v>2035</v>
      </c>
      <c r="N3" s="3">
        <v>2040</v>
      </c>
      <c r="O3" s="3">
        <v>2045</v>
      </c>
      <c r="P3" s="3">
        <v>2050</v>
      </c>
      <c r="Q3" s="3">
        <v>2025</v>
      </c>
      <c r="R3" s="3">
        <v>2026</v>
      </c>
      <c r="S3" s="3">
        <v>2027</v>
      </c>
      <c r="T3" s="3">
        <v>2028</v>
      </c>
      <c r="U3" s="3">
        <v>2029</v>
      </c>
      <c r="V3" s="3">
        <v>2030</v>
      </c>
      <c r="W3" s="3">
        <v>2031</v>
      </c>
      <c r="X3" s="3">
        <v>2032</v>
      </c>
      <c r="Y3" s="3">
        <v>2033</v>
      </c>
      <c r="Z3" s="3">
        <v>2034</v>
      </c>
      <c r="AA3" s="3">
        <v>2035</v>
      </c>
      <c r="AB3" s="3">
        <v>2036</v>
      </c>
      <c r="AC3" s="3">
        <v>2037</v>
      </c>
      <c r="AD3" s="3">
        <v>2038</v>
      </c>
      <c r="AE3" s="3">
        <v>2039</v>
      </c>
      <c r="AF3" s="3">
        <v>2040</v>
      </c>
      <c r="AG3" s="3">
        <v>2041</v>
      </c>
      <c r="AH3" s="3">
        <v>2042</v>
      </c>
      <c r="AI3" s="3">
        <v>2043</v>
      </c>
      <c r="AJ3" s="3">
        <v>2044</v>
      </c>
      <c r="AK3" s="3">
        <v>2045</v>
      </c>
      <c r="AL3" s="3">
        <v>2046</v>
      </c>
      <c r="AM3" s="3">
        <v>2047</v>
      </c>
      <c r="AN3" s="3">
        <v>2048</v>
      </c>
      <c r="AO3" s="3">
        <v>2049</v>
      </c>
      <c r="AP3" s="3">
        <v>2050</v>
      </c>
    </row>
    <row r="4" spans="1:42" x14ac:dyDescent="0.25">
      <c r="A4" t="s">
        <v>7</v>
      </c>
      <c r="B4" s="5">
        <f>E$4</f>
        <v>293793.7861481891</v>
      </c>
      <c r="C4" s="5">
        <f>F$4</f>
        <v>107962.30340464083</v>
      </c>
      <c r="D4" s="5">
        <f>G$4</f>
        <v>48206.370647898213</v>
      </c>
      <c r="E4" s="5">
        <f>NPV(E$3,Q4:AP4)</f>
        <v>293793.7861481891</v>
      </c>
      <c r="F4" s="5">
        <f>NPV(F$3,Q4:AP4)</f>
        <v>107962.30340464083</v>
      </c>
      <c r="G4" s="5">
        <f>NPV(G$3,Q4:AP4)</f>
        <v>48206.370647898213</v>
      </c>
      <c r="H4" s="5">
        <f>E4-$B4</f>
        <v>0</v>
      </c>
      <c r="I4" s="5">
        <f>F4-$C4</f>
        <v>0</v>
      </c>
      <c r="J4" s="5">
        <f>G4-$D4</f>
        <v>0</v>
      </c>
      <c r="K4">
        <v>4773</v>
      </c>
      <c r="L4">
        <v>8116</v>
      </c>
      <c r="M4">
        <v>12582</v>
      </c>
      <c r="N4">
        <v>23832</v>
      </c>
      <c r="O4">
        <v>44799</v>
      </c>
      <c r="P4">
        <v>86435</v>
      </c>
      <c r="Q4">
        <f>K4</f>
        <v>4773</v>
      </c>
      <c r="R4">
        <f>Q4+0.2*(V4-Q4)</f>
        <v>5441.6</v>
      </c>
      <c r="S4">
        <f>Q4+0.4*(V4-Q4)</f>
        <v>6110.2</v>
      </c>
      <c r="T4">
        <f>Q4+0.6*(V4-Q4)</f>
        <v>6778.8</v>
      </c>
      <c r="U4">
        <f>Q4+0.8*(V4-Q4)</f>
        <v>7447.4</v>
      </c>
      <c r="V4">
        <f>L4</f>
        <v>8116</v>
      </c>
      <c r="W4">
        <f>V4+0.2*(AA4-V4)</f>
        <v>9009.2000000000007</v>
      </c>
      <c r="X4">
        <f>V4+0.4*(AA4-V4)</f>
        <v>9902.4</v>
      </c>
      <c r="Y4">
        <f>V4+0.6*(AA4-V4)</f>
        <v>10795.6</v>
      </c>
      <c r="Z4">
        <f>V4+0.8*(AA4-V4)</f>
        <v>11688.8</v>
      </c>
      <c r="AA4">
        <f>M4</f>
        <v>12582</v>
      </c>
      <c r="AB4">
        <f>AA4+0.2*(AF4-AA4)</f>
        <v>14832</v>
      </c>
      <c r="AC4">
        <f>AA4+0.4*(AF4-AA4)</f>
        <v>17082</v>
      </c>
      <c r="AD4">
        <f>AA4+0.6*(AF4-AA4)</f>
        <v>19332</v>
      </c>
      <c r="AE4">
        <f>AA4+0.8*(AF4-AA4)</f>
        <v>21582</v>
      </c>
      <c r="AF4">
        <f>N4</f>
        <v>23832</v>
      </c>
      <c r="AG4">
        <f>AF4+0.2*(AK4-AF4)</f>
        <v>28025.4</v>
      </c>
      <c r="AH4">
        <f>AF4+0.4*(AK4-AF4)</f>
        <v>32218.800000000003</v>
      </c>
      <c r="AI4">
        <f>AF4+0.6*(AK4-AF4)</f>
        <v>36412.199999999997</v>
      </c>
      <c r="AJ4">
        <f>AF4+0.8*(AK4-AF4)</f>
        <v>40605.600000000006</v>
      </c>
      <c r="AK4">
        <f>O4</f>
        <v>44799</v>
      </c>
      <c r="AL4">
        <f>AK4+0.2*(AP4-AK4)</f>
        <v>53126.2</v>
      </c>
      <c r="AM4">
        <f>AK4+0.4*(AP4-AK4)</f>
        <v>61453.4</v>
      </c>
      <c r="AN4">
        <f>AK4+0.6*(AP4-AK4)</f>
        <v>69780.600000000006</v>
      </c>
      <c r="AO4">
        <f>AK4+0.8*(AP4-AK4)</f>
        <v>78107.8</v>
      </c>
      <c r="AP4">
        <f>P4</f>
        <v>86435</v>
      </c>
    </row>
    <row r="5" spans="1:42" x14ac:dyDescent="0.25">
      <c r="A5" t="s">
        <v>8</v>
      </c>
      <c r="B5" s="5">
        <f t="shared" ref="B5:B13" si="0">E$4</f>
        <v>293793.7861481891</v>
      </c>
      <c r="C5" s="5">
        <f t="shared" ref="C5:C13" si="1">F$4</f>
        <v>107962.30340464083</v>
      </c>
      <c r="D5" s="5">
        <f t="shared" ref="D5:D13" si="2">G$4</f>
        <v>48206.370647898213</v>
      </c>
      <c r="E5" s="5">
        <f t="shared" ref="E5:E23" si="3">NPV(E$3,Q5:AP5)</f>
        <v>283500.76322913246</v>
      </c>
      <c r="F5" s="5">
        <f t="shared" ref="F5:F23" si="4">NPV(F$3,Q5:AP5)</f>
        <v>105466.18876267076</v>
      </c>
      <c r="G5" s="5">
        <f t="shared" ref="G5:G23" si="5">NPV(G$3,Q5:AP5)</f>
        <v>47907.46558100274</v>
      </c>
      <c r="H5" s="5">
        <f t="shared" ref="H5:H23" si="6">E5-$B5</f>
        <v>-10293.022919056646</v>
      </c>
      <c r="I5" s="5">
        <f t="shared" ref="I5:I23" si="7">F5-$C5</f>
        <v>-2496.1146419700672</v>
      </c>
      <c r="J5" s="5">
        <f t="shared" ref="J5:J23" si="8">G5-$D5</f>
        <v>-298.90506689547328</v>
      </c>
      <c r="K5">
        <v>5267</v>
      </c>
      <c r="L5">
        <v>7920</v>
      </c>
      <c r="M5">
        <v>12195</v>
      </c>
      <c r="N5">
        <v>22836</v>
      </c>
      <c r="O5">
        <v>42875</v>
      </c>
      <c r="P5">
        <v>82018</v>
      </c>
      <c r="Q5">
        <f t="shared" ref="Q5:Q23" si="9">K5</f>
        <v>5267</v>
      </c>
      <c r="R5">
        <f t="shared" ref="R5:R23" si="10">Q5+0.2*(V5-Q5)</f>
        <v>5797.6</v>
      </c>
      <c r="S5">
        <f t="shared" ref="S5:S23" si="11">Q5+0.4*(V5-Q5)</f>
        <v>6328.2</v>
      </c>
      <c r="T5">
        <f t="shared" ref="T5:T23" si="12">Q5+0.6*(V5-Q5)</f>
        <v>6858.8</v>
      </c>
      <c r="U5">
        <f t="shared" ref="U5:U23" si="13">Q5+0.8*(V5-Q5)</f>
        <v>7389.4</v>
      </c>
      <c r="V5">
        <f t="shared" ref="V5:V23" si="14">L5</f>
        <v>7920</v>
      </c>
      <c r="W5">
        <f t="shared" ref="W5:W23" si="15">V5+0.2*(AA5-V5)</f>
        <v>8775</v>
      </c>
      <c r="X5">
        <f t="shared" ref="X5:X23" si="16">V5+0.4*(AA5-V5)</f>
        <v>9630</v>
      </c>
      <c r="Y5">
        <f t="shared" ref="Y5:Y23" si="17">V5+0.6*(AA5-V5)</f>
        <v>10485</v>
      </c>
      <c r="Z5">
        <f t="shared" ref="Z5:Z23" si="18">V5+0.8*(AA5-V5)</f>
        <v>11340</v>
      </c>
      <c r="AA5">
        <f t="shared" ref="AA5:AA23" si="19">M5</f>
        <v>12195</v>
      </c>
      <c r="AB5">
        <f t="shared" ref="AB5:AB23" si="20">AA5+0.2*(AF5-AA5)</f>
        <v>14323.2</v>
      </c>
      <c r="AC5">
        <f t="shared" ref="AC5:AC23" si="21">AA5+0.4*(AF5-AA5)</f>
        <v>16451.400000000001</v>
      </c>
      <c r="AD5">
        <f t="shared" ref="AD5:AD23" si="22">AA5+0.6*(AF5-AA5)</f>
        <v>18579.599999999999</v>
      </c>
      <c r="AE5">
        <f t="shared" ref="AE5:AE23" si="23">AA5+0.8*(AF5-AA5)</f>
        <v>20707.800000000003</v>
      </c>
      <c r="AF5">
        <f t="shared" ref="AF5:AF23" si="24">N5</f>
        <v>22836</v>
      </c>
      <c r="AG5">
        <f t="shared" ref="AG5:AG23" si="25">AF5+0.2*(AK5-AF5)</f>
        <v>26843.8</v>
      </c>
      <c r="AH5">
        <f t="shared" ref="AH5:AH23" si="26">AF5+0.4*(AK5-AF5)</f>
        <v>30851.599999999999</v>
      </c>
      <c r="AI5">
        <f t="shared" ref="AI5:AI23" si="27">AF5+0.6*(AK5-AF5)</f>
        <v>34859.4</v>
      </c>
      <c r="AJ5">
        <f t="shared" ref="AJ5:AJ23" si="28">AF5+0.8*(AK5-AF5)</f>
        <v>38867.199999999997</v>
      </c>
      <c r="AK5">
        <f t="shared" ref="AK5:AK23" si="29">O5</f>
        <v>42875</v>
      </c>
      <c r="AL5">
        <f t="shared" ref="AL5:AL23" si="30">AK5+0.2*(AP5-AK5)</f>
        <v>50703.6</v>
      </c>
      <c r="AM5">
        <f t="shared" ref="AM5:AM23" si="31">AK5+0.4*(AP5-AK5)</f>
        <v>58532.2</v>
      </c>
      <c r="AN5">
        <f t="shared" ref="AN5:AN23" si="32">AK5+0.6*(AP5-AK5)</f>
        <v>66360.800000000003</v>
      </c>
      <c r="AO5">
        <f t="shared" ref="AO5:AO23" si="33">AK5+0.8*(AP5-AK5)</f>
        <v>74189.399999999994</v>
      </c>
      <c r="AP5">
        <f t="shared" ref="AP5:AP23" si="34">P5</f>
        <v>82018</v>
      </c>
    </row>
    <row r="6" spans="1:42" x14ac:dyDescent="0.25">
      <c r="A6" t="s">
        <v>9</v>
      </c>
      <c r="B6" s="5">
        <f t="shared" si="0"/>
        <v>293793.7861481891</v>
      </c>
      <c r="C6" s="5">
        <f t="shared" si="1"/>
        <v>107962.30340464083</v>
      </c>
      <c r="D6" s="5">
        <f t="shared" si="2"/>
        <v>48206.370647898213</v>
      </c>
      <c r="E6" s="5">
        <f t="shared" si="3"/>
        <v>278422.99151030829</v>
      </c>
      <c r="F6" s="5">
        <f t="shared" si="4"/>
        <v>103470.97397508268</v>
      </c>
      <c r="G6" s="5">
        <f t="shared" si="5"/>
        <v>46833.881821335468</v>
      </c>
      <c r="H6" s="5">
        <f t="shared" si="6"/>
        <v>-15370.794637880812</v>
      </c>
      <c r="I6" s="5">
        <f t="shared" si="7"/>
        <v>-4491.3294295581436</v>
      </c>
      <c r="J6" s="5">
        <f t="shared" si="8"/>
        <v>-1372.4888265627451</v>
      </c>
      <c r="K6">
        <v>4818</v>
      </c>
      <c r="L6">
        <v>8028</v>
      </c>
      <c r="M6">
        <v>12060</v>
      </c>
      <c r="N6">
        <v>22482</v>
      </c>
      <c r="O6">
        <v>41853</v>
      </c>
      <c r="P6">
        <v>80661</v>
      </c>
      <c r="Q6">
        <f t="shared" si="9"/>
        <v>4818</v>
      </c>
      <c r="R6">
        <f t="shared" si="10"/>
        <v>5460</v>
      </c>
      <c r="S6">
        <f t="shared" si="11"/>
        <v>6102</v>
      </c>
      <c r="T6">
        <f t="shared" si="12"/>
        <v>6744</v>
      </c>
      <c r="U6">
        <f t="shared" si="13"/>
        <v>7386</v>
      </c>
      <c r="V6">
        <f t="shared" si="14"/>
        <v>8028</v>
      </c>
      <c r="W6">
        <f t="shared" si="15"/>
        <v>8834.4</v>
      </c>
      <c r="X6">
        <f t="shared" si="16"/>
        <v>9640.7999999999993</v>
      </c>
      <c r="Y6">
        <f t="shared" si="17"/>
        <v>10447.200000000001</v>
      </c>
      <c r="Z6">
        <f t="shared" si="18"/>
        <v>11253.6</v>
      </c>
      <c r="AA6">
        <f t="shared" si="19"/>
        <v>12060</v>
      </c>
      <c r="AB6">
        <f t="shared" si="20"/>
        <v>14144.4</v>
      </c>
      <c r="AC6">
        <f t="shared" si="21"/>
        <v>16228.8</v>
      </c>
      <c r="AD6">
        <f t="shared" si="22"/>
        <v>18313.2</v>
      </c>
      <c r="AE6">
        <f t="shared" si="23"/>
        <v>20397.599999999999</v>
      </c>
      <c r="AF6">
        <f t="shared" si="24"/>
        <v>22482</v>
      </c>
      <c r="AG6">
        <f t="shared" si="25"/>
        <v>26356.2</v>
      </c>
      <c r="AH6">
        <f t="shared" si="26"/>
        <v>30230.400000000001</v>
      </c>
      <c r="AI6">
        <f t="shared" si="27"/>
        <v>34104.6</v>
      </c>
      <c r="AJ6">
        <f t="shared" si="28"/>
        <v>37978.800000000003</v>
      </c>
      <c r="AK6">
        <f t="shared" si="29"/>
        <v>41853</v>
      </c>
      <c r="AL6">
        <f t="shared" si="30"/>
        <v>49614.6</v>
      </c>
      <c r="AM6">
        <f t="shared" si="31"/>
        <v>57376.2</v>
      </c>
      <c r="AN6">
        <f t="shared" si="32"/>
        <v>65137.8</v>
      </c>
      <c r="AO6">
        <f t="shared" si="33"/>
        <v>72899.399999999994</v>
      </c>
      <c r="AP6">
        <f t="shared" si="34"/>
        <v>80661</v>
      </c>
    </row>
    <row r="7" spans="1:42" x14ac:dyDescent="0.25">
      <c r="A7" t="s">
        <v>10</v>
      </c>
      <c r="B7" s="5">
        <f t="shared" si="0"/>
        <v>293793.7861481891</v>
      </c>
      <c r="C7" s="5">
        <f t="shared" si="1"/>
        <v>107962.30340464083</v>
      </c>
      <c r="D7" s="5">
        <f t="shared" si="2"/>
        <v>48206.370647898213</v>
      </c>
      <c r="E7" s="5">
        <f t="shared" si="3"/>
        <v>273015.36024418875</v>
      </c>
      <c r="F7" s="5">
        <f t="shared" si="4"/>
        <v>102206.04500219243</v>
      </c>
      <c r="G7" s="5">
        <f t="shared" si="5"/>
        <v>46682.096508819894</v>
      </c>
      <c r="H7" s="5">
        <f t="shared" si="6"/>
        <v>-20778.425904000353</v>
      </c>
      <c r="I7" s="5">
        <f t="shared" si="7"/>
        <v>-5756.2584024483949</v>
      </c>
      <c r="J7" s="5">
        <f t="shared" si="8"/>
        <v>-1524.2741390783194</v>
      </c>
      <c r="K7">
        <v>4760</v>
      </c>
      <c r="L7">
        <v>8337</v>
      </c>
      <c r="M7">
        <v>11926</v>
      </c>
      <c r="N7">
        <v>21493</v>
      </c>
      <c r="O7">
        <v>40514</v>
      </c>
      <c r="P7">
        <v>79191</v>
      </c>
      <c r="Q7">
        <f t="shared" si="9"/>
        <v>4760</v>
      </c>
      <c r="R7">
        <f t="shared" si="10"/>
        <v>5475.4</v>
      </c>
      <c r="S7">
        <f t="shared" si="11"/>
        <v>6190.8</v>
      </c>
      <c r="T7">
        <f t="shared" si="12"/>
        <v>6906.2</v>
      </c>
      <c r="U7">
        <f t="shared" si="13"/>
        <v>7621.6</v>
      </c>
      <c r="V7">
        <f t="shared" si="14"/>
        <v>8337</v>
      </c>
      <c r="W7">
        <f t="shared" si="15"/>
        <v>9054.7999999999993</v>
      </c>
      <c r="X7">
        <f t="shared" si="16"/>
        <v>9772.6</v>
      </c>
      <c r="Y7">
        <f t="shared" si="17"/>
        <v>10490.4</v>
      </c>
      <c r="Z7">
        <f t="shared" si="18"/>
        <v>11208.2</v>
      </c>
      <c r="AA7">
        <f t="shared" si="19"/>
        <v>11926</v>
      </c>
      <c r="AB7">
        <f t="shared" si="20"/>
        <v>13839.4</v>
      </c>
      <c r="AC7">
        <f t="shared" si="21"/>
        <v>15752.8</v>
      </c>
      <c r="AD7">
        <f t="shared" si="22"/>
        <v>17666.2</v>
      </c>
      <c r="AE7">
        <f t="shared" si="23"/>
        <v>19579.599999999999</v>
      </c>
      <c r="AF7">
        <f t="shared" si="24"/>
        <v>21493</v>
      </c>
      <c r="AG7">
        <f t="shared" si="25"/>
        <v>25297.200000000001</v>
      </c>
      <c r="AH7">
        <f t="shared" si="26"/>
        <v>29101.4</v>
      </c>
      <c r="AI7">
        <f t="shared" si="27"/>
        <v>32905.599999999999</v>
      </c>
      <c r="AJ7">
        <f t="shared" si="28"/>
        <v>36709.800000000003</v>
      </c>
      <c r="AK7">
        <f t="shared" si="29"/>
        <v>40514</v>
      </c>
      <c r="AL7">
        <f t="shared" si="30"/>
        <v>48249.4</v>
      </c>
      <c r="AM7">
        <f t="shared" si="31"/>
        <v>55984.800000000003</v>
      </c>
      <c r="AN7">
        <f t="shared" si="32"/>
        <v>63720.2</v>
      </c>
      <c r="AO7">
        <f t="shared" si="33"/>
        <v>71455.600000000006</v>
      </c>
      <c r="AP7">
        <f t="shared" si="34"/>
        <v>79191</v>
      </c>
    </row>
    <row r="8" spans="1:42" x14ac:dyDescent="0.25">
      <c r="A8" t="s">
        <v>11</v>
      </c>
      <c r="B8" s="5">
        <f t="shared" si="0"/>
        <v>293793.7861481891</v>
      </c>
      <c r="C8" s="5">
        <f t="shared" si="1"/>
        <v>107962.30340464083</v>
      </c>
      <c r="D8" s="5">
        <f t="shared" si="2"/>
        <v>48206.370647898213</v>
      </c>
      <c r="E8" s="5">
        <f t="shared" si="3"/>
        <v>250266.65281942984</v>
      </c>
      <c r="F8" s="5">
        <f t="shared" si="4"/>
        <v>96546.343351654796</v>
      </c>
      <c r="G8" s="5">
        <f t="shared" si="5"/>
        <v>45658.881940529427</v>
      </c>
      <c r="H8" s="5">
        <f t="shared" si="6"/>
        <v>-43527.133328759257</v>
      </c>
      <c r="I8" s="5">
        <f t="shared" si="7"/>
        <v>-11415.960052986033</v>
      </c>
      <c r="J8" s="5">
        <f t="shared" si="8"/>
        <v>-2547.488707368786</v>
      </c>
      <c r="K8">
        <v>4760</v>
      </c>
      <c r="L8">
        <v>8958</v>
      </c>
      <c r="M8">
        <v>11438</v>
      </c>
      <c r="N8">
        <v>18388</v>
      </c>
      <c r="O8">
        <v>35071</v>
      </c>
      <c r="P8">
        <v>71784</v>
      </c>
      <c r="Q8">
        <f t="shared" si="9"/>
        <v>4760</v>
      </c>
      <c r="R8">
        <f t="shared" si="10"/>
        <v>5599.6</v>
      </c>
      <c r="S8">
        <f t="shared" si="11"/>
        <v>6439.2</v>
      </c>
      <c r="T8">
        <f t="shared" si="12"/>
        <v>7278.7999999999993</v>
      </c>
      <c r="U8">
        <f t="shared" si="13"/>
        <v>8118.4</v>
      </c>
      <c r="V8">
        <f t="shared" si="14"/>
        <v>8958</v>
      </c>
      <c r="W8">
        <f t="shared" si="15"/>
        <v>9454</v>
      </c>
      <c r="X8">
        <f t="shared" si="16"/>
        <v>9950</v>
      </c>
      <c r="Y8">
        <f t="shared" si="17"/>
        <v>10446</v>
      </c>
      <c r="Z8">
        <f t="shared" si="18"/>
        <v>10942</v>
      </c>
      <c r="AA8">
        <f t="shared" si="19"/>
        <v>11438</v>
      </c>
      <c r="AB8">
        <f t="shared" si="20"/>
        <v>12828</v>
      </c>
      <c r="AC8">
        <f t="shared" si="21"/>
        <v>14218</v>
      </c>
      <c r="AD8">
        <f t="shared" si="22"/>
        <v>15608</v>
      </c>
      <c r="AE8">
        <f t="shared" si="23"/>
        <v>16998</v>
      </c>
      <c r="AF8">
        <f t="shared" si="24"/>
        <v>18388</v>
      </c>
      <c r="AG8">
        <f t="shared" si="25"/>
        <v>21724.6</v>
      </c>
      <c r="AH8">
        <f t="shared" si="26"/>
        <v>25061.200000000001</v>
      </c>
      <c r="AI8">
        <f t="shared" si="27"/>
        <v>28397.8</v>
      </c>
      <c r="AJ8">
        <f t="shared" si="28"/>
        <v>31734.400000000001</v>
      </c>
      <c r="AK8">
        <f t="shared" si="29"/>
        <v>35071</v>
      </c>
      <c r="AL8">
        <f t="shared" si="30"/>
        <v>42413.599999999999</v>
      </c>
      <c r="AM8">
        <f t="shared" si="31"/>
        <v>49756.2</v>
      </c>
      <c r="AN8">
        <f t="shared" si="32"/>
        <v>57098.8</v>
      </c>
      <c r="AO8">
        <f t="shared" si="33"/>
        <v>64441.4</v>
      </c>
      <c r="AP8">
        <f t="shared" si="34"/>
        <v>71784</v>
      </c>
    </row>
    <row r="9" spans="1:42" x14ac:dyDescent="0.25">
      <c r="A9" t="s">
        <v>12</v>
      </c>
      <c r="B9" s="5">
        <f t="shared" si="0"/>
        <v>293793.7861481891</v>
      </c>
      <c r="C9" s="5">
        <f t="shared" si="1"/>
        <v>107962.30340464083</v>
      </c>
      <c r="D9" s="5">
        <f t="shared" si="2"/>
        <v>48206.370647898213</v>
      </c>
      <c r="E9" s="5">
        <f t="shared" si="3"/>
        <v>270466.23569492984</v>
      </c>
      <c r="F9" s="5">
        <f t="shared" si="4"/>
        <v>101432.6987637945</v>
      </c>
      <c r="G9" s="5">
        <f t="shared" si="5"/>
        <v>46457.31850836378</v>
      </c>
      <c r="H9" s="5">
        <f t="shared" si="6"/>
        <v>-23327.55045325926</v>
      </c>
      <c r="I9" s="5">
        <f t="shared" si="7"/>
        <v>-6529.6046408463299</v>
      </c>
      <c r="J9" s="5">
        <f t="shared" si="8"/>
        <v>-1749.0521395344331</v>
      </c>
      <c r="K9">
        <v>4983</v>
      </c>
      <c r="L9">
        <v>8056</v>
      </c>
      <c r="M9">
        <v>11752</v>
      </c>
      <c r="N9">
        <v>21662</v>
      </c>
      <c r="O9">
        <v>40115</v>
      </c>
      <c r="P9">
        <v>77803</v>
      </c>
      <c r="Q9">
        <f t="shared" si="9"/>
        <v>4983</v>
      </c>
      <c r="R9">
        <f t="shared" si="10"/>
        <v>5597.6</v>
      </c>
      <c r="S9">
        <f t="shared" si="11"/>
        <v>6212.2</v>
      </c>
      <c r="T9">
        <f t="shared" si="12"/>
        <v>6826.8</v>
      </c>
      <c r="U9">
        <f t="shared" si="13"/>
        <v>7441.4</v>
      </c>
      <c r="V9">
        <f t="shared" si="14"/>
        <v>8056</v>
      </c>
      <c r="W9">
        <f t="shared" si="15"/>
        <v>8795.2000000000007</v>
      </c>
      <c r="X9">
        <f t="shared" si="16"/>
        <v>9534.4</v>
      </c>
      <c r="Y9">
        <f t="shared" si="17"/>
        <v>10273.6</v>
      </c>
      <c r="Z9">
        <f t="shared" si="18"/>
        <v>11012.8</v>
      </c>
      <c r="AA9">
        <f t="shared" si="19"/>
        <v>11752</v>
      </c>
      <c r="AB9">
        <f t="shared" si="20"/>
        <v>13734</v>
      </c>
      <c r="AC9">
        <f t="shared" si="21"/>
        <v>15716</v>
      </c>
      <c r="AD9">
        <f t="shared" si="22"/>
        <v>17698</v>
      </c>
      <c r="AE9">
        <f t="shared" si="23"/>
        <v>19680</v>
      </c>
      <c r="AF9">
        <f t="shared" si="24"/>
        <v>21662</v>
      </c>
      <c r="AG9">
        <f t="shared" si="25"/>
        <v>25352.6</v>
      </c>
      <c r="AH9">
        <f t="shared" si="26"/>
        <v>29043.200000000001</v>
      </c>
      <c r="AI9">
        <f t="shared" si="27"/>
        <v>32733.8</v>
      </c>
      <c r="AJ9">
        <f t="shared" si="28"/>
        <v>36424.400000000001</v>
      </c>
      <c r="AK9">
        <f t="shared" si="29"/>
        <v>40115</v>
      </c>
      <c r="AL9">
        <f t="shared" si="30"/>
        <v>47652.6</v>
      </c>
      <c r="AM9">
        <f t="shared" si="31"/>
        <v>55190.2</v>
      </c>
      <c r="AN9">
        <f t="shared" si="32"/>
        <v>62727.8</v>
      </c>
      <c r="AO9">
        <f t="shared" si="33"/>
        <v>70265.399999999994</v>
      </c>
      <c r="AP9">
        <f t="shared" si="34"/>
        <v>77803</v>
      </c>
    </row>
    <row r="10" spans="1:42" x14ac:dyDescent="0.25">
      <c r="A10" t="s">
        <v>13</v>
      </c>
      <c r="B10" s="5">
        <f t="shared" si="0"/>
        <v>293793.7861481891</v>
      </c>
      <c r="C10" s="5">
        <f t="shared" si="1"/>
        <v>107962.30340464083</v>
      </c>
      <c r="D10" s="5">
        <f t="shared" si="2"/>
        <v>48206.370647898213</v>
      </c>
      <c r="E10" s="5">
        <f t="shared" si="3"/>
        <v>279143.13634098368</v>
      </c>
      <c r="F10" s="5">
        <f t="shared" si="4"/>
        <v>99723.990035120369</v>
      </c>
      <c r="G10" s="5">
        <f t="shared" si="5"/>
        <v>43216.211753049742</v>
      </c>
      <c r="H10" s="5">
        <f t="shared" si="6"/>
        <v>-14650.649807205424</v>
      </c>
      <c r="I10" s="5">
        <f t="shared" si="7"/>
        <v>-8238.3133695204597</v>
      </c>
      <c r="J10" s="5">
        <f t="shared" si="8"/>
        <v>-4990.1588948484714</v>
      </c>
      <c r="K10">
        <v>4760</v>
      </c>
      <c r="L10">
        <v>5946</v>
      </c>
      <c r="M10">
        <v>11328</v>
      </c>
      <c r="N10">
        <v>23590</v>
      </c>
      <c r="O10">
        <v>44255</v>
      </c>
      <c r="P10">
        <v>85039</v>
      </c>
      <c r="Q10">
        <f t="shared" si="9"/>
        <v>4760</v>
      </c>
      <c r="R10">
        <f t="shared" si="10"/>
        <v>4997.2</v>
      </c>
      <c r="S10">
        <f t="shared" si="11"/>
        <v>5234.3999999999996</v>
      </c>
      <c r="T10">
        <f t="shared" si="12"/>
        <v>5471.6</v>
      </c>
      <c r="U10">
        <f t="shared" si="13"/>
        <v>5708.8</v>
      </c>
      <c r="V10">
        <f t="shared" si="14"/>
        <v>5946</v>
      </c>
      <c r="W10">
        <f t="shared" si="15"/>
        <v>7022.4</v>
      </c>
      <c r="X10">
        <f t="shared" si="16"/>
        <v>8098.8</v>
      </c>
      <c r="Y10">
        <f t="shared" si="17"/>
        <v>9175.2000000000007</v>
      </c>
      <c r="Z10">
        <f t="shared" si="18"/>
        <v>10251.6</v>
      </c>
      <c r="AA10">
        <f t="shared" si="19"/>
        <v>11328</v>
      </c>
      <c r="AB10">
        <f t="shared" si="20"/>
        <v>13780.4</v>
      </c>
      <c r="AC10">
        <f t="shared" si="21"/>
        <v>16232.8</v>
      </c>
      <c r="AD10">
        <f t="shared" si="22"/>
        <v>18685.2</v>
      </c>
      <c r="AE10">
        <f t="shared" si="23"/>
        <v>21137.599999999999</v>
      </c>
      <c r="AF10">
        <f t="shared" si="24"/>
        <v>23590</v>
      </c>
      <c r="AG10">
        <f t="shared" si="25"/>
        <v>27723</v>
      </c>
      <c r="AH10">
        <f t="shared" si="26"/>
        <v>31856</v>
      </c>
      <c r="AI10">
        <f t="shared" si="27"/>
        <v>35989</v>
      </c>
      <c r="AJ10">
        <f t="shared" si="28"/>
        <v>40122</v>
      </c>
      <c r="AK10">
        <f t="shared" si="29"/>
        <v>44255</v>
      </c>
      <c r="AL10">
        <f t="shared" si="30"/>
        <v>52411.8</v>
      </c>
      <c r="AM10">
        <f t="shared" si="31"/>
        <v>60568.6</v>
      </c>
      <c r="AN10">
        <f t="shared" si="32"/>
        <v>68725.399999999994</v>
      </c>
      <c r="AO10">
        <f t="shared" si="33"/>
        <v>76882.2</v>
      </c>
      <c r="AP10">
        <f t="shared" si="34"/>
        <v>85039</v>
      </c>
    </row>
    <row r="11" spans="1:42" x14ac:dyDescent="0.25">
      <c r="A11" t="s">
        <v>14</v>
      </c>
      <c r="B11" s="5">
        <f t="shared" si="0"/>
        <v>293793.7861481891</v>
      </c>
      <c r="C11" s="5">
        <f t="shared" si="1"/>
        <v>107962.30340464083</v>
      </c>
      <c r="D11" s="5">
        <f t="shared" si="2"/>
        <v>48206.370647898213</v>
      </c>
      <c r="E11" s="5">
        <f t="shared" si="3"/>
        <v>282990.15824733779</v>
      </c>
      <c r="F11" s="5">
        <f t="shared" si="4"/>
        <v>102012.71801712934</v>
      </c>
      <c r="G11" s="5">
        <f t="shared" si="5"/>
        <v>44592.323792587478</v>
      </c>
      <c r="H11" s="5">
        <f t="shared" si="6"/>
        <v>-10803.627900851308</v>
      </c>
      <c r="I11" s="5">
        <f t="shared" si="7"/>
        <v>-5949.5853875114844</v>
      </c>
      <c r="J11" s="5">
        <f t="shared" si="8"/>
        <v>-3614.0468553107348</v>
      </c>
      <c r="K11">
        <v>4760</v>
      </c>
      <c r="L11">
        <v>6445</v>
      </c>
      <c r="M11">
        <v>12001</v>
      </c>
      <c r="N11">
        <v>23589</v>
      </c>
      <c r="O11">
        <v>44254</v>
      </c>
      <c r="P11">
        <v>85043</v>
      </c>
      <c r="Q11">
        <f t="shared" si="9"/>
        <v>4760</v>
      </c>
      <c r="R11">
        <f t="shared" si="10"/>
        <v>5097</v>
      </c>
      <c r="S11">
        <f t="shared" si="11"/>
        <v>5434</v>
      </c>
      <c r="T11">
        <f t="shared" si="12"/>
        <v>5771</v>
      </c>
      <c r="U11">
        <f t="shared" si="13"/>
        <v>6108</v>
      </c>
      <c r="V11">
        <f t="shared" si="14"/>
        <v>6445</v>
      </c>
      <c r="W11">
        <f t="shared" si="15"/>
        <v>7556.2</v>
      </c>
      <c r="X11">
        <f t="shared" si="16"/>
        <v>8667.4</v>
      </c>
      <c r="Y11">
        <f t="shared" si="17"/>
        <v>9778.6</v>
      </c>
      <c r="Z11">
        <f t="shared" si="18"/>
        <v>10889.8</v>
      </c>
      <c r="AA11">
        <f t="shared" si="19"/>
        <v>12001</v>
      </c>
      <c r="AB11">
        <f t="shared" si="20"/>
        <v>14318.6</v>
      </c>
      <c r="AC11">
        <f t="shared" si="21"/>
        <v>16636.2</v>
      </c>
      <c r="AD11">
        <f t="shared" si="22"/>
        <v>18953.8</v>
      </c>
      <c r="AE11">
        <f t="shared" si="23"/>
        <v>21271.4</v>
      </c>
      <c r="AF11">
        <f t="shared" si="24"/>
        <v>23589</v>
      </c>
      <c r="AG11">
        <f t="shared" si="25"/>
        <v>27722</v>
      </c>
      <c r="AH11">
        <f t="shared" si="26"/>
        <v>31855</v>
      </c>
      <c r="AI11">
        <f t="shared" si="27"/>
        <v>35988</v>
      </c>
      <c r="AJ11">
        <f t="shared" si="28"/>
        <v>40121</v>
      </c>
      <c r="AK11">
        <f t="shared" si="29"/>
        <v>44254</v>
      </c>
      <c r="AL11">
        <f t="shared" si="30"/>
        <v>52411.8</v>
      </c>
      <c r="AM11">
        <f t="shared" si="31"/>
        <v>60569.599999999999</v>
      </c>
      <c r="AN11">
        <f t="shared" si="32"/>
        <v>68727.399999999994</v>
      </c>
      <c r="AO11">
        <f t="shared" si="33"/>
        <v>76885.2</v>
      </c>
      <c r="AP11">
        <f t="shared" si="34"/>
        <v>85043</v>
      </c>
    </row>
    <row r="12" spans="1:42" x14ac:dyDescent="0.25">
      <c r="A12" t="s">
        <v>15</v>
      </c>
      <c r="B12" s="5">
        <f t="shared" si="0"/>
        <v>293793.7861481891</v>
      </c>
      <c r="C12" s="5">
        <f t="shared" si="1"/>
        <v>107962.30340464083</v>
      </c>
      <c r="D12" s="5">
        <f t="shared" si="2"/>
        <v>48206.370647898213</v>
      </c>
      <c r="E12" s="5">
        <f t="shared" si="3"/>
        <v>321808.78207936714</v>
      </c>
      <c r="F12" s="5">
        <f t="shared" si="4"/>
        <v>128333.24482235417</v>
      </c>
      <c r="G12" s="5">
        <f t="shared" si="5"/>
        <v>62937.437432503284</v>
      </c>
      <c r="H12" s="5">
        <f t="shared" si="6"/>
        <v>28014.99593117804</v>
      </c>
      <c r="I12" s="5">
        <f t="shared" si="7"/>
        <v>20370.941417713344</v>
      </c>
      <c r="J12" s="5">
        <f t="shared" si="8"/>
        <v>14731.066784605071</v>
      </c>
      <c r="K12">
        <v>8076</v>
      </c>
      <c r="L12">
        <v>11446</v>
      </c>
      <c r="M12">
        <v>15809</v>
      </c>
      <c r="N12">
        <v>23586</v>
      </c>
      <c r="O12">
        <v>44253</v>
      </c>
      <c r="P12">
        <v>85043</v>
      </c>
      <c r="Q12">
        <f t="shared" si="9"/>
        <v>8076</v>
      </c>
      <c r="R12">
        <f t="shared" si="10"/>
        <v>8750</v>
      </c>
      <c r="S12">
        <f t="shared" si="11"/>
        <v>9424</v>
      </c>
      <c r="T12">
        <f t="shared" si="12"/>
        <v>10098</v>
      </c>
      <c r="U12">
        <f t="shared" si="13"/>
        <v>10772</v>
      </c>
      <c r="V12">
        <f t="shared" si="14"/>
        <v>11446</v>
      </c>
      <c r="W12">
        <f t="shared" si="15"/>
        <v>12318.6</v>
      </c>
      <c r="X12">
        <f t="shared" si="16"/>
        <v>13191.2</v>
      </c>
      <c r="Y12">
        <f t="shared" si="17"/>
        <v>14063.8</v>
      </c>
      <c r="Z12">
        <f t="shared" si="18"/>
        <v>14936.4</v>
      </c>
      <c r="AA12">
        <f t="shared" si="19"/>
        <v>15809</v>
      </c>
      <c r="AB12">
        <f t="shared" si="20"/>
        <v>17364.400000000001</v>
      </c>
      <c r="AC12">
        <f t="shared" si="21"/>
        <v>18919.8</v>
      </c>
      <c r="AD12">
        <f t="shared" si="22"/>
        <v>20475.2</v>
      </c>
      <c r="AE12">
        <f t="shared" si="23"/>
        <v>22030.6</v>
      </c>
      <c r="AF12">
        <f t="shared" si="24"/>
        <v>23586</v>
      </c>
      <c r="AG12">
        <f t="shared" si="25"/>
        <v>27719.4</v>
      </c>
      <c r="AH12">
        <f t="shared" si="26"/>
        <v>31852.800000000003</v>
      </c>
      <c r="AI12">
        <f t="shared" si="27"/>
        <v>35986.199999999997</v>
      </c>
      <c r="AJ12">
        <f t="shared" si="28"/>
        <v>40119.600000000006</v>
      </c>
      <c r="AK12">
        <f t="shared" si="29"/>
        <v>44253</v>
      </c>
      <c r="AL12">
        <f t="shared" si="30"/>
        <v>52411</v>
      </c>
      <c r="AM12">
        <f t="shared" si="31"/>
        <v>60569</v>
      </c>
      <c r="AN12">
        <f t="shared" si="32"/>
        <v>68727</v>
      </c>
      <c r="AO12">
        <f t="shared" si="33"/>
        <v>76885</v>
      </c>
      <c r="AP12">
        <f t="shared" si="34"/>
        <v>85043</v>
      </c>
    </row>
    <row r="13" spans="1:42" x14ac:dyDescent="0.25">
      <c r="A13" t="s">
        <v>16</v>
      </c>
      <c r="B13" s="5">
        <f t="shared" si="0"/>
        <v>293793.7861481891</v>
      </c>
      <c r="C13" s="5">
        <f t="shared" si="1"/>
        <v>107962.30340464083</v>
      </c>
      <c r="D13" s="5">
        <f t="shared" si="2"/>
        <v>48206.370647898213</v>
      </c>
      <c r="E13" s="5">
        <f t="shared" si="3"/>
        <v>821566.15491002449</v>
      </c>
      <c r="F13" s="5">
        <f t="shared" si="4"/>
        <v>311513.58129351662</v>
      </c>
      <c r="G13" s="5">
        <f t="shared" si="5"/>
        <v>137409.07322006184</v>
      </c>
      <c r="H13" s="5">
        <f t="shared" si="6"/>
        <v>527772.36876183539</v>
      </c>
      <c r="I13" s="5">
        <f t="shared" si="7"/>
        <v>203551.2778888758</v>
      </c>
      <c r="J13" s="5">
        <f t="shared" si="8"/>
        <v>89202.702572163631</v>
      </c>
      <c r="K13">
        <v>4760</v>
      </c>
      <c r="L13">
        <v>28271</v>
      </c>
      <c r="M13">
        <v>48540</v>
      </c>
      <c r="N13">
        <v>75930</v>
      </c>
      <c r="O13">
        <v>121659</v>
      </c>
      <c r="P13">
        <v>184122</v>
      </c>
      <c r="Q13">
        <f t="shared" si="9"/>
        <v>4760</v>
      </c>
      <c r="R13">
        <f t="shared" si="10"/>
        <v>9462.2000000000007</v>
      </c>
      <c r="S13">
        <f t="shared" si="11"/>
        <v>14164.4</v>
      </c>
      <c r="T13">
        <f t="shared" si="12"/>
        <v>18866.599999999999</v>
      </c>
      <c r="U13">
        <f t="shared" si="13"/>
        <v>23568.799999999999</v>
      </c>
      <c r="V13">
        <f t="shared" si="14"/>
        <v>28271</v>
      </c>
      <c r="W13">
        <f t="shared" si="15"/>
        <v>32324.799999999999</v>
      </c>
      <c r="X13">
        <f t="shared" si="16"/>
        <v>36378.6</v>
      </c>
      <c r="Y13">
        <f t="shared" si="17"/>
        <v>40432.400000000001</v>
      </c>
      <c r="Z13">
        <f t="shared" si="18"/>
        <v>44486.2</v>
      </c>
      <c r="AA13">
        <f t="shared" si="19"/>
        <v>48540</v>
      </c>
      <c r="AB13">
        <f t="shared" si="20"/>
        <v>54018</v>
      </c>
      <c r="AC13">
        <f t="shared" si="21"/>
        <v>59496</v>
      </c>
      <c r="AD13">
        <f t="shared" si="22"/>
        <v>64974</v>
      </c>
      <c r="AE13">
        <f t="shared" si="23"/>
        <v>70452</v>
      </c>
      <c r="AF13">
        <f t="shared" si="24"/>
        <v>75930</v>
      </c>
      <c r="AG13">
        <f t="shared" si="25"/>
        <v>85075.8</v>
      </c>
      <c r="AH13">
        <f t="shared" si="26"/>
        <v>94221.6</v>
      </c>
      <c r="AI13">
        <f t="shared" si="27"/>
        <v>103367.4</v>
      </c>
      <c r="AJ13">
        <f t="shared" si="28"/>
        <v>112513.20000000001</v>
      </c>
      <c r="AK13">
        <f t="shared" si="29"/>
        <v>121659</v>
      </c>
      <c r="AL13">
        <f t="shared" si="30"/>
        <v>134151.6</v>
      </c>
      <c r="AM13">
        <f t="shared" si="31"/>
        <v>146644.20000000001</v>
      </c>
      <c r="AN13">
        <f t="shared" si="32"/>
        <v>159136.79999999999</v>
      </c>
      <c r="AO13">
        <f t="shared" si="33"/>
        <v>171629.4</v>
      </c>
      <c r="AP13">
        <f t="shared" si="34"/>
        <v>184122</v>
      </c>
    </row>
    <row r="14" spans="1:42" x14ac:dyDescent="0.25">
      <c r="A14" t="s">
        <v>17</v>
      </c>
      <c r="B14" s="5">
        <f t="shared" ref="B14:B23" si="35">E$4</f>
        <v>293793.7861481891</v>
      </c>
      <c r="C14" s="5">
        <f t="shared" ref="C14:C23" si="36">F$4</f>
        <v>107962.30340464083</v>
      </c>
      <c r="D14" s="5">
        <f t="shared" ref="D14:D23" si="37">G$4</f>
        <v>48206.370647898213</v>
      </c>
      <c r="E14" s="5">
        <f t="shared" si="3"/>
        <v>302851.14557689353</v>
      </c>
      <c r="F14" s="5">
        <f t="shared" si="4"/>
        <v>114260.76535691098</v>
      </c>
      <c r="G14" s="5">
        <f t="shared" si="5"/>
        <v>52223.175487545093</v>
      </c>
      <c r="H14" s="5">
        <f t="shared" si="6"/>
        <v>9057.3594287044252</v>
      </c>
      <c r="I14" s="5">
        <f t="shared" si="7"/>
        <v>6298.4619522701541</v>
      </c>
      <c r="J14" s="5">
        <f t="shared" si="8"/>
        <v>4016.8048396468803</v>
      </c>
      <c r="K14">
        <v>4778</v>
      </c>
      <c r="L14">
        <v>9596</v>
      </c>
      <c r="M14">
        <v>14725</v>
      </c>
      <c r="N14">
        <v>23590</v>
      </c>
      <c r="O14">
        <v>44254</v>
      </c>
      <c r="P14">
        <v>85039</v>
      </c>
      <c r="Q14">
        <f t="shared" si="9"/>
        <v>4778</v>
      </c>
      <c r="R14">
        <f t="shared" si="10"/>
        <v>5741.6</v>
      </c>
      <c r="S14">
        <f t="shared" si="11"/>
        <v>6705.2</v>
      </c>
      <c r="T14">
        <f t="shared" si="12"/>
        <v>7668.7999999999993</v>
      </c>
      <c r="U14">
        <f t="shared" si="13"/>
        <v>8632.4</v>
      </c>
      <c r="V14">
        <f t="shared" si="14"/>
        <v>9596</v>
      </c>
      <c r="W14">
        <f t="shared" si="15"/>
        <v>10621.8</v>
      </c>
      <c r="X14">
        <f t="shared" si="16"/>
        <v>11647.6</v>
      </c>
      <c r="Y14">
        <f t="shared" si="17"/>
        <v>12673.4</v>
      </c>
      <c r="Z14">
        <f t="shared" si="18"/>
        <v>13699.2</v>
      </c>
      <c r="AA14">
        <f t="shared" si="19"/>
        <v>14725</v>
      </c>
      <c r="AB14">
        <f t="shared" si="20"/>
        <v>16498</v>
      </c>
      <c r="AC14">
        <f t="shared" si="21"/>
        <v>18271</v>
      </c>
      <c r="AD14">
        <f t="shared" si="22"/>
        <v>20044</v>
      </c>
      <c r="AE14">
        <f t="shared" si="23"/>
        <v>21817</v>
      </c>
      <c r="AF14">
        <f t="shared" si="24"/>
        <v>23590</v>
      </c>
      <c r="AG14">
        <f t="shared" si="25"/>
        <v>27722.799999999999</v>
      </c>
      <c r="AH14">
        <f t="shared" si="26"/>
        <v>31855.599999999999</v>
      </c>
      <c r="AI14">
        <f t="shared" si="27"/>
        <v>35988.400000000001</v>
      </c>
      <c r="AJ14">
        <f t="shared" si="28"/>
        <v>40121.199999999997</v>
      </c>
      <c r="AK14">
        <f t="shared" si="29"/>
        <v>44254</v>
      </c>
      <c r="AL14">
        <f t="shared" si="30"/>
        <v>52411</v>
      </c>
      <c r="AM14">
        <f t="shared" si="31"/>
        <v>60568</v>
      </c>
      <c r="AN14">
        <f t="shared" si="32"/>
        <v>68725</v>
      </c>
      <c r="AO14">
        <f t="shared" si="33"/>
        <v>76882</v>
      </c>
      <c r="AP14">
        <f t="shared" si="34"/>
        <v>85039</v>
      </c>
    </row>
    <row r="15" spans="1:42" x14ac:dyDescent="0.25">
      <c r="A15" t="s">
        <v>18</v>
      </c>
      <c r="B15" s="5">
        <f>E$15</f>
        <v>709776.91212891659</v>
      </c>
      <c r="C15" s="5">
        <f>F$15</f>
        <v>219041.54431546232</v>
      </c>
      <c r="D15" s="5">
        <f>G$15</f>
        <v>79692.853169511349</v>
      </c>
      <c r="E15" s="5">
        <f t="shared" si="3"/>
        <v>709776.91212891659</v>
      </c>
      <c r="F15" s="5">
        <f t="shared" si="4"/>
        <v>219041.54431546232</v>
      </c>
      <c r="G15" s="5">
        <f t="shared" si="5"/>
        <v>79692.853169511349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>
        <v>4773</v>
      </c>
      <c r="L15">
        <v>10152</v>
      </c>
      <c r="M15">
        <v>19707</v>
      </c>
      <c r="N15">
        <v>46855</v>
      </c>
      <c r="O15">
        <v>115249</v>
      </c>
      <c r="P15">
        <v>316331</v>
      </c>
      <c r="Q15">
        <f t="shared" si="9"/>
        <v>4773</v>
      </c>
      <c r="R15">
        <f t="shared" si="10"/>
        <v>5848.8</v>
      </c>
      <c r="S15">
        <f t="shared" si="11"/>
        <v>6924.6</v>
      </c>
      <c r="T15">
        <f t="shared" si="12"/>
        <v>8000.4</v>
      </c>
      <c r="U15">
        <f t="shared" si="13"/>
        <v>9076.2000000000007</v>
      </c>
      <c r="V15">
        <f t="shared" si="14"/>
        <v>10152</v>
      </c>
      <c r="W15">
        <f t="shared" si="15"/>
        <v>12063</v>
      </c>
      <c r="X15">
        <f t="shared" si="16"/>
        <v>13974</v>
      </c>
      <c r="Y15">
        <f t="shared" si="17"/>
        <v>15885</v>
      </c>
      <c r="Z15">
        <f t="shared" si="18"/>
        <v>17796</v>
      </c>
      <c r="AA15">
        <f t="shared" si="19"/>
        <v>19707</v>
      </c>
      <c r="AB15">
        <f t="shared" si="20"/>
        <v>25136.6</v>
      </c>
      <c r="AC15">
        <f t="shared" si="21"/>
        <v>30566.2</v>
      </c>
      <c r="AD15">
        <f t="shared" si="22"/>
        <v>35995.800000000003</v>
      </c>
      <c r="AE15">
        <f t="shared" si="23"/>
        <v>41425.4</v>
      </c>
      <c r="AF15">
        <f t="shared" si="24"/>
        <v>46855</v>
      </c>
      <c r="AG15">
        <f t="shared" si="25"/>
        <v>60533.8</v>
      </c>
      <c r="AH15">
        <f t="shared" si="26"/>
        <v>74212.600000000006</v>
      </c>
      <c r="AI15">
        <f t="shared" si="27"/>
        <v>87891.4</v>
      </c>
      <c r="AJ15">
        <f t="shared" si="28"/>
        <v>101570.20000000001</v>
      </c>
      <c r="AK15">
        <f t="shared" si="29"/>
        <v>115249</v>
      </c>
      <c r="AL15">
        <f t="shared" si="30"/>
        <v>155465.4</v>
      </c>
      <c r="AM15">
        <f t="shared" si="31"/>
        <v>195681.8</v>
      </c>
      <c r="AN15">
        <f t="shared" si="32"/>
        <v>235898.2</v>
      </c>
      <c r="AO15">
        <f t="shared" si="33"/>
        <v>276114.59999999998</v>
      </c>
      <c r="AP15">
        <f t="shared" si="34"/>
        <v>316331</v>
      </c>
    </row>
    <row r="16" spans="1:42" x14ac:dyDescent="0.25">
      <c r="A16" t="s">
        <v>19</v>
      </c>
      <c r="B16" s="5">
        <f t="shared" ref="B16:B23" si="38">E$15</f>
        <v>709776.91212891659</v>
      </c>
      <c r="C16" s="5">
        <f t="shared" ref="C16:C23" si="39">F$15</f>
        <v>219041.54431546232</v>
      </c>
      <c r="D16" s="5">
        <f t="shared" ref="D16:D23" si="40">G$15</f>
        <v>79692.853169511349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-709776.91212891659</v>
      </c>
      <c r="I16" s="5">
        <f t="shared" si="7"/>
        <v>-219041.54431546232</v>
      </c>
      <c r="J16" s="5">
        <f t="shared" si="8"/>
        <v>-79692.853169511349</v>
      </c>
      <c r="Q16">
        <f t="shared" si="9"/>
        <v>0</v>
      </c>
      <c r="R16">
        <f t="shared" si="10"/>
        <v>0</v>
      </c>
      <c r="S16">
        <f t="shared" si="11"/>
        <v>0</v>
      </c>
      <c r="T16">
        <f t="shared" si="12"/>
        <v>0</v>
      </c>
      <c r="U16">
        <f t="shared" si="13"/>
        <v>0</v>
      </c>
      <c r="V16">
        <f t="shared" si="14"/>
        <v>0</v>
      </c>
      <c r="W16">
        <f t="shared" si="15"/>
        <v>0</v>
      </c>
      <c r="X16">
        <f t="shared" si="16"/>
        <v>0</v>
      </c>
      <c r="Y16">
        <f t="shared" si="17"/>
        <v>0</v>
      </c>
      <c r="Z16">
        <f t="shared" si="18"/>
        <v>0</v>
      </c>
      <c r="AA16">
        <f t="shared" si="19"/>
        <v>0</v>
      </c>
      <c r="AB16">
        <f t="shared" si="20"/>
        <v>0</v>
      </c>
      <c r="AC16">
        <f t="shared" si="21"/>
        <v>0</v>
      </c>
      <c r="AD16">
        <f t="shared" si="22"/>
        <v>0</v>
      </c>
      <c r="AE16">
        <f t="shared" si="23"/>
        <v>0</v>
      </c>
      <c r="AF16">
        <f t="shared" si="24"/>
        <v>0</v>
      </c>
      <c r="AG16">
        <f t="shared" si="25"/>
        <v>0</v>
      </c>
      <c r="AH16">
        <f t="shared" si="26"/>
        <v>0</v>
      </c>
      <c r="AI16">
        <f t="shared" si="27"/>
        <v>0</v>
      </c>
      <c r="AJ16">
        <f t="shared" si="28"/>
        <v>0</v>
      </c>
      <c r="AK16">
        <f t="shared" si="29"/>
        <v>0</v>
      </c>
      <c r="AL16">
        <f t="shared" si="30"/>
        <v>0</v>
      </c>
      <c r="AM16">
        <f t="shared" si="31"/>
        <v>0</v>
      </c>
      <c r="AN16">
        <f t="shared" si="32"/>
        <v>0</v>
      </c>
      <c r="AO16">
        <f t="shared" si="33"/>
        <v>0</v>
      </c>
      <c r="AP16">
        <f t="shared" si="34"/>
        <v>0</v>
      </c>
    </row>
    <row r="17" spans="1:42" x14ac:dyDescent="0.25">
      <c r="A17" t="s">
        <v>20</v>
      </c>
      <c r="B17" s="5">
        <f t="shared" si="38"/>
        <v>709776.91212891659</v>
      </c>
      <c r="C17" s="5">
        <f t="shared" si="39"/>
        <v>219041.54431546232</v>
      </c>
      <c r="D17" s="5">
        <f t="shared" si="40"/>
        <v>79692.853169511349</v>
      </c>
      <c r="E17" s="5">
        <f t="shared" si="3"/>
        <v>671431.14266356512</v>
      </c>
      <c r="F17" s="5">
        <f t="shared" si="4"/>
        <v>208574.58097099949</v>
      </c>
      <c r="G17" s="5">
        <f t="shared" si="5"/>
        <v>76722.386938542259</v>
      </c>
      <c r="H17" s="5">
        <f t="shared" si="6"/>
        <v>-38345.769465351477</v>
      </c>
      <c r="I17" s="5">
        <f t="shared" si="7"/>
        <v>-10466.963344462827</v>
      </c>
      <c r="J17" s="5">
        <f t="shared" si="8"/>
        <v>-2970.4662309690902</v>
      </c>
      <c r="K17">
        <v>4818</v>
      </c>
      <c r="L17">
        <v>10026</v>
      </c>
      <c r="M17">
        <v>18845</v>
      </c>
      <c r="N17">
        <v>44141</v>
      </c>
      <c r="O17">
        <v>108509</v>
      </c>
      <c r="P17">
        <v>297418</v>
      </c>
      <c r="Q17">
        <f t="shared" si="9"/>
        <v>4818</v>
      </c>
      <c r="R17">
        <f t="shared" si="10"/>
        <v>5859.6</v>
      </c>
      <c r="S17">
        <f t="shared" si="11"/>
        <v>6901.2000000000007</v>
      </c>
      <c r="T17">
        <f t="shared" si="12"/>
        <v>7942.7999999999993</v>
      </c>
      <c r="U17">
        <f t="shared" si="13"/>
        <v>8984.4000000000015</v>
      </c>
      <c r="V17">
        <f t="shared" si="14"/>
        <v>10026</v>
      </c>
      <c r="W17">
        <f t="shared" si="15"/>
        <v>11789.8</v>
      </c>
      <c r="X17">
        <f t="shared" si="16"/>
        <v>13553.6</v>
      </c>
      <c r="Y17">
        <f t="shared" si="17"/>
        <v>15317.4</v>
      </c>
      <c r="Z17">
        <f t="shared" si="18"/>
        <v>17081.2</v>
      </c>
      <c r="AA17">
        <f t="shared" si="19"/>
        <v>18845</v>
      </c>
      <c r="AB17">
        <f t="shared" si="20"/>
        <v>23904.2</v>
      </c>
      <c r="AC17">
        <f t="shared" si="21"/>
        <v>28963.4</v>
      </c>
      <c r="AD17">
        <f t="shared" si="22"/>
        <v>34022.6</v>
      </c>
      <c r="AE17">
        <f t="shared" si="23"/>
        <v>39081.800000000003</v>
      </c>
      <c r="AF17">
        <f t="shared" si="24"/>
        <v>44141</v>
      </c>
      <c r="AG17">
        <f t="shared" si="25"/>
        <v>57014.6</v>
      </c>
      <c r="AH17">
        <f t="shared" si="26"/>
        <v>69888.2</v>
      </c>
      <c r="AI17">
        <f t="shared" si="27"/>
        <v>82761.799999999988</v>
      </c>
      <c r="AJ17">
        <f t="shared" si="28"/>
        <v>95635.4</v>
      </c>
      <c r="AK17">
        <f t="shared" si="29"/>
        <v>108509</v>
      </c>
      <c r="AL17">
        <f t="shared" si="30"/>
        <v>146290.79999999999</v>
      </c>
      <c r="AM17">
        <f t="shared" si="31"/>
        <v>184072.6</v>
      </c>
      <c r="AN17">
        <f t="shared" si="32"/>
        <v>221854.4</v>
      </c>
      <c r="AO17">
        <f t="shared" si="33"/>
        <v>259636.2</v>
      </c>
      <c r="AP17">
        <f t="shared" si="34"/>
        <v>297418</v>
      </c>
    </row>
    <row r="18" spans="1:42" x14ac:dyDescent="0.25">
      <c r="A18" t="s">
        <v>21</v>
      </c>
      <c r="B18" s="5">
        <f t="shared" si="38"/>
        <v>709776.91212891659</v>
      </c>
      <c r="C18" s="5">
        <f t="shared" si="39"/>
        <v>219041.54431546232</v>
      </c>
      <c r="D18" s="5">
        <f t="shared" si="40"/>
        <v>79692.853169511349</v>
      </c>
      <c r="E18" s="5">
        <f t="shared" si="3"/>
        <v>660081.35238457972</v>
      </c>
      <c r="F18" s="5">
        <f t="shared" si="4"/>
        <v>205412.25551962425</v>
      </c>
      <c r="G18" s="5">
        <f t="shared" si="5"/>
        <v>75916.94206260475</v>
      </c>
      <c r="H18" s="5">
        <f t="shared" si="6"/>
        <v>-49695.559744336875</v>
      </c>
      <c r="I18" s="5">
        <f t="shared" si="7"/>
        <v>-13629.288795838074</v>
      </c>
      <c r="J18" s="5">
        <f t="shared" si="8"/>
        <v>-3775.9111069065984</v>
      </c>
      <c r="K18">
        <v>4760</v>
      </c>
      <c r="L18">
        <v>10303</v>
      </c>
      <c r="M18">
        <v>18381</v>
      </c>
      <c r="N18">
        <v>42482</v>
      </c>
      <c r="O18">
        <v>106335</v>
      </c>
      <c r="P18">
        <v>293947</v>
      </c>
      <c r="Q18">
        <f t="shared" si="9"/>
        <v>4760</v>
      </c>
      <c r="R18">
        <f t="shared" si="10"/>
        <v>5868.6</v>
      </c>
      <c r="S18">
        <f t="shared" si="11"/>
        <v>6977.2000000000007</v>
      </c>
      <c r="T18">
        <f t="shared" si="12"/>
        <v>8085.7999999999993</v>
      </c>
      <c r="U18">
        <f t="shared" si="13"/>
        <v>9194.4000000000015</v>
      </c>
      <c r="V18">
        <f t="shared" si="14"/>
        <v>10303</v>
      </c>
      <c r="W18">
        <f t="shared" si="15"/>
        <v>11918.6</v>
      </c>
      <c r="X18">
        <f t="shared" si="16"/>
        <v>13534.2</v>
      </c>
      <c r="Y18">
        <f t="shared" si="17"/>
        <v>15149.8</v>
      </c>
      <c r="Z18">
        <f t="shared" si="18"/>
        <v>16765.400000000001</v>
      </c>
      <c r="AA18">
        <f t="shared" si="19"/>
        <v>18381</v>
      </c>
      <c r="AB18">
        <f t="shared" si="20"/>
        <v>23201.200000000001</v>
      </c>
      <c r="AC18">
        <f t="shared" si="21"/>
        <v>28021.4</v>
      </c>
      <c r="AD18">
        <f t="shared" si="22"/>
        <v>32841.599999999999</v>
      </c>
      <c r="AE18">
        <f t="shared" si="23"/>
        <v>37661.800000000003</v>
      </c>
      <c r="AF18">
        <f t="shared" si="24"/>
        <v>42482</v>
      </c>
      <c r="AG18">
        <f t="shared" si="25"/>
        <v>55252.6</v>
      </c>
      <c r="AH18">
        <f t="shared" si="26"/>
        <v>68023.199999999997</v>
      </c>
      <c r="AI18">
        <f t="shared" si="27"/>
        <v>80793.799999999988</v>
      </c>
      <c r="AJ18">
        <f t="shared" si="28"/>
        <v>93564.4</v>
      </c>
      <c r="AK18">
        <f t="shared" si="29"/>
        <v>106335</v>
      </c>
      <c r="AL18">
        <f t="shared" si="30"/>
        <v>143857.4</v>
      </c>
      <c r="AM18">
        <f t="shared" si="31"/>
        <v>181379.8</v>
      </c>
      <c r="AN18">
        <f t="shared" si="32"/>
        <v>218902.2</v>
      </c>
      <c r="AO18">
        <f t="shared" si="33"/>
        <v>256424.6</v>
      </c>
      <c r="AP18">
        <f t="shared" si="34"/>
        <v>293947</v>
      </c>
    </row>
    <row r="19" spans="1:42" x14ac:dyDescent="0.25">
      <c r="A19" t="s">
        <v>22</v>
      </c>
      <c r="B19" s="5">
        <f t="shared" si="38"/>
        <v>709776.91212891659</v>
      </c>
      <c r="C19" s="5">
        <f t="shared" si="39"/>
        <v>219041.54431546232</v>
      </c>
      <c r="D19" s="5">
        <f t="shared" si="40"/>
        <v>79692.853169511349</v>
      </c>
      <c r="E19" s="5">
        <f t="shared" si="3"/>
        <v>610393.41138717486</v>
      </c>
      <c r="F19" s="5">
        <f t="shared" si="4"/>
        <v>191841.31092022394</v>
      </c>
      <c r="G19" s="5">
        <f t="shared" si="5"/>
        <v>72371.19339976694</v>
      </c>
      <c r="H19" s="5">
        <f t="shared" si="6"/>
        <v>-99383.500741741736</v>
      </c>
      <c r="I19" s="5">
        <f t="shared" si="7"/>
        <v>-27200.233395238378</v>
      </c>
      <c r="J19" s="5">
        <f t="shared" si="8"/>
        <v>-7321.6597697444085</v>
      </c>
      <c r="K19">
        <v>4760</v>
      </c>
      <c r="L19">
        <v>10778</v>
      </c>
      <c r="M19">
        <v>16890</v>
      </c>
      <c r="N19">
        <v>37005</v>
      </c>
      <c r="O19">
        <v>97298</v>
      </c>
      <c r="P19">
        <v>273786</v>
      </c>
      <c r="Q19">
        <f t="shared" si="9"/>
        <v>4760</v>
      </c>
      <c r="R19">
        <f t="shared" si="10"/>
        <v>5963.6</v>
      </c>
      <c r="S19">
        <f t="shared" si="11"/>
        <v>7167.2000000000007</v>
      </c>
      <c r="T19">
        <f t="shared" si="12"/>
        <v>8370.7999999999993</v>
      </c>
      <c r="U19">
        <f t="shared" si="13"/>
        <v>9574.4000000000015</v>
      </c>
      <c r="V19">
        <f t="shared" si="14"/>
        <v>10778</v>
      </c>
      <c r="W19">
        <f t="shared" si="15"/>
        <v>12000.4</v>
      </c>
      <c r="X19">
        <f t="shared" si="16"/>
        <v>13222.8</v>
      </c>
      <c r="Y19">
        <f t="shared" si="17"/>
        <v>14445.2</v>
      </c>
      <c r="Z19">
        <f t="shared" si="18"/>
        <v>15667.6</v>
      </c>
      <c r="AA19">
        <f t="shared" si="19"/>
        <v>16890</v>
      </c>
      <c r="AB19">
        <f t="shared" si="20"/>
        <v>20913</v>
      </c>
      <c r="AC19">
        <f t="shared" si="21"/>
        <v>24936</v>
      </c>
      <c r="AD19">
        <f t="shared" si="22"/>
        <v>28959</v>
      </c>
      <c r="AE19">
        <f t="shared" si="23"/>
        <v>32982</v>
      </c>
      <c r="AF19">
        <f t="shared" si="24"/>
        <v>37005</v>
      </c>
      <c r="AG19">
        <f t="shared" si="25"/>
        <v>49063.6</v>
      </c>
      <c r="AH19">
        <f t="shared" si="26"/>
        <v>61122.2</v>
      </c>
      <c r="AI19">
        <f t="shared" si="27"/>
        <v>73180.799999999988</v>
      </c>
      <c r="AJ19">
        <f t="shared" si="28"/>
        <v>85239.4</v>
      </c>
      <c r="AK19">
        <f t="shared" si="29"/>
        <v>97298</v>
      </c>
      <c r="AL19">
        <f t="shared" si="30"/>
        <v>132595.6</v>
      </c>
      <c r="AM19">
        <f t="shared" si="31"/>
        <v>167893.2</v>
      </c>
      <c r="AN19">
        <f t="shared" si="32"/>
        <v>203190.8</v>
      </c>
      <c r="AO19">
        <f t="shared" si="33"/>
        <v>238488.4</v>
      </c>
      <c r="AP19">
        <f t="shared" si="34"/>
        <v>273786</v>
      </c>
    </row>
    <row r="20" spans="1:42" x14ac:dyDescent="0.25">
      <c r="A20" t="s">
        <v>23</v>
      </c>
      <c r="B20" s="5">
        <f t="shared" si="38"/>
        <v>709776.91212891659</v>
      </c>
      <c r="C20" s="5">
        <f t="shared" si="39"/>
        <v>219041.54431546232</v>
      </c>
      <c r="D20" s="5">
        <f t="shared" si="40"/>
        <v>79692.853169511349</v>
      </c>
      <c r="E20" s="5">
        <f t="shared" si="3"/>
        <v>653793.26372496597</v>
      </c>
      <c r="F20" s="5">
        <f t="shared" si="4"/>
        <v>203771.48782098692</v>
      </c>
      <c r="G20" s="5">
        <f t="shared" si="5"/>
        <v>75499.851497461423</v>
      </c>
      <c r="H20" s="5">
        <f t="shared" si="6"/>
        <v>-55983.648403950618</v>
      </c>
      <c r="I20" s="5">
        <f t="shared" si="7"/>
        <v>-15270.056494475401</v>
      </c>
      <c r="J20" s="5">
        <f t="shared" si="8"/>
        <v>-4193.0016720499261</v>
      </c>
      <c r="K20">
        <v>4983</v>
      </c>
      <c r="L20">
        <v>10012</v>
      </c>
      <c r="M20">
        <v>18246</v>
      </c>
      <c r="N20">
        <v>42519</v>
      </c>
      <c r="O20">
        <v>105290</v>
      </c>
      <c r="P20">
        <v>289957</v>
      </c>
      <c r="Q20">
        <f t="shared" si="9"/>
        <v>4983</v>
      </c>
      <c r="R20">
        <f t="shared" si="10"/>
        <v>5988.8</v>
      </c>
      <c r="S20">
        <f t="shared" si="11"/>
        <v>6994.6</v>
      </c>
      <c r="T20">
        <f t="shared" si="12"/>
        <v>8000.4</v>
      </c>
      <c r="U20">
        <f t="shared" si="13"/>
        <v>9006.2000000000007</v>
      </c>
      <c r="V20">
        <f t="shared" si="14"/>
        <v>10012</v>
      </c>
      <c r="W20">
        <f t="shared" si="15"/>
        <v>11658.8</v>
      </c>
      <c r="X20">
        <f t="shared" si="16"/>
        <v>13305.6</v>
      </c>
      <c r="Y20">
        <f t="shared" si="17"/>
        <v>14952.4</v>
      </c>
      <c r="Z20">
        <f t="shared" si="18"/>
        <v>16599.2</v>
      </c>
      <c r="AA20">
        <f t="shared" si="19"/>
        <v>18246</v>
      </c>
      <c r="AB20">
        <f t="shared" si="20"/>
        <v>23100.6</v>
      </c>
      <c r="AC20">
        <f t="shared" si="21"/>
        <v>27955.200000000001</v>
      </c>
      <c r="AD20">
        <f t="shared" si="22"/>
        <v>32809.800000000003</v>
      </c>
      <c r="AE20">
        <f t="shared" si="23"/>
        <v>37664.400000000001</v>
      </c>
      <c r="AF20">
        <f t="shared" si="24"/>
        <v>42519</v>
      </c>
      <c r="AG20">
        <f t="shared" si="25"/>
        <v>55073.2</v>
      </c>
      <c r="AH20">
        <f t="shared" si="26"/>
        <v>67627.399999999994</v>
      </c>
      <c r="AI20">
        <f t="shared" si="27"/>
        <v>80181.600000000006</v>
      </c>
      <c r="AJ20">
        <f t="shared" si="28"/>
        <v>92735.8</v>
      </c>
      <c r="AK20">
        <f t="shared" si="29"/>
        <v>105290</v>
      </c>
      <c r="AL20">
        <f t="shared" si="30"/>
        <v>142223.4</v>
      </c>
      <c r="AM20">
        <f t="shared" si="31"/>
        <v>179156.8</v>
      </c>
      <c r="AN20">
        <f t="shared" si="32"/>
        <v>216090.2</v>
      </c>
      <c r="AO20">
        <f t="shared" si="33"/>
        <v>253023.6</v>
      </c>
      <c r="AP20">
        <f t="shared" si="34"/>
        <v>289957</v>
      </c>
    </row>
    <row r="21" spans="1:42" x14ac:dyDescent="0.25">
      <c r="A21" t="s">
        <v>24</v>
      </c>
      <c r="B21" s="5">
        <f t="shared" si="38"/>
        <v>709776.91212891659</v>
      </c>
      <c r="C21" s="5">
        <f t="shared" si="39"/>
        <v>219041.54431546232</v>
      </c>
      <c r="D21" s="5">
        <f t="shared" si="40"/>
        <v>79692.853169511349</v>
      </c>
      <c r="E21" s="5">
        <f t="shared" si="3"/>
        <v>681911.24412630848</v>
      </c>
      <c r="F21" s="5">
        <f t="shared" si="4"/>
        <v>206410.49019170052</v>
      </c>
      <c r="G21" s="5">
        <f t="shared" si="5"/>
        <v>72905.393296508759</v>
      </c>
      <c r="H21" s="5">
        <f t="shared" si="6"/>
        <v>-27865.668002608116</v>
      </c>
      <c r="I21" s="5">
        <f t="shared" si="7"/>
        <v>-12631.054123761802</v>
      </c>
      <c r="J21" s="5">
        <f t="shared" si="8"/>
        <v>-6787.45987300259</v>
      </c>
      <c r="K21">
        <v>4760</v>
      </c>
      <c r="L21">
        <v>7497</v>
      </c>
      <c r="M21">
        <v>17858</v>
      </c>
      <c r="N21">
        <v>46325</v>
      </c>
      <c r="O21">
        <v>113086</v>
      </c>
      <c r="P21">
        <v>308210</v>
      </c>
      <c r="Q21">
        <f t="shared" si="9"/>
        <v>4760</v>
      </c>
      <c r="R21">
        <f t="shared" si="10"/>
        <v>5307.4</v>
      </c>
      <c r="S21">
        <f t="shared" si="11"/>
        <v>5854.8</v>
      </c>
      <c r="T21">
        <f t="shared" si="12"/>
        <v>6402.2</v>
      </c>
      <c r="U21">
        <f t="shared" si="13"/>
        <v>6949.6</v>
      </c>
      <c r="V21">
        <f t="shared" si="14"/>
        <v>7497</v>
      </c>
      <c r="W21">
        <f t="shared" si="15"/>
        <v>9569.2000000000007</v>
      </c>
      <c r="X21">
        <f t="shared" si="16"/>
        <v>11641.400000000001</v>
      </c>
      <c r="Y21">
        <f t="shared" si="17"/>
        <v>13713.599999999999</v>
      </c>
      <c r="Z21">
        <f t="shared" si="18"/>
        <v>15785.800000000001</v>
      </c>
      <c r="AA21">
        <f t="shared" si="19"/>
        <v>17858</v>
      </c>
      <c r="AB21">
        <f t="shared" si="20"/>
        <v>23551.4</v>
      </c>
      <c r="AC21">
        <f t="shared" si="21"/>
        <v>29244.800000000003</v>
      </c>
      <c r="AD21">
        <f t="shared" si="22"/>
        <v>34938.199999999997</v>
      </c>
      <c r="AE21">
        <f t="shared" si="23"/>
        <v>40631.600000000006</v>
      </c>
      <c r="AF21">
        <f t="shared" si="24"/>
        <v>46325</v>
      </c>
      <c r="AG21">
        <f t="shared" si="25"/>
        <v>59677.2</v>
      </c>
      <c r="AH21">
        <f t="shared" si="26"/>
        <v>73029.399999999994</v>
      </c>
      <c r="AI21">
        <f t="shared" si="27"/>
        <v>86381.6</v>
      </c>
      <c r="AJ21">
        <f t="shared" si="28"/>
        <v>99733.8</v>
      </c>
      <c r="AK21">
        <f t="shared" si="29"/>
        <v>113086</v>
      </c>
      <c r="AL21">
        <f t="shared" si="30"/>
        <v>152110.79999999999</v>
      </c>
      <c r="AM21">
        <f t="shared" si="31"/>
        <v>191135.6</v>
      </c>
      <c r="AN21">
        <f t="shared" si="32"/>
        <v>230160.4</v>
      </c>
      <c r="AO21">
        <f t="shared" si="33"/>
        <v>269185.2</v>
      </c>
      <c r="AP21">
        <f t="shared" si="34"/>
        <v>308210</v>
      </c>
    </row>
    <row r="22" spans="1:42" x14ac:dyDescent="0.25">
      <c r="A22" t="s">
        <v>25</v>
      </c>
      <c r="B22" s="5">
        <f t="shared" si="38"/>
        <v>709776.91212891659</v>
      </c>
      <c r="C22" s="5">
        <f t="shared" si="39"/>
        <v>219041.54431546232</v>
      </c>
      <c r="D22" s="5">
        <f t="shared" si="40"/>
        <v>79692.853169511349</v>
      </c>
      <c r="E22" s="5">
        <f t="shared" si="3"/>
        <v>734009.41550491587</v>
      </c>
      <c r="F22" s="5">
        <f t="shared" si="4"/>
        <v>241223.14058155214</v>
      </c>
      <c r="G22" s="5">
        <f t="shared" si="5"/>
        <v>96722.886654337548</v>
      </c>
      <c r="H22" s="5">
        <f t="shared" si="6"/>
        <v>24232.50337599928</v>
      </c>
      <c r="I22" s="5">
        <f t="shared" si="7"/>
        <v>22181.596266089822</v>
      </c>
      <c r="J22" s="5">
        <f t="shared" si="8"/>
        <v>17030.033484826199</v>
      </c>
      <c r="K22">
        <v>8076</v>
      </c>
      <c r="L22">
        <v>15052</v>
      </c>
      <c r="M22">
        <v>22929</v>
      </c>
      <c r="N22">
        <v>46303</v>
      </c>
      <c r="O22">
        <v>113085</v>
      </c>
      <c r="P22">
        <v>308253</v>
      </c>
      <c r="Q22">
        <f t="shared" si="9"/>
        <v>8076</v>
      </c>
      <c r="R22">
        <f t="shared" si="10"/>
        <v>9471.2000000000007</v>
      </c>
      <c r="S22">
        <f t="shared" si="11"/>
        <v>10866.4</v>
      </c>
      <c r="T22">
        <f t="shared" si="12"/>
        <v>12261.599999999999</v>
      </c>
      <c r="U22">
        <f t="shared" si="13"/>
        <v>13656.8</v>
      </c>
      <c r="V22">
        <f t="shared" si="14"/>
        <v>15052</v>
      </c>
      <c r="W22">
        <f t="shared" si="15"/>
        <v>16627.400000000001</v>
      </c>
      <c r="X22">
        <f t="shared" si="16"/>
        <v>18202.8</v>
      </c>
      <c r="Y22">
        <f t="shared" si="17"/>
        <v>19778.2</v>
      </c>
      <c r="Z22">
        <f t="shared" si="18"/>
        <v>21353.599999999999</v>
      </c>
      <c r="AA22">
        <f t="shared" si="19"/>
        <v>22929</v>
      </c>
      <c r="AB22">
        <f t="shared" si="20"/>
        <v>27603.8</v>
      </c>
      <c r="AC22">
        <f t="shared" si="21"/>
        <v>32278.6</v>
      </c>
      <c r="AD22">
        <f t="shared" si="22"/>
        <v>36953.4</v>
      </c>
      <c r="AE22">
        <f t="shared" si="23"/>
        <v>41628.199999999997</v>
      </c>
      <c r="AF22">
        <f t="shared" si="24"/>
        <v>46303</v>
      </c>
      <c r="AG22">
        <f t="shared" si="25"/>
        <v>59659.4</v>
      </c>
      <c r="AH22">
        <f t="shared" si="26"/>
        <v>73015.8</v>
      </c>
      <c r="AI22">
        <f t="shared" si="27"/>
        <v>86372.2</v>
      </c>
      <c r="AJ22">
        <f t="shared" si="28"/>
        <v>99728.6</v>
      </c>
      <c r="AK22">
        <f t="shared" si="29"/>
        <v>113085</v>
      </c>
      <c r="AL22">
        <f t="shared" si="30"/>
        <v>152118.6</v>
      </c>
      <c r="AM22">
        <f t="shared" si="31"/>
        <v>191152.2</v>
      </c>
      <c r="AN22">
        <f t="shared" si="32"/>
        <v>230185.8</v>
      </c>
      <c r="AO22">
        <f t="shared" si="33"/>
        <v>269219.40000000002</v>
      </c>
      <c r="AP22">
        <f t="shared" si="34"/>
        <v>308253</v>
      </c>
    </row>
    <row r="23" spans="1:42" x14ac:dyDescent="0.25">
      <c r="A23" t="s">
        <v>26</v>
      </c>
      <c r="B23" s="5">
        <f t="shared" si="38"/>
        <v>709776.91212891659</v>
      </c>
      <c r="C23" s="5">
        <f t="shared" si="39"/>
        <v>219041.54431546232</v>
      </c>
      <c r="D23" s="5">
        <f t="shared" si="40"/>
        <v>79692.853169511349</v>
      </c>
      <c r="E23" s="5">
        <f t="shared" si="3"/>
        <v>1278873.774874843</v>
      </c>
      <c r="F23" s="5">
        <f t="shared" si="4"/>
        <v>434102.83066392638</v>
      </c>
      <c r="G23" s="5">
        <f t="shared" si="5"/>
        <v>172113.39439421654</v>
      </c>
      <c r="H23" s="5">
        <f t="shared" si="6"/>
        <v>569096.86274592637</v>
      </c>
      <c r="I23" s="5">
        <f t="shared" si="7"/>
        <v>215061.28634846405</v>
      </c>
      <c r="J23" s="5">
        <f t="shared" si="8"/>
        <v>92420.541224705186</v>
      </c>
      <c r="K23">
        <v>4760</v>
      </c>
      <c r="L23">
        <v>30320</v>
      </c>
      <c r="M23">
        <v>56240</v>
      </c>
      <c r="N23">
        <v>102823</v>
      </c>
      <c r="O23">
        <v>202550</v>
      </c>
      <c r="P23">
        <v>427156</v>
      </c>
      <c r="Q23">
        <f t="shared" si="9"/>
        <v>4760</v>
      </c>
      <c r="R23">
        <f t="shared" si="10"/>
        <v>9872</v>
      </c>
      <c r="S23">
        <f t="shared" si="11"/>
        <v>14984</v>
      </c>
      <c r="T23">
        <f t="shared" si="12"/>
        <v>20096</v>
      </c>
      <c r="U23">
        <f t="shared" si="13"/>
        <v>25208</v>
      </c>
      <c r="V23">
        <f t="shared" si="14"/>
        <v>30320</v>
      </c>
      <c r="W23">
        <f t="shared" si="15"/>
        <v>35504</v>
      </c>
      <c r="X23">
        <f t="shared" si="16"/>
        <v>40688</v>
      </c>
      <c r="Y23">
        <f t="shared" si="17"/>
        <v>45872</v>
      </c>
      <c r="Z23">
        <f t="shared" si="18"/>
        <v>51056</v>
      </c>
      <c r="AA23">
        <f t="shared" si="19"/>
        <v>56240</v>
      </c>
      <c r="AB23">
        <f t="shared" si="20"/>
        <v>65556.600000000006</v>
      </c>
      <c r="AC23">
        <f t="shared" si="21"/>
        <v>74873.2</v>
      </c>
      <c r="AD23">
        <f t="shared" si="22"/>
        <v>84189.8</v>
      </c>
      <c r="AE23">
        <f t="shared" si="23"/>
        <v>93506.4</v>
      </c>
      <c r="AF23">
        <f t="shared" si="24"/>
        <v>102823</v>
      </c>
      <c r="AG23">
        <f t="shared" si="25"/>
        <v>122768.4</v>
      </c>
      <c r="AH23">
        <f t="shared" si="26"/>
        <v>142713.79999999999</v>
      </c>
      <c r="AI23">
        <f t="shared" si="27"/>
        <v>162659.20000000001</v>
      </c>
      <c r="AJ23">
        <f t="shared" si="28"/>
        <v>182604.6</v>
      </c>
      <c r="AK23">
        <f t="shared" si="29"/>
        <v>202550</v>
      </c>
      <c r="AL23">
        <f t="shared" si="30"/>
        <v>247471.2</v>
      </c>
      <c r="AM23">
        <f t="shared" si="31"/>
        <v>292392.40000000002</v>
      </c>
      <c r="AN23">
        <f t="shared" si="32"/>
        <v>337313.6</v>
      </c>
      <c r="AO23">
        <f t="shared" si="33"/>
        <v>382234.80000000005</v>
      </c>
      <c r="AP23">
        <f t="shared" si="34"/>
        <v>427156</v>
      </c>
    </row>
    <row r="24" spans="1:42" x14ac:dyDescent="0.25">
      <c r="A24" t="s">
        <v>27</v>
      </c>
      <c r="B24" s="5">
        <f t="shared" ref="B24" si="41">E$15</f>
        <v>709776.91212891659</v>
      </c>
      <c r="C24" s="5">
        <f t="shared" ref="C24" si="42">F$15</f>
        <v>219041.54431546232</v>
      </c>
      <c r="D24" s="5">
        <f t="shared" ref="D24" si="43">G$15</f>
        <v>79692.853169511349</v>
      </c>
      <c r="E24" s="5">
        <f t="shared" ref="E24" si="44">NPV(E$3,Q24:AP24)</f>
        <v>709056.11549308815</v>
      </c>
      <c r="F24" s="5">
        <f t="shared" ref="F24" si="45">NPV(F$3,Q24:AP24)</f>
        <v>223086.85836226802</v>
      </c>
      <c r="G24" s="5">
        <f t="shared" ref="G24" si="46">NPV(G$3,Q24:AP24)</f>
        <v>83232.990658578477</v>
      </c>
      <c r="H24" s="5">
        <f t="shared" ref="H24" si="47">E24-$B24</f>
        <v>-720.7966358284466</v>
      </c>
      <c r="I24" s="5">
        <f t="shared" ref="I24" si="48">F24-$C24</f>
        <v>4045.3140468056954</v>
      </c>
      <c r="J24" s="5">
        <f t="shared" ref="J24" si="49">G24-$D24</f>
        <v>3540.1374890671286</v>
      </c>
      <c r="K24">
        <v>4778</v>
      </c>
      <c r="L24">
        <v>11655</v>
      </c>
      <c r="M24">
        <v>21847</v>
      </c>
      <c r="N24">
        <v>46307</v>
      </c>
      <c r="O24">
        <v>113040</v>
      </c>
      <c r="P24">
        <v>308117</v>
      </c>
      <c r="Q24">
        <f t="shared" ref="Q24" si="50">K24</f>
        <v>4778</v>
      </c>
      <c r="R24">
        <f t="shared" ref="R24" si="51">Q24+0.2*(V24-Q24)</f>
        <v>6153.4</v>
      </c>
      <c r="S24">
        <f t="shared" ref="S24" si="52">Q24+0.4*(V24-Q24)</f>
        <v>7528.8</v>
      </c>
      <c r="T24">
        <f t="shared" ref="T24" si="53">Q24+0.6*(V24-Q24)</f>
        <v>8904.2000000000007</v>
      </c>
      <c r="U24">
        <f t="shared" ref="U24" si="54">Q24+0.8*(V24-Q24)</f>
        <v>10279.6</v>
      </c>
      <c r="V24">
        <f t="shared" ref="V24" si="55">L24</f>
        <v>11655</v>
      </c>
      <c r="W24">
        <f t="shared" ref="W24" si="56">V24+0.2*(AA24-V24)</f>
        <v>13693.4</v>
      </c>
      <c r="X24">
        <f t="shared" ref="X24" si="57">V24+0.4*(AA24-V24)</f>
        <v>15731.8</v>
      </c>
      <c r="Y24">
        <f t="shared" ref="Y24" si="58">V24+0.6*(AA24-V24)</f>
        <v>17770.2</v>
      </c>
      <c r="Z24">
        <f t="shared" ref="Z24" si="59">V24+0.8*(AA24-V24)</f>
        <v>19808.599999999999</v>
      </c>
      <c r="AA24">
        <f t="shared" ref="AA24" si="60">M24</f>
        <v>21847</v>
      </c>
      <c r="AB24">
        <f t="shared" ref="AB24" si="61">AA24+0.2*(AF24-AA24)</f>
        <v>26739</v>
      </c>
      <c r="AC24">
        <f t="shared" ref="AC24" si="62">AA24+0.4*(AF24-AA24)</f>
        <v>31631</v>
      </c>
      <c r="AD24">
        <f t="shared" ref="AD24" si="63">AA24+0.6*(AF24-AA24)</f>
        <v>36523</v>
      </c>
      <c r="AE24">
        <f t="shared" ref="AE24" si="64">AA24+0.8*(AF24-AA24)</f>
        <v>41415</v>
      </c>
      <c r="AF24">
        <f t="shared" ref="AF24" si="65">N24</f>
        <v>46307</v>
      </c>
      <c r="AG24">
        <f t="shared" ref="AG24" si="66">AF24+0.2*(AK24-AF24)</f>
        <v>59653.599999999999</v>
      </c>
      <c r="AH24">
        <f t="shared" ref="AH24" si="67">AF24+0.4*(AK24-AF24)</f>
        <v>73000.2</v>
      </c>
      <c r="AI24">
        <f t="shared" ref="AI24" si="68">AF24+0.6*(AK24-AF24)</f>
        <v>86346.799999999988</v>
      </c>
      <c r="AJ24">
        <f t="shared" ref="AJ24" si="69">AF24+0.8*(AK24-AF24)</f>
        <v>99693.4</v>
      </c>
      <c r="AK24">
        <f t="shared" ref="AK24" si="70">O24</f>
        <v>113040</v>
      </c>
      <c r="AL24">
        <f t="shared" ref="AL24" si="71">AK24+0.2*(AP24-AK24)</f>
        <v>152055.4</v>
      </c>
      <c r="AM24">
        <f t="shared" ref="AM24" si="72">AK24+0.4*(AP24-AK24)</f>
        <v>191070.8</v>
      </c>
      <c r="AN24">
        <f t="shared" ref="AN24" si="73">AK24+0.6*(AP24-AK24)</f>
        <v>230086.2</v>
      </c>
      <c r="AO24">
        <f t="shared" ref="AO24" si="74">AK24+0.8*(AP24-AK24)</f>
        <v>269101.59999999998</v>
      </c>
      <c r="AP24">
        <f t="shared" ref="AP24" si="75">P24</f>
        <v>308117</v>
      </c>
    </row>
  </sheetData>
  <mergeCells count="5">
    <mergeCell ref="K2:P2"/>
    <mergeCell ref="E2:G2"/>
    <mergeCell ref="H2:J2"/>
    <mergeCell ref="Q2:AP2"/>
    <mergeCell ref="B2:D2"/>
  </mergeCells>
  <conditionalFormatting sqref="H4:J24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2025-10-29T17:12:13Z</dcterms:modified>
</cp:coreProperties>
</file>