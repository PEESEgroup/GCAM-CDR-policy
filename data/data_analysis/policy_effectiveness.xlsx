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3AC797D2-DFC3-4EE8-AEC1-47CFAC79D6A7}" xr6:coauthVersionLast="47" xr6:coauthVersionMax="47" xr10:uidLastSave="{00000000-0000-0000-0000-000000000000}"/>
  <bookViews>
    <workbookView xWindow="-120" yWindow="-120" windowWidth="29040" windowHeight="17520" activeTab="3" xr2:uid="{5B094011-67C9-461D-BBBF-A6D3FE50B4AB}"/>
  </bookViews>
  <sheets>
    <sheet name="Low" sheetId="1" r:id="rId1"/>
    <sheet name="High" sheetId="2" r:id="rId2"/>
    <sheet name="Net-Zero Mandate" sheetId="3" r:id="rId3"/>
    <sheet name="Counterproductive Intervention" sheetId="4" r:id="rId4"/>
  </sheets>
  <definedNames>
    <definedName name="_xlnm._FilterDatabase" localSheetId="3" hidden="1">'Counterproductive Intervention'!$A$1:$F$23</definedName>
    <definedName name="_xlnm._FilterDatabase" localSheetId="1" hidden="1">High!$A$1:$N$1</definedName>
    <definedName name="_xlnm._FilterDatabase" localSheetId="0" hidden="1">Low!$A$1:$N$1</definedName>
    <definedName name="_xlnm._FilterDatabase" localSheetId="2" hidden="1">'Net-Zero Mandate'!$A$1:$H$26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4" l="1"/>
</calcChain>
</file>

<file path=xl/sharedStrings.xml><?xml version="1.0" encoding="utf-8"?>
<sst xmlns="http://schemas.openxmlformats.org/spreadsheetml/2006/main" count="189" uniqueCount="49">
  <si>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</si>
  <si>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</si>
  <si>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</si>
  <si>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</si>
  <si>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</si>
  <si>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</si>
  <si>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</si>
  <si>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</si>
  <si>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</si>
  <si>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</si>
  <si>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</si>
  <si>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</si>
  <si>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</si>
  <si>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</si>
  <si>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</si>
  <si>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3.0%</t>
  </si>
  <si>
    <t>Costs | 3.0%</t>
  </si>
  <si>
    <t>Benefits/Costs | 3.0%</t>
  </si>
  <si>
    <t>Benefits-Costs | 3.0%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</si>
  <si>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</si>
  <si>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</si>
  <si>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</si>
  <si>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</si>
  <si>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</si>
  <si>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</si>
  <si>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</si>
  <si>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</si>
  <si>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</si>
  <si>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</si>
  <si>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</si>
  <si>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</si>
  <si>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</si>
  <si>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</si>
  <si>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</si>
  <si>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</si>
  <si>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</si>
  <si>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</si>
  <si>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</si>
  <si>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3.0% | Trillion $USD</t>
  </si>
  <si>
    <t>Cost Decrease necessary in CDR market | 3.0% | % of CDR market</t>
  </si>
  <si>
    <t>NPV of Net Zero Mandate | 12.0% | Trillion $USD</t>
  </si>
  <si>
    <t>Cost Decrease necessary in CDR market | 12.0% | % of CDR market</t>
  </si>
  <si>
    <t>NPV of Net Zero Mandate | 20.0% | Trillion $USD</t>
  </si>
  <si>
    <t>Cost Decrease necessary in CDR market | 20.0% | % of CDR market</t>
  </si>
  <si>
    <t>B/C</t>
  </si>
  <si>
    <t>NPV</t>
  </si>
  <si>
    <t>B/C Ranking</t>
  </si>
  <si>
    <t>NPV Ranking</t>
  </si>
  <si>
    <t>Correlation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</si>
</sst>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16"/>
  <sheetViews>
    <sheetView zoomScaleNormal="100" workbookViewId="0">
      <selection activeCell="H2" sqref="H2:H14"/>
    </sheetView>
  </sheetViews>
  <sheetFormatPr defaultRowHeight="15" x14ac:dyDescent="0.25"/>
  <cols>
    <col min="1" max="1" width="22.28515625" bestFit="1" customWidth="1"/>
    <col min="2" max="2" width="14.140625" bestFit="1" customWidth="1"/>
    <col min="3" max="3" width="11.85546875" bestFit="1" customWidth="1"/>
    <col min="4" max="5" width="19.85546875" bestFit="1" customWidth="1"/>
    <col min="6" max="6" width="15.140625" bestFit="1" customWidth="1"/>
    <col min="7" max="7" width="12.85546875" bestFit="1" customWidth="1"/>
    <col min="8" max="9" width="20.85546875" bestFit="1" customWidth="1"/>
    <col min="10" max="10" width="15.140625" bestFit="1" customWidth="1"/>
    <col min="11" max="11" width="12.85546875" bestFit="1" customWidth="1"/>
    <col min="12" max="13" width="20.85546875" bestFit="1" customWidth="1"/>
    <col min="14" max="14" width="22.28515625" bestFit="1" customWidth="1"/>
  </cols>
  <sheetData>
    <row r="1" spans="1:42" x14ac:dyDescent="0.25">
      <c r="A1" s="3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1">
        <v>-35712.763948744301</v>
      </c>
      <c r="C2" s="1">
        <v>67308.485298308602</v>
      </c>
      <c r="D2" s="4">
        <v>-0.53058338470204403</v>
      </c>
      <c r="E2" s="1">
        <v>-103021.249247053</v>
      </c>
      <c r="F2" s="1">
        <v>-11644.658803537901</v>
      </c>
      <c r="G2" s="1">
        <v>32506.920082813402</v>
      </c>
      <c r="H2" s="4">
        <v>-0.358220919541823</v>
      </c>
      <c r="I2" s="1">
        <v>-44151.578886351403</v>
      </c>
      <c r="J2" s="1">
        <v>-5002.1063151110802</v>
      </c>
      <c r="K2" s="1">
        <v>20078.072923277199</v>
      </c>
      <c r="L2" s="4">
        <v>-0.24913278949754</v>
      </c>
      <c r="M2" s="1">
        <v>-25080.179238388198</v>
      </c>
      <c r="N2" t="s">
        <v>28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1">
        <v>-155964.89309999999</v>
      </c>
      <c r="C3" s="1">
        <v>284005.84899999999</v>
      </c>
      <c r="D3" s="4">
        <v>-0.54916084899999995</v>
      </c>
      <c r="E3" s="1">
        <v>-439970.74209999997</v>
      </c>
      <c r="F3" s="1">
        <v>-30848.809229999999</v>
      </c>
      <c r="G3" s="1">
        <v>68806.729019999999</v>
      </c>
      <c r="H3" s="4">
        <v>-0.44834000499999999</v>
      </c>
      <c r="I3" s="1">
        <v>-99655.538249999998</v>
      </c>
      <c r="J3" s="1">
        <v>-9394.0921610000005</v>
      </c>
      <c r="K3" s="1">
        <v>28774.34908</v>
      </c>
      <c r="L3" s="4">
        <v>-0.32647453199999998</v>
      </c>
      <c r="M3" s="1">
        <v>-38168.44124</v>
      </c>
      <c r="N3" t="s">
        <v>28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1">
        <v>-101866.4703</v>
      </c>
      <c r="C4" s="1">
        <v>53255.489130000002</v>
      </c>
      <c r="D4" s="4">
        <v>-1.9127881819999999</v>
      </c>
      <c r="E4" s="1">
        <v>-155121.95939999999</v>
      </c>
      <c r="F4" s="1">
        <v>-48616.163950000002</v>
      </c>
      <c r="G4" s="1">
        <v>29022.260190000001</v>
      </c>
      <c r="H4" s="4">
        <v>-1.675133626</v>
      </c>
      <c r="I4" s="1">
        <v>-77638.424140000003</v>
      </c>
      <c r="J4" s="1">
        <v>-28740.526330000001</v>
      </c>
      <c r="K4" s="1">
        <v>18227.87427</v>
      </c>
      <c r="L4" s="4">
        <v>-1.5767349450000001</v>
      </c>
      <c r="M4" s="1">
        <v>-46968.400600000001</v>
      </c>
      <c r="N4" t="s">
        <v>28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1">
        <v>-509105.55219999998</v>
      </c>
      <c r="C5" s="1">
        <v>520350.64659999998</v>
      </c>
      <c r="D5" s="4">
        <v>-0.978389391</v>
      </c>
      <c r="E5" s="1">
        <v>-1029456.199</v>
      </c>
      <c r="F5" s="1">
        <v>-123972.1329</v>
      </c>
      <c r="G5" s="1">
        <v>121689.4575</v>
      </c>
      <c r="H5" s="4">
        <v>-1.0187582019999999</v>
      </c>
      <c r="I5" s="1">
        <v>-245661.59039999999</v>
      </c>
      <c r="J5" s="1">
        <v>-48875.479590000003</v>
      </c>
      <c r="K5" s="1">
        <v>45154.745640000001</v>
      </c>
      <c r="L5" s="4">
        <v>-1.082399621</v>
      </c>
      <c r="M5" s="1">
        <v>-94030.225229999996</v>
      </c>
      <c r="N5" t="s">
        <v>28</v>
      </c>
    </row>
    <row r="6" spans="1:42" x14ac:dyDescent="0.25">
      <c r="A6" t="s">
        <v>6</v>
      </c>
      <c r="B6" s="1">
        <v>-19940.231660000001</v>
      </c>
      <c r="C6" s="1">
        <v>15897.22961</v>
      </c>
      <c r="D6" s="4">
        <v>-1.254321171</v>
      </c>
      <c r="E6" s="1">
        <v>-35837.461259999996</v>
      </c>
      <c r="F6" s="1">
        <v>-5718.2312860000002</v>
      </c>
      <c r="G6" s="1">
        <v>12851.378199999999</v>
      </c>
      <c r="H6" s="4">
        <v>-0.44495082200000002</v>
      </c>
      <c r="I6" s="1">
        <v>-18569.609479999999</v>
      </c>
      <c r="J6" s="1">
        <v>-2790.366364</v>
      </c>
      <c r="K6" s="1">
        <v>10951.605100000001</v>
      </c>
      <c r="L6" s="4">
        <v>-0.25479063000000002</v>
      </c>
      <c r="M6" s="1">
        <v>-13741.97147</v>
      </c>
      <c r="N6" t="s">
        <v>28</v>
      </c>
    </row>
    <row r="7" spans="1:42" x14ac:dyDescent="0.25">
      <c r="A7" t="s">
        <v>5</v>
      </c>
      <c r="B7" s="1">
        <v>-25551.220799999999</v>
      </c>
      <c r="C7" s="1">
        <v>14303.578229999999</v>
      </c>
      <c r="D7" s="4">
        <v>-1.7863516660000001</v>
      </c>
      <c r="E7" s="1">
        <v>-39854.799030000002</v>
      </c>
      <c r="F7" s="1">
        <v>-6100.398029</v>
      </c>
      <c r="G7" s="1">
        <v>11648.73883</v>
      </c>
      <c r="H7" s="4">
        <v>-0.52369600900000002</v>
      </c>
      <c r="I7" s="1">
        <v>-17749.136849999999</v>
      </c>
      <c r="J7" s="1">
        <v>-2360.7973050000001</v>
      </c>
      <c r="K7" s="1">
        <v>9987.3194139999996</v>
      </c>
      <c r="L7" s="4">
        <v>-0.23637947400000001</v>
      </c>
      <c r="M7" s="1">
        <v>-12348.11672</v>
      </c>
      <c r="N7" t="s">
        <v>28</v>
      </c>
    </row>
    <row r="8" spans="1:42" x14ac:dyDescent="0.25">
      <c r="A8" t="s">
        <v>8</v>
      </c>
      <c r="B8" s="1">
        <v>-81560.515498519802</v>
      </c>
      <c r="C8" s="1">
        <v>14661.522330296701</v>
      </c>
      <c r="D8" s="4">
        <v>-5.5628954252575902</v>
      </c>
      <c r="E8" s="1">
        <v>-96222.037828816494</v>
      </c>
      <c r="F8" s="1">
        <v>-20972.403124771499</v>
      </c>
      <c r="G8" s="1">
        <v>11912.037176166101</v>
      </c>
      <c r="H8" s="4">
        <v>-1.76060591606728</v>
      </c>
      <c r="I8" s="1">
        <v>-32884.440300937698</v>
      </c>
      <c r="J8" s="1">
        <v>-8406.4334333911793</v>
      </c>
      <c r="K8" s="1">
        <v>10193.2673365766</v>
      </c>
      <c r="L8" s="4">
        <v>-0.82470449913799904</v>
      </c>
      <c r="M8" s="1">
        <v>-18599.7007699678</v>
      </c>
      <c r="N8" t="s">
        <v>28</v>
      </c>
    </row>
    <row r="9" spans="1:42" x14ac:dyDescent="0.25">
      <c r="A9" t="s">
        <v>7</v>
      </c>
      <c r="B9" s="1">
        <v>-36596.431331457497</v>
      </c>
      <c r="C9" s="1">
        <v>14354.7341723564</v>
      </c>
      <c r="D9" s="4">
        <v>-2.5494328833990401</v>
      </c>
      <c r="E9" s="1">
        <v>-50951.165503814002</v>
      </c>
      <c r="F9" s="1">
        <v>-9175.9801601351992</v>
      </c>
      <c r="G9" s="1">
        <v>11684.215094699301</v>
      </c>
      <c r="H9" s="4">
        <v>-0.78533132827192897</v>
      </c>
      <c r="I9" s="1">
        <v>-20860.195254834602</v>
      </c>
      <c r="J9" s="1">
        <v>-3610.0129557775899</v>
      </c>
      <c r="K9" s="1">
        <v>10013.395327025401</v>
      </c>
      <c r="L9" s="4">
        <v>-0.36051836943203802</v>
      </c>
      <c r="M9" s="1">
        <v>-13623.4082828029</v>
      </c>
      <c r="N9" t="s">
        <v>28</v>
      </c>
    </row>
    <row r="10" spans="1:42" x14ac:dyDescent="0.25">
      <c r="A10" t="s">
        <v>9</v>
      </c>
      <c r="B10" s="1">
        <v>-42183.564330000001</v>
      </c>
      <c r="C10" s="1">
        <v>14413.47406</v>
      </c>
      <c r="D10" s="4">
        <v>-2.9266757019999998</v>
      </c>
      <c r="E10" s="1">
        <v>-56597.038390000002</v>
      </c>
      <c r="F10" s="1">
        <v>-10472.884529999999</v>
      </c>
      <c r="G10" s="1">
        <v>11734.88387</v>
      </c>
      <c r="H10" s="4">
        <v>-0.89245744999999999</v>
      </c>
      <c r="I10" s="1">
        <v>-22207.768400000001</v>
      </c>
      <c r="J10" s="1">
        <v>-4213.4803810000003</v>
      </c>
      <c r="K10" s="1">
        <v>10058.82447</v>
      </c>
      <c r="L10" s="4">
        <v>-0.41888397500000002</v>
      </c>
      <c r="M10" s="1">
        <v>-14272.30485</v>
      </c>
      <c r="N10" t="s">
        <v>28</v>
      </c>
    </row>
    <row r="11" spans="1:42" x14ac:dyDescent="0.25">
      <c r="A11" t="s">
        <v>13</v>
      </c>
      <c r="B11" s="1">
        <v>0</v>
      </c>
      <c r="C11" s="1">
        <v>14126.162917527599</v>
      </c>
      <c r="D11" s="4">
        <v>0</v>
      </c>
      <c r="E11" s="1">
        <v>-14126.162917527599</v>
      </c>
      <c r="F11" s="1">
        <v>0</v>
      </c>
      <c r="G11" s="1">
        <v>11511.601320002699</v>
      </c>
      <c r="H11" s="4">
        <v>0</v>
      </c>
      <c r="I11" s="1">
        <v>-11511.601320002699</v>
      </c>
      <c r="J11" s="1">
        <v>0</v>
      </c>
      <c r="K11" s="1">
        <v>9874.8984398431494</v>
      </c>
      <c r="L11" s="4">
        <v>0</v>
      </c>
      <c r="M11" s="1">
        <v>-9874.8984398431494</v>
      </c>
      <c r="N11" t="s">
        <v>28</v>
      </c>
    </row>
    <row r="12" spans="1:42" x14ac:dyDescent="0.25">
      <c r="A12" t="s">
        <v>10</v>
      </c>
      <c r="B12" s="1">
        <v>-952.55022205237697</v>
      </c>
      <c r="C12" s="1">
        <v>43434.528384603</v>
      </c>
      <c r="D12" s="4">
        <v>-2.1930714053523401E-2</v>
      </c>
      <c r="E12" s="1">
        <v>-44387.078606655399</v>
      </c>
      <c r="F12" s="1">
        <v>-32.085743248811902</v>
      </c>
      <c r="G12" s="1">
        <v>32278.589396815001</v>
      </c>
      <c r="H12" s="4">
        <v>-9.9402557076976408E-4</v>
      </c>
      <c r="I12" s="1">
        <v>-32310.675140063799</v>
      </c>
      <c r="J12" s="1">
        <v>-227.43782558660999</v>
      </c>
      <c r="K12" s="1">
        <v>26285.648960687002</v>
      </c>
      <c r="L12" s="4">
        <v>-8.6525474766389696E-3</v>
      </c>
      <c r="M12" s="1">
        <v>-26513.086786273601</v>
      </c>
      <c r="N12" t="s">
        <v>28</v>
      </c>
    </row>
    <row r="13" spans="1:42" x14ac:dyDescent="0.25">
      <c r="A13" t="s">
        <v>11</v>
      </c>
      <c r="B13" s="1">
        <v>33227.843509999999</v>
      </c>
      <c r="C13" s="1">
        <v>708723.9375</v>
      </c>
      <c r="D13" s="4">
        <v>4.6884043E-2</v>
      </c>
      <c r="E13" s="1">
        <v>-675496.09400000004</v>
      </c>
      <c r="F13" s="1">
        <v>4460.6170439999996</v>
      </c>
      <c r="G13" s="1">
        <v>222303.6073</v>
      </c>
      <c r="H13" s="4">
        <v>2.0065428E-2</v>
      </c>
      <c r="I13" s="1">
        <v>-217842.9903</v>
      </c>
      <c r="J13" s="1">
        <v>-1031.071105</v>
      </c>
      <c r="K13" s="1">
        <v>108783.8031</v>
      </c>
      <c r="L13" s="4">
        <v>-9.4781669999999991E-3</v>
      </c>
      <c r="M13" s="1">
        <v>-109814.87420000001</v>
      </c>
      <c r="N13" t="s">
        <v>28</v>
      </c>
    </row>
    <row r="14" spans="1:42" x14ac:dyDescent="0.25">
      <c r="A14" t="s">
        <v>12</v>
      </c>
      <c r="B14" s="1">
        <v>-1993.91561208246</v>
      </c>
      <c r="C14" s="1">
        <v>24714.8821550674</v>
      </c>
      <c r="D14" s="4">
        <v>-8.0676719377908795E-2</v>
      </c>
      <c r="E14" s="1">
        <v>-26708.797767149899</v>
      </c>
      <c r="F14" s="1">
        <v>-184.162683612303</v>
      </c>
      <c r="G14" s="1">
        <v>17829.693968081301</v>
      </c>
      <c r="H14" s="4">
        <v>-1.0328987359064601E-2</v>
      </c>
      <c r="I14" s="1">
        <v>-18013.856651693601</v>
      </c>
      <c r="J14" s="1">
        <v>-125.237709722896</v>
      </c>
      <c r="K14" s="1">
        <v>14163.2689710182</v>
      </c>
      <c r="L14" s="4">
        <v>-8.84242966642553E-3</v>
      </c>
      <c r="M14" s="1">
        <v>-14288.5066807411</v>
      </c>
      <c r="N14" t="s">
        <v>28</v>
      </c>
    </row>
    <row r="15" spans="1:42" x14ac:dyDescent="0.25">
      <c r="B15" s="1"/>
      <c r="C15" s="1"/>
      <c r="D15" s="1"/>
      <c r="E15" s="1"/>
      <c r="F15" s="1"/>
      <c r="G15" s="1"/>
      <c r="H15" s="1"/>
      <c r="I15" s="1"/>
      <c r="J15" s="1"/>
    </row>
    <row r="16" spans="1:42" x14ac:dyDescent="0.25">
      <c r="B16" s="1"/>
      <c r="C16" s="1"/>
      <c r="D16" s="1"/>
      <c r="E16" s="1"/>
      <c r="F16" s="1"/>
      <c r="G16" s="1"/>
      <c r="H16" s="1"/>
      <c r="I16" s="1"/>
      <c r="J16" s="1"/>
    </row>
  </sheetData>
  <autoFilter ref="A1:N1" xr:uid="{E1B4DBF1-F2D7-44F8-977D-1BE3C41C10B1}">
    <sortState xmlns:xlrd2="http://schemas.microsoft.com/office/spreadsheetml/2017/richdata2" ref="A2:N14">
      <sortCondition ref="A1"/>
    </sortState>
  </autoFilter>
  <conditionalFormatting sqref="D2:D14 H2:H14 L2:L14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5:J16 H5:H14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16"/>
  <sheetViews>
    <sheetView workbookViewId="0">
      <selection activeCell="A2" sqref="A2:A14"/>
    </sheetView>
  </sheetViews>
  <sheetFormatPr defaultRowHeight="15" x14ac:dyDescent="0.25"/>
  <cols>
    <col min="1" max="1" width="22.28515625" bestFit="1" customWidth="1"/>
    <col min="2" max="2" width="14.28515625" bestFit="1" customWidth="1"/>
    <col min="3" max="3" width="13.5703125" bestFit="1" customWidth="1"/>
    <col min="4" max="5" width="19.85546875" bestFit="1" customWidth="1"/>
    <col min="6" max="6" width="15.140625" bestFit="1" customWidth="1"/>
    <col min="7" max="7" width="12.85546875" bestFit="1" customWidth="1"/>
    <col min="8" max="9" width="20.85546875" bestFit="1" customWidth="1"/>
    <col min="10" max="10" width="15.140625" bestFit="1" customWidth="1"/>
    <col min="11" max="11" width="12.85546875" bestFit="1" customWidth="1"/>
    <col min="12" max="13" width="20.85546875" bestFit="1" customWidth="1"/>
  </cols>
  <sheetData>
    <row r="1" spans="1:42" x14ac:dyDescent="0.25">
      <c r="A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</row>
    <row r="2" spans="1:42" x14ac:dyDescent="0.25">
      <c r="A2" t="s">
        <v>1</v>
      </c>
      <c r="B2" s="1">
        <v>-81497.373680000004</v>
      </c>
      <c r="C2" s="1">
        <v>109656.8652</v>
      </c>
      <c r="D2" s="4">
        <v>-0.74320357000000004</v>
      </c>
      <c r="E2">
        <v>-191154.2389</v>
      </c>
      <c r="F2">
        <v>-24012.40149</v>
      </c>
      <c r="G2" s="1">
        <v>48730.788209999999</v>
      </c>
      <c r="H2" s="4">
        <v>-0.49275627100000002</v>
      </c>
      <c r="I2" s="1">
        <v>-72743.189700000003</v>
      </c>
      <c r="J2" s="1">
        <v>-9686.1108139999997</v>
      </c>
      <c r="K2" s="1">
        <v>27914.545330000001</v>
      </c>
      <c r="L2" s="4">
        <v>-0.34699153100000002</v>
      </c>
      <c r="M2" s="1">
        <v>-37600.656139999999</v>
      </c>
      <c r="N2" t="s">
        <v>28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1">
        <v>-466401.91596012301</v>
      </c>
      <c r="C3" s="1">
        <v>669973.28975875594</v>
      </c>
      <c r="D3" s="4">
        <v>-0.69615001536563403</v>
      </c>
      <c r="E3">
        <v>-1136375.2057188801</v>
      </c>
      <c r="F3">
        <v>-84257.525916830593</v>
      </c>
      <c r="G3" s="1">
        <v>140944.522706794</v>
      </c>
      <c r="H3" s="4">
        <v>-0.59780631626324898</v>
      </c>
      <c r="I3" s="1">
        <v>-225202.048623624</v>
      </c>
      <c r="J3" s="1">
        <v>-23204.8464252616</v>
      </c>
      <c r="K3" s="1">
        <v>49651.190773092399</v>
      </c>
      <c r="L3" s="4">
        <v>-0.46735729927019298</v>
      </c>
      <c r="M3" s="1">
        <v>-72856.037198354097</v>
      </c>
      <c r="N3" t="s">
        <v>28</v>
      </c>
    </row>
    <row r="4" spans="1:42" x14ac:dyDescent="0.25">
      <c r="A4" t="s">
        <v>3</v>
      </c>
      <c r="B4" s="1">
        <v>-170840.76010000001</v>
      </c>
      <c r="C4" s="1">
        <v>81431.476880000002</v>
      </c>
      <c r="D4" s="4">
        <v>-2.0979695650000001</v>
      </c>
      <c r="E4" s="1">
        <v>-252272.23699999999</v>
      </c>
      <c r="F4" s="1">
        <v>-74587.047070000001</v>
      </c>
      <c r="G4" s="1">
        <v>43819.217380000002</v>
      </c>
      <c r="H4" s="4">
        <v>-1.7021537929999999</v>
      </c>
      <c r="I4" s="1">
        <v>-118406.2645</v>
      </c>
      <c r="J4" s="1">
        <v>-41848.541729999997</v>
      </c>
      <c r="K4" s="1">
        <v>27065.3112</v>
      </c>
      <c r="L4" s="4">
        <v>-1.546205821</v>
      </c>
      <c r="M4" s="1">
        <v>-68913.852929999994</v>
      </c>
      <c r="N4" t="s">
        <v>28</v>
      </c>
    </row>
    <row r="5" spans="1:42" x14ac:dyDescent="0.25">
      <c r="A5" t="s">
        <v>4</v>
      </c>
      <c r="B5" s="1">
        <v>-1258784.9040000001</v>
      </c>
      <c r="C5" s="1">
        <v>1260175.575</v>
      </c>
      <c r="D5" s="4">
        <v>-0.99889644700000002</v>
      </c>
      <c r="E5" s="1">
        <v>-2518960.4789999998</v>
      </c>
      <c r="F5" s="1">
        <v>-265869.2219</v>
      </c>
      <c r="G5" s="1">
        <v>264137.73710000003</v>
      </c>
      <c r="H5" s="4">
        <v>-1.0065552339999999</v>
      </c>
      <c r="I5" s="1">
        <v>-530006.95900000003</v>
      </c>
      <c r="J5" s="1">
        <v>-90716.728929999997</v>
      </c>
      <c r="K5" s="1">
        <v>87679.742610000001</v>
      </c>
      <c r="L5" s="4">
        <v>-1.034637263</v>
      </c>
      <c r="M5" s="1">
        <v>-178396.47150000001</v>
      </c>
      <c r="N5" t="s">
        <v>28</v>
      </c>
    </row>
    <row r="6" spans="1:42" x14ac:dyDescent="0.25">
      <c r="A6" t="s">
        <v>14</v>
      </c>
      <c r="B6" s="1">
        <v>0</v>
      </c>
      <c r="C6" s="1">
        <v>16026.1779279129</v>
      </c>
      <c r="D6" s="4">
        <v>0</v>
      </c>
      <c r="E6">
        <v>-16026.1779279129</v>
      </c>
      <c r="F6">
        <v>0</v>
      </c>
      <c r="G6" s="1">
        <v>12922.5120645157</v>
      </c>
      <c r="H6" s="4">
        <v>0</v>
      </c>
      <c r="I6" s="1">
        <v>-12922.5120645157</v>
      </c>
      <c r="J6" s="1">
        <v>0</v>
      </c>
      <c r="K6" s="1">
        <v>10988.815786839299</v>
      </c>
      <c r="L6" s="4">
        <v>0</v>
      </c>
      <c r="M6" s="1">
        <v>-10988.815786839299</v>
      </c>
      <c r="N6" t="s">
        <v>28</v>
      </c>
    </row>
    <row r="7" spans="1:42" x14ac:dyDescent="0.25">
      <c r="A7" t="s">
        <v>6</v>
      </c>
      <c r="B7" s="1">
        <v>-67025.524609999993</v>
      </c>
      <c r="C7" s="1">
        <v>18191.474730000002</v>
      </c>
      <c r="D7" s="4">
        <v>-3.6844470060000001</v>
      </c>
      <c r="E7" s="1">
        <v>-85216.999349999998</v>
      </c>
      <c r="F7" s="1">
        <v>-14041.80701</v>
      </c>
      <c r="G7" s="1">
        <v>14555.096159999999</v>
      </c>
      <c r="H7" s="4">
        <v>-0.96473474699999995</v>
      </c>
      <c r="I7" s="1">
        <v>-28596.903170000001</v>
      </c>
      <c r="J7" s="1">
        <v>-5067.3328270000002</v>
      </c>
      <c r="K7" s="1">
        <v>12296.74086</v>
      </c>
      <c r="L7" s="4">
        <v>-0.41208747000000001</v>
      </c>
      <c r="M7" s="1">
        <v>-17364.073690000001</v>
      </c>
      <c r="N7" t="s">
        <v>28</v>
      </c>
    </row>
    <row r="8" spans="1:42" x14ac:dyDescent="0.25">
      <c r="A8" t="s">
        <v>5</v>
      </c>
      <c r="B8" s="1">
        <v>-61496.951390000002</v>
      </c>
      <c r="C8" s="1">
        <v>16237.943450000001</v>
      </c>
      <c r="D8" s="4">
        <v>-3.7872376870000002</v>
      </c>
      <c r="E8" s="1">
        <v>-77734.894839999994</v>
      </c>
      <c r="F8" s="1">
        <v>-12795.920630000001</v>
      </c>
      <c r="G8" s="1">
        <v>13085.23021</v>
      </c>
      <c r="H8" s="4">
        <v>-0.97789037099999998</v>
      </c>
      <c r="I8" s="1">
        <v>-25881.150839999998</v>
      </c>
      <c r="J8" s="1">
        <v>-4277.3243689999999</v>
      </c>
      <c r="K8" s="1">
        <v>11121.488859999999</v>
      </c>
      <c r="L8" s="4">
        <v>-0.38459997800000001</v>
      </c>
      <c r="M8" s="1">
        <v>-15398.81323</v>
      </c>
      <c r="N8" t="s">
        <v>28</v>
      </c>
    </row>
    <row r="9" spans="1:42" x14ac:dyDescent="0.25">
      <c r="A9" t="s">
        <v>8</v>
      </c>
      <c r="B9" s="1">
        <v>-167293.31460000001</v>
      </c>
      <c r="C9" s="1">
        <v>16682.334579999999</v>
      </c>
      <c r="D9" s="4">
        <v>-10.028171650000001</v>
      </c>
      <c r="E9" s="1">
        <v>-183975.64920000001</v>
      </c>
      <c r="F9" s="1">
        <v>-38626.101040000001</v>
      </c>
      <c r="G9" s="1">
        <v>13412.72192</v>
      </c>
      <c r="H9" s="4">
        <v>-2.8798107700000002</v>
      </c>
      <c r="I9" s="1">
        <v>-52038.822950000002</v>
      </c>
      <c r="J9" s="1">
        <v>-14104.874299999999</v>
      </c>
      <c r="K9" s="1">
        <v>11378.1173</v>
      </c>
      <c r="L9" s="4">
        <v>-1.239649226</v>
      </c>
      <c r="M9" s="1">
        <v>-25482.991600000001</v>
      </c>
      <c r="N9" t="s">
        <v>28</v>
      </c>
    </row>
    <row r="10" spans="1:42" x14ac:dyDescent="0.25">
      <c r="A10" t="s">
        <v>7</v>
      </c>
      <c r="B10" s="1">
        <v>-81354.279490000001</v>
      </c>
      <c r="C10" s="1">
        <v>16305.1145</v>
      </c>
      <c r="D10" s="4">
        <v>-4.9894945230000003</v>
      </c>
      <c r="E10" s="1">
        <v>-97659.393979999993</v>
      </c>
      <c r="F10" s="1">
        <v>-17986.986789999999</v>
      </c>
      <c r="G10" s="1">
        <v>13132.603209999999</v>
      </c>
      <c r="H10" s="4">
        <v>-1.3696436649999999</v>
      </c>
      <c r="I10" s="1">
        <v>-31119.59</v>
      </c>
      <c r="J10" s="1">
        <v>-6302.0903449999996</v>
      </c>
      <c r="K10" s="1">
        <v>11156.96053</v>
      </c>
      <c r="L10" s="4">
        <v>-0.56485727699999999</v>
      </c>
      <c r="M10" s="1">
        <v>-17459.050879999999</v>
      </c>
      <c r="N10" t="s">
        <v>28</v>
      </c>
    </row>
    <row r="11" spans="1:42" x14ac:dyDescent="0.25">
      <c r="A11" t="s">
        <v>9</v>
      </c>
      <c r="B11" s="1">
        <v>-92931.793090000006</v>
      </c>
      <c r="C11" s="1">
        <v>16367.139950000001</v>
      </c>
      <c r="D11" s="4">
        <v>-5.6779494389999998</v>
      </c>
      <c r="E11" s="1">
        <v>-109298.933</v>
      </c>
      <c r="F11" s="1">
        <v>-20252.154009999998</v>
      </c>
      <c r="G11" s="1">
        <v>13185.69109</v>
      </c>
      <c r="H11" s="4">
        <v>-1.5359190410000001</v>
      </c>
      <c r="I11" s="1">
        <v>-33437.845099999999</v>
      </c>
      <c r="J11" s="1">
        <v>-7133.5598010000003</v>
      </c>
      <c r="K11" s="1">
        <v>11204.283649999999</v>
      </c>
      <c r="L11" s="4">
        <v>-0.63668147200000003</v>
      </c>
      <c r="M11" s="1">
        <v>-18337.84345</v>
      </c>
      <c r="N11" t="s">
        <v>28</v>
      </c>
    </row>
    <row r="12" spans="1:42" x14ac:dyDescent="0.25">
      <c r="A12" t="s">
        <v>10</v>
      </c>
      <c r="B12" s="1">
        <v>-44390.982504673499</v>
      </c>
      <c r="C12" s="1">
        <v>50120.450696353699</v>
      </c>
      <c r="D12" s="4">
        <v>-0.88568602013594699</v>
      </c>
      <c r="E12">
        <v>-94511.433201027306</v>
      </c>
      <c r="F12">
        <v>-17986.197270025001</v>
      </c>
      <c r="G12" s="1">
        <v>36363.512184802501</v>
      </c>
      <c r="H12" s="4">
        <v>-0.49462211401961598</v>
      </c>
      <c r="I12" s="1">
        <v>-54349.7094548276</v>
      </c>
      <c r="J12" s="1">
        <v>-10413.617036727001</v>
      </c>
      <c r="K12" s="1">
        <v>29063.638202340098</v>
      </c>
      <c r="L12" s="4">
        <v>-0.35830397296538602</v>
      </c>
      <c r="M12" s="1">
        <v>-39477.255239067199</v>
      </c>
      <c r="N12" t="s">
        <v>28</v>
      </c>
    </row>
    <row r="13" spans="1:42" x14ac:dyDescent="0.25">
      <c r="A13" t="s">
        <v>11</v>
      </c>
      <c r="B13" s="1">
        <v>28435.070199999998</v>
      </c>
      <c r="C13" s="1">
        <v>778616.07140000002</v>
      </c>
      <c r="D13" s="4">
        <v>3.6520014000000003E-2</v>
      </c>
      <c r="E13" s="1">
        <v>-750181.00120000006</v>
      </c>
      <c r="F13" s="1">
        <v>5157.5221170000004</v>
      </c>
      <c r="G13" s="1">
        <v>235929.4785</v>
      </c>
      <c r="H13" s="4">
        <v>2.1860439999999998E-2</v>
      </c>
      <c r="I13" s="1">
        <v>-230771.9564</v>
      </c>
      <c r="J13" s="1">
        <v>-354.46081329999998</v>
      </c>
      <c r="K13" s="1">
        <v>113106.55809999999</v>
      </c>
      <c r="L13" s="4">
        <v>-3.1338659999999999E-3</v>
      </c>
      <c r="M13" s="1">
        <v>-113461.0189</v>
      </c>
      <c r="N13" t="s">
        <v>28</v>
      </c>
    </row>
    <row r="14" spans="1:42" x14ac:dyDescent="0.25">
      <c r="A14" t="s">
        <v>12</v>
      </c>
      <c r="B14" s="1">
        <v>-17689.664092087602</v>
      </c>
      <c r="C14" s="1">
        <v>26639.461793662798</v>
      </c>
      <c r="D14" s="4">
        <v>-0.66403984544071204</v>
      </c>
      <c r="E14">
        <v>-44329.125885750502</v>
      </c>
      <c r="F14">
        <v>-2707.91448460225</v>
      </c>
      <c r="G14" s="1">
        <v>19251.584572950102</v>
      </c>
      <c r="H14" s="4">
        <v>-0.140659303879175</v>
      </c>
      <c r="I14" s="1">
        <v>-21959.499057552399</v>
      </c>
      <c r="J14" s="1">
        <v>-692.01167725153198</v>
      </c>
      <c r="K14" s="1">
        <v>15282.8414246461</v>
      </c>
      <c r="L14" s="4">
        <v>-4.5280302139073698E-2</v>
      </c>
      <c r="M14" s="1">
        <v>-15974.853101897699</v>
      </c>
      <c r="N14" t="s">
        <v>28</v>
      </c>
    </row>
    <row r="15" spans="1:42" x14ac:dyDescent="0.25">
      <c r="B15" s="1"/>
      <c r="C15" s="1"/>
      <c r="D15" s="1"/>
      <c r="E15" s="1"/>
      <c r="F15" s="1"/>
      <c r="G15" s="1"/>
      <c r="H15" s="1"/>
      <c r="I15" s="1"/>
      <c r="J15" s="1"/>
    </row>
    <row r="16" spans="1:42" x14ac:dyDescent="0.25">
      <c r="B16" s="1"/>
      <c r="C16" s="1"/>
      <c r="D16" s="1"/>
      <c r="E16" s="1"/>
      <c r="F16" s="1"/>
      <c r="G16" s="1"/>
      <c r="H16" s="1"/>
      <c r="I16" s="1"/>
      <c r="J16" s="1"/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H15:J16 H4:H14">
    <cfRule type="colorScale" priority="4">
      <colorScale>
        <cfvo type="min"/>
        <cfvo type="max"/>
        <color rgb="FFFCFCFF"/>
        <color rgb="FF63BE7B"/>
      </colorScale>
    </cfRule>
  </conditionalFormatting>
  <conditionalFormatting sqref="L2:L14 H2:H14 D2:D14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sheetPr filterMode="1"/>
  <dimension ref="A1:H26"/>
  <sheetViews>
    <sheetView workbookViewId="0">
      <selection activeCell="F3" sqref="F3:F13"/>
    </sheetView>
  </sheetViews>
  <sheetFormatPr defaultRowHeight="15" x14ac:dyDescent="0.25"/>
  <cols>
    <col min="1" max="1" width="22.28515625" bestFit="1" customWidth="1"/>
  </cols>
  <sheetData>
    <row r="1" spans="1:8" x14ac:dyDescent="0.25">
      <c r="A1" t="s">
        <v>0</v>
      </c>
      <c r="B1" t="s">
        <v>32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8" hidden="1" x14ac:dyDescent="0.25">
      <c r="A2" t="s">
        <v>31</v>
      </c>
      <c r="B2" t="s">
        <v>33</v>
      </c>
      <c r="C2">
        <v>11.6714641925513</v>
      </c>
      <c r="D2">
        <v>0</v>
      </c>
      <c r="E2">
        <v>4.0170113230740796</v>
      </c>
      <c r="F2">
        <v>0</v>
      </c>
      <c r="G2">
        <v>1.95023254692459</v>
      </c>
      <c r="H2">
        <v>0</v>
      </c>
    </row>
    <row r="3" spans="1:8" x14ac:dyDescent="0.25">
      <c r="A3" t="s">
        <v>1</v>
      </c>
      <c r="B3" t="s">
        <v>34</v>
      </c>
      <c r="C3">
        <v>11.8429645489643</v>
      </c>
      <c r="D3">
        <v>46.648999763436599</v>
      </c>
      <c r="E3">
        <v>4.0359766571962803</v>
      </c>
      <c r="F3">
        <v>20.498026403063999</v>
      </c>
      <c r="G3">
        <v>1.9519792491260499</v>
      </c>
      <c r="H3">
        <v>4.4576105335652398</v>
      </c>
    </row>
    <row r="4" spans="1:8" x14ac:dyDescent="0.25">
      <c r="A4" t="s">
        <v>2</v>
      </c>
      <c r="B4" t="s">
        <v>34</v>
      </c>
      <c r="C4">
        <v>11.864365629027301</v>
      </c>
      <c r="D4">
        <v>77.975318603618106</v>
      </c>
      <c r="E4">
        <v>4.0201810500522601</v>
      </c>
      <c r="F4">
        <v>4.3232246062359998</v>
      </c>
      <c r="G4">
        <v>1.94080995822802</v>
      </c>
      <c r="H4">
        <v>-27.082058811239101</v>
      </c>
    </row>
    <row r="5" spans="1:8" x14ac:dyDescent="0.25">
      <c r="A5" t="s">
        <v>6</v>
      </c>
      <c r="B5" t="s">
        <v>34</v>
      </c>
      <c r="C5">
        <v>11.8492873032673</v>
      </c>
      <c r="D5">
        <v>46.379062212209298</v>
      </c>
      <c r="E5">
        <v>4.0355326064168597</v>
      </c>
      <c r="F5">
        <v>18.813043557568299</v>
      </c>
      <c r="G5">
        <v>1.9512772139851899</v>
      </c>
      <c r="H5">
        <v>2.5235661806703602</v>
      </c>
    </row>
    <row r="6" spans="1:8" x14ac:dyDescent="0.25">
      <c r="A6" t="s">
        <v>5</v>
      </c>
      <c r="B6" t="s">
        <v>34</v>
      </c>
      <c r="C6">
        <v>11.923951512722301</v>
      </c>
      <c r="D6">
        <v>66.830684641143094</v>
      </c>
      <c r="E6">
        <v>4.06937919676413</v>
      </c>
      <c r="F6">
        <v>53.400101276959496</v>
      </c>
      <c r="G6">
        <v>1.9689061406836099</v>
      </c>
      <c r="H6">
        <v>44.645868252751001</v>
      </c>
    </row>
    <row r="7" spans="1:8" x14ac:dyDescent="0.25">
      <c r="A7" t="s">
        <v>8</v>
      </c>
      <c r="B7" t="s">
        <v>34</v>
      </c>
      <c r="C7">
        <v>12.1201777868246</v>
      </c>
      <c r="D7">
        <v>139.44203911104401</v>
      </c>
      <c r="E7">
        <v>4.1666434691336596</v>
      </c>
      <c r="F7">
        <v>179.857163829526</v>
      </c>
      <c r="G7">
        <v>2.0235870922189201</v>
      </c>
      <c r="H7">
        <v>205.01324778073999</v>
      </c>
    </row>
    <row r="8" spans="1:8" x14ac:dyDescent="0.25">
      <c r="A8" t="s">
        <v>7</v>
      </c>
      <c r="B8" t="s">
        <v>34</v>
      </c>
      <c r="C8">
        <v>11.978026074055</v>
      </c>
      <c r="D8">
        <v>83.5873579802481</v>
      </c>
      <c r="E8">
        <v>4.0952437698930897</v>
      </c>
      <c r="F8">
        <v>82.357389931911399</v>
      </c>
      <c r="G8">
        <v>1.9832089280410501</v>
      </c>
      <c r="H8">
        <v>81.269026505650601</v>
      </c>
    </row>
    <row r="9" spans="1:8" x14ac:dyDescent="0.25">
      <c r="A9" t="s">
        <v>9</v>
      </c>
      <c r="B9" t="s">
        <v>34</v>
      </c>
      <c r="C9">
        <v>11.9783780590988</v>
      </c>
      <c r="D9">
        <v>84.977875967937194</v>
      </c>
      <c r="E9">
        <v>4.0969123769269702</v>
      </c>
      <c r="F9">
        <v>85.278269416212396</v>
      </c>
      <c r="G9">
        <v>1.98468952931547</v>
      </c>
      <c r="H9">
        <v>86.199895651216806</v>
      </c>
    </row>
    <row r="10" spans="1:8" x14ac:dyDescent="0.25">
      <c r="A10" t="s">
        <v>13</v>
      </c>
      <c r="B10" t="s">
        <v>34</v>
      </c>
      <c r="C10">
        <v>11.911226021002999</v>
      </c>
      <c r="D10">
        <v>59.442226114714899</v>
      </c>
      <c r="E10">
        <v>4.0538802198026396</v>
      </c>
      <c r="F10">
        <v>35.393894665297204</v>
      </c>
      <c r="G10">
        <v>1.95853077165749</v>
      </c>
      <c r="H10">
        <v>18.779861431983999</v>
      </c>
    </row>
    <row r="11" spans="1:8" x14ac:dyDescent="0.25">
      <c r="A11" t="s">
        <v>10</v>
      </c>
      <c r="B11" t="s">
        <v>34</v>
      </c>
      <c r="C11">
        <v>11.8908294673068</v>
      </c>
      <c r="D11">
        <v>54.514211977778203</v>
      </c>
      <c r="E11">
        <v>4.0557526757695896</v>
      </c>
      <c r="F11">
        <v>37.202899164071297</v>
      </c>
      <c r="G11">
        <v>1.96485522697099</v>
      </c>
      <c r="H11">
        <v>33.264066186409202</v>
      </c>
    </row>
    <row r="12" spans="1:8" x14ac:dyDescent="0.25">
      <c r="A12" t="s">
        <v>11</v>
      </c>
      <c r="B12" t="s">
        <v>34</v>
      </c>
      <c r="C12">
        <v>12.236527303614601</v>
      </c>
      <c r="D12">
        <v>129.429290816709</v>
      </c>
      <c r="E12">
        <v>4.1027265788317999</v>
      </c>
      <c r="F12">
        <v>78.907141092873204</v>
      </c>
      <c r="G12">
        <v>1.9735796206688301</v>
      </c>
      <c r="H12">
        <v>54.099560276592101</v>
      </c>
    </row>
    <row r="13" spans="1:8" x14ac:dyDescent="0.25">
      <c r="A13" t="s">
        <v>12</v>
      </c>
      <c r="B13" t="s">
        <v>34</v>
      </c>
      <c r="C13">
        <v>11.875310269400501</v>
      </c>
      <c r="D13">
        <v>50.788990038952299</v>
      </c>
      <c r="E13">
        <v>4.0440175944995902</v>
      </c>
      <c r="F13">
        <v>25.9717569864757</v>
      </c>
      <c r="G13">
        <v>1.95475015347694</v>
      </c>
      <c r="H13">
        <v>10.2529361886546</v>
      </c>
    </row>
    <row r="14" spans="1:8" hidden="1" x14ac:dyDescent="0.25">
      <c r="A14" t="s">
        <v>1</v>
      </c>
      <c r="B14" t="s">
        <v>36</v>
      </c>
      <c r="C14">
        <v>12.3829778439019</v>
      </c>
      <c r="D14">
        <v>73.687970804576906</v>
      </c>
      <c r="E14">
        <v>4.1061101086294602</v>
      </c>
      <c r="F14">
        <v>44.141849009060799</v>
      </c>
      <c r="G14">
        <v>1.9630318924891701</v>
      </c>
      <c r="H14">
        <v>18.2262669057897</v>
      </c>
    </row>
    <row r="15" spans="1:8" hidden="1" x14ac:dyDescent="0.25">
      <c r="A15" t="s">
        <v>2</v>
      </c>
      <c r="B15" t="s">
        <v>36</v>
      </c>
      <c r="C15">
        <v>12.5900485095412</v>
      </c>
      <c r="D15">
        <v>158.19336070381399</v>
      </c>
      <c r="E15">
        <v>4.1427045613212297</v>
      </c>
      <c r="F15">
        <v>88.765537100189803</v>
      </c>
      <c r="G15">
        <v>1.97226029495764</v>
      </c>
      <c r="H15">
        <v>38.845541358940103</v>
      </c>
    </row>
    <row r="16" spans="1:8" hidden="1" x14ac:dyDescent="0.25">
      <c r="A16" t="s">
        <v>14</v>
      </c>
      <c r="B16" t="s">
        <v>36</v>
      </c>
      <c r="C16">
        <v>12.5386826547015</v>
      </c>
      <c r="D16">
        <v>82.823053052219606</v>
      </c>
      <c r="E16">
        <v>4.1526147790860204</v>
      </c>
      <c r="F16">
        <v>60.039008352776797</v>
      </c>
      <c r="G16">
        <v>1.9819425484725299</v>
      </c>
      <c r="H16">
        <v>39.681729973460101</v>
      </c>
    </row>
    <row r="17" spans="1:8" hidden="1" x14ac:dyDescent="0.25">
      <c r="A17" t="s">
        <v>6</v>
      </c>
      <c r="B17" t="s">
        <v>36</v>
      </c>
      <c r="C17">
        <v>12.4124638387233</v>
      </c>
      <c r="D17">
        <v>75.608486762679703</v>
      </c>
      <c r="E17">
        <v>4.1185187728864197</v>
      </c>
      <c r="F17">
        <v>47.922213765437903</v>
      </c>
      <c r="G17">
        <v>1.96872763712804</v>
      </c>
      <c r="H17">
        <v>24.711684783752499</v>
      </c>
    </row>
    <row r="18" spans="1:8" hidden="1" x14ac:dyDescent="0.25">
      <c r="A18" t="s">
        <v>5</v>
      </c>
      <c r="B18" t="s">
        <v>36</v>
      </c>
      <c r="C18">
        <v>12.510377009198001</v>
      </c>
      <c r="D18">
        <v>85.118968174572501</v>
      </c>
      <c r="E18">
        <v>4.1582064783472701</v>
      </c>
      <c r="F18">
        <v>66.269204650542093</v>
      </c>
      <c r="G18">
        <v>1.9885654697995501</v>
      </c>
      <c r="H18">
        <v>50.682459178720002</v>
      </c>
    </row>
    <row r="19" spans="1:8" hidden="1" x14ac:dyDescent="0.25">
      <c r="A19" t="s">
        <v>8</v>
      </c>
      <c r="B19" t="s">
        <v>36</v>
      </c>
      <c r="C19">
        <v>12.6670735192263</v>
      </c>
      <c r="D19">
        <v>113.16565662919101</v>
      </c>
      <c r="E19">
        <v>4.2474793439328602</v>
      </c>
      <c r="F19">
        <v>123.091679006717</v>
      </c>
      <c r="G19">
        <v>2.0407414068473302</v>
      </c>
      <c r="H19">
        <v>137.53900058894601</v>
      </c>
    </row>
    <row r="20" spans="1:8" hidden="1" x14ac:dyDescent="0.25">
      <c r="A20" t="s">
        <v>7</v>
      </c>
      <c r="B20" t="s">
        <v>36</v>
      </c>
      <c r="C20">
        <v>12.5564537726205</v>
      </c>
      <c r="D20">
        <v>91.640439158138193</v>
      </c>
      <c r="E20">
        <v>4.1822037789523101</v>
      </c>
      <c r="F20">
        <v>79.468378970673896</v>
      </c>
      <c r="G20">
        <v>2.0022065572862999</v>
      </c>
      <c r="H20">
        <v>70.608473205183699</v>
      </c>
    </row>
    <row r="21" spans="1:8" hidden="1" x14ac:dyDescent="0.25">
      <c r="A21" t="s">
        <v>9</v>
      </c>
      <c r="B21" t="s">
        <v>36</v>
      </c>
      <c r="C21">
        <v>12.5517544923092</v>
      </c>
      <c r="D21">
        <v>92.259886174847793</v>
      </c>
      <c r="E21">
        <v>4.1829475885494798</v>
      </c>
      <c r="F21">
        <v>80.705644316190003</v>
      </c>
      <c r="G21">
        <v>2.0034139009629501</v>
      </c>
      <c r="H21">
        <v>73.074121408882405</v>
      </c>
    </row>
    <row r="22" spans="1:8" hidden="1" x14ac:dyDescent="0.25">
      <c r="A22" t="s">
        <v>10</v>
      </c>
      <c r="B22" t="s">
        <v>36</v>
      </c>
      <c r="C22">
        <v>12.490226515314699</v>
      </c>
      <c r="D22">
        <v>79.442827948923096</v>
      </c>
      <c r="E22">
        <v>4.1463358566009196</v>
      </c>
      <c r="F22">
        <v>57.914191697663703</v>
      </c>
      <c r="G22">
        <v>1.9847209886939701</v>
      </c>
      <c r="H22">
        <v>43.604464558063803</v>
      </c>
    </row>
    <row r="23" spans="1:8" hidden="1" x14ac:dyDescent="0.25">
      <c r="A23" t="s">
        <v>11</v>
      </c>
      <c r="B23" t="s">
        <v>36</v>
      </c>
      <c r="C23">
        <v>12.7047580260835</v>
      </c>
      <c r="D23">
        <v>96.074880752610099</v>
      </c>
      <c r="E23">
        <v>4.1591923180979897</v>
      </c>
      <c r="F23">
        <v>61.545833512479902</v>
      </c>
      <c r="G23">
        <v>1.98106841799883</v>
      </c>
      <c r="H23">
        <v>38.759774563325102</v>
      </c>
    </row>
    <row r="24" spans="1:8" hidden="1" x14ac:dyDescent="0.25">
      <c r="A24" t="s">
        <v>12</v>
      </c>
      <c r="B24" t="s">
        <v>36</v>
      </c>
      <c r="C24">
        <v>12.482889268767099</v>
      </c>
      <c r="D24">
        <v>78.826268381373893</v>
      </c>
      <c r="E24">
        <v>4.1401076200791396</v>
      </c>
      <c r="F24">
        <v>55.162779377454299</v>
      </c>
      <c r="G24">
        <v>1.9778511666876</v>
      </c>
      <c r="H24">
        <v>34.863708894695797</v>
      </c>
    </row>
    <row r="25" spans="1:8" hidden="1" x14ac:dyDescent="0.25">
      <c r="A25" t="s">
        <v>29</v>
      </c>
      <c r="B25" t="s">
        <v>35</v>
      </c>
    </row>
    <row r="26" spans="1:8" hidden="1" x14ac:dyDescent="0.25">
      <c r="A26" t="s">
        <v>30</v>
      </c>
      <c r="B26" t="s">
        <v>37</v>
      </c>
      <c r="C26">
        <v>11.4383450056322</v>
      </c>
      <c r="D26">
        <v>-8.2907480192294294</v>
      </c>
      <c r="E26">
        <v>3.9717488860538102</v>
      </c>
      <c r="F26">
        <v>-8.4827721199104893</v>
      </c>
      <c r="G26">
        <v>1.93944630809244</v>
      </c>
      <c r="H26">
        <v>-6.6784586301151698</v>
      </c>
    </row>
  </sheetData>
  <autoFilter ref="A1:H26" xr:uid="{66EF8D6B-AAC7-4D47-8A22-E3B6AC50568B}">
    <filterColumn colId="1">
      <filters>
        <filter val="500 Mt"/>
      </filters>
    </filterColumn>
    <sortState xmlns:xlrd2="http://schemas.microsoft.com/office/spreadsheetml/2017/richdata2" ref="A14:H24">
      <sortCondition ref="A1:A26"/>
    </sortState>
  </autoFilter>
  <phoneticPr fontId="3" type="noConversion"/>
  <conditionalFormatting sqref="B35:Z35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F2:F26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DCC38-97F2-44B2-A211-84A041F26FA0}">
  <dimension ref="A1:J23"/>
  <sheetViews>
    <sheetView tabSelected="1" workbookViewId="0">
      <selection activeCell="L28" sqref="L28"/>
    </sheetView>
  </sheetViews>
  <sheetFormatPr defaultRowHeight="15" x14ac:dyDescent="0.25"/>
  <cols>
    <col min="1" max="1" width="22.28515625" bestFit="1" customWidth="1"/>
    <col min="2" max="2" width="8.5703125" bestFit="1" customWidth="1"/>
  </cols>
  <sheetData>
    <row r="1" spans="1:10" x14ac:dyDescent="0.25">
      <c r="A1" t="s">
        <v>0</v>
      </c>
      <c r="B1" t="s">
        <v>32</v>
      </c>
      <c r="C1" t="s">
        <v>44</v>
      </c>
      <c r="D1" t="s">
        <v>46</v>
      </c>
      <c r="E1" t="s">
        <v>45</v>
      </c>
      <c r="F1" t="s">
        <v>47</v>
      </c>
      <c r="I1" s="3" t="s">
        <v>48</v>
      </c>
      <c r="J1">
        <f>CORREL(D2:D23,F2:F23)</f>
        <v>-0.51818181818181808</v>
      </c>
    </row>
    <row r="2" spans="1:10" x14ac:dyDescent="0.25">
      <c r="A2" t="s">
        <v>1</v>
      </c>
      <c r="B2" t="s">
        <v>36</v>
      </c>
      <c r="C2" s="4">
        <v>-0.49275627100000002</v>
      </c>
      <c r="D2">
        <v>8</v>
      </c>
      <c r="E2">
        <v>44.141849009060799</v>
      </c>
      <c r="F2">
        <v>1</v>
      </c>
    </row>
    <row r="3" spans="1:10" x14ac:dyDescent="0.25">
      <c r="A3" t="s">
        <v>2</v>
      </c>
      <c r="B3" t="s">
        <v>34</v>
      </c>
      <c r="C3" s="4">
        <v>-0.44834000499999999</v>
      </c>
      <c r="D3">
        <v>5</v>
      </c>
      <c r="E3">
        <v>4.3232246062359998</v>
      </c>
      <c r="F3">
        <v>1</v>
      </c>
    </row>
    <row r="4" spans="1:10" x14ac:dyDescent="0.25">
      <c r="A4" t="s">
        <v>6</v>
      </c>
      <c r="B4" t="s">
        <v>36</v>
      </c>
      <c r="C4" s="4">
        <v>-0.96473474699999995</v>
      </c>
      <c r="D4">
        <v>5</v>
      </c>
      <c r="E4">
        <v>47.922213765437903</v>
      </c>
      <c r="F4">
        <v>2</v>
      </c>
    </row>
    <row r="5" spans="1:10" x14ac:dyDescent="0.25">
      <c r="A5" t="s">
        <v>12</v>
      </c>
      <c r="B5" t="s">
        <v>36</v>
      </c>
      <c r="C5" s="4">
        <v>-0.140659303879175</v>
      </c>
      <c r="D5">
        <v>9</v>
      </c>
      <c r="E5">
        <v>55.162779377454299</v>
      </c>
      <c r="F5">
        <v>3</v>
      </c>
    </row>
    <row r="6" spans="1:10" x14ac:dyDescent="0.25">
      <c r="A6" t="s">
        <v>10</v>
      </c>
      <c r="B6" t="s">
        <v>36</v>
      </c>
      <c r="C6" s="4">
        <v>-0.49462211401961598</v>
      </c>
      <c r="D6">
        <v>7</v>
      </c>
      <c r="E6">
        <v>57.914191697663703</v>
      </c>
      <c r="F6">
        <v>4</v>
      </c>
    </row>
    <row r="7" spans="1:10" x14ac:dyDescent="0.25">
      <c r="A7" t="s">
        <v>14</v>
      </c>
      <c r="B7" t="s">
        <v>36</v>
      </c>
      <c r="C7" s="4">
        <v>0</v>
      </c>
      <c r="D7">
        <v>10</v>
      </c>
      <c r="E7">
        <v>60.039008352776797</v>
      </c>
      <c r="F7">
        <v>5</v>
      </c>
    </row>
    <row r="8" spans="1:10" x14ac:dyDescent="0.25">
      <c r="A8" t="s">
        <v>6</v>
      </c>
      <c r="B8" t="s">
        <v>34</v>
      </c>
      <c r="C8" s="4">
        <v>-0.44495082200000002</v>
      </c>
      <c r="D8">
        <v>6</v>
      </c>
      <c r="E8">
        <v>18.813043557568299</v>
      </c>
      <c r="F8">
        <v>2</v>
      </c>
    </row>
    <row r="9" spans="1:10" x14ac:dyDescent="0.25">
      <c r="A9" t="s">
        <v>1</v>
      </c>
      <c r="B9" t="s">
        <v>34</v>
      </c>
      <c r="C9" s="4">
        <v>-0.358220919541823</v>
      </c>
      <c r="D9">
        <v>7</v>
      </c>
      <c r="E9">
        <v>20.498026403063999</v>
      </c>
      <c r="F9">
        <v>3</v>
      </c>
    </row>
    <row r="10" spans="1:10" x14ac:dyDescent="0.25">
      <c r="A10" t="s">
        <v>11</v>
      </c>
      <c r="B10" t="s">
        <v>36</v>
      </c>
      <c r="C10" s="4">
        <v>2.1860439999999998E-2</v>
      </c>
      <c r="D10">
        <v>11</v>
      </c>
      <c r="E10">
        <v>61.545833512479902</v>
      </c>
      <c r="F10">
        <v>6</v>
      </c>
    </row>
    <row r="11" spans="1:10" x14ac:dyDescent="0.25">
      <c r="A11" t="s">
        <v>12</v>
      </c>
      <c r="B11" t="s">
        <v>34</v>
      </c>
      <c r="C11" s="4">
        <v>-1.0328987359064601E-2</v>
      </c>
      <c r="D11">
        <v>8</v>
      </c>
      <c r="E11">
        <v>25.9717569864757</v>
      </c>
      <c r="F11">
        <v>4</v>
      </c>
    </row>
    <row r="12" spans="1:10" x14ac:dyDescent="0.25">
      <c r="A12" t="s">
        <v>5</v>
      </c>
      <c r="B12" t="s">
        <v>36</v>
      </c>
      <c r="C12" s="4">
        <v>-0.97789037099999998</v>
      </c>
      <c r="D12">
        <v>4</v>
      </c>
      <c r="E12">
        <v>66.269204650542093</v>
      </c>
      <c r="F12">
        <v>7</v>
      </c>
    </row>
    <row r="13" spans="1:10" x14ac:dyDescent="0.25">
      <c r="A13" t="s">
        <v>7</v>
      </c>
      <c r="B13" t="s">
        <v>36</v>
      </c>
      <c r="C13" s="4">
        <v>-1.3696436649999999</v>
      </c>
      <c r="D13">
        <v>3</v>
      </c>
      <c r="E13">
        <v>79.468378970673896</v>
      </c>
      <c r="F13">
        <v>8</v>
      </c>
    </row>
    <row r="14" spans="1:10" x14ac:dyDescent="0.25">
      <c r="A14" t="s">
        <v>13</v>
      </c>
      <c r="B14" t="s">
        <v>34</v>
      </c>
      <c r="C14" s="4">
        <v>0</v>
      </c>
      <c r="D14">
        <v>10</v>
      </c>
      <c r="E14">
        <v>35.393894665297204</v>
      </c>
      <c r="F14">
        <v>5</v>
      </c>
    </row>
    <row r="15" spans="1:10" x14ac:dyDescent="0.25">
      <c r="A15" t="s">
        <v>10</v>
      </c>
      <c r="B15" t="s">
        <v>34</v>
      </c>
      <c r="C15" s="4">
        <v>-9.9402557076976408E-4</v>
      </c>
      <c r="D15">
        <v>9</v>
      </c>
      <c r="E15">
        <v>37.202899164071297</v>
      </c>
      <c r="F15">
        <v>6</v>
      </c>
    </row>
    <row r="16" spans="1:10" x14ac:dyDescent="0.25">
      <c r="A16" t="s">
        <v>5</v>
      </c>
      <c r="B16" t="s">
        <v>34</v>
      </c>
      <c r="C16" s="4">
        <v>-0.52369600900000002</v>
      </c>
      <c r="D16">
        <v>4</v>
      </c>
      <c r="E16">
        <v>53.400101276959496</v>
      </c>
      <c r="F16">
        <v>7</v>
      </c>
    </row>
    <row r="17" spans="1:6" x14ac:dyDescent="0.25">
      <c r="A17" t="s">
        <v>9</v>
      </c>
      <c r="B17" t="s">
        <v>36</v>
      </c>
      <c r="C17" s="4">
        <v>-1.5359190410000001</v>
      </c>
      <c r="D17">
        <v>2</v>
      </c>
      <c r="E17">
        <v>80.705644316190003</v>
      </c>
      <c r="F17">
        <v>9</v>
      </c>
    </row>
    <row r="18" spans="1:6" x14ac:dyDescent="0.25">
      <c r="A18" t="s">
        <v>11</v>
      </c>
      <c r="B18" t="s">
        <v>34</v>
      </c>
      <c r="C18" s="4">
        <v>2.0065428E-2</v>
      </c>
      <c r="D18">
        <v>11</v>
      </c>
      <c r="E18">
        <v>78.907141092873204</v>
      </c>
      <c r="F18">
        <v>8</v>
      </c>
    </row>
    <row r="19" spans="1:6" x14ac:dyDescent="0.25">
      <c r="A19" t="s">
        <v>7</v>
      </c>
      <c r="B19" t="s">
        <v>34</v>
      </c>
      <c r="C19" s="4">
        <v>-0.78533132827192897</v>
      </c>
      <c r="D19">
        <v>3</v>
      </c>
      <c r="E19">
        <v>82.357389931911399</v>
      </c>
      <c r="F19">
        <v>9</v>
      </c>
    </row>
    <row r="20" spans="1:6" x14ac:dyDescent="0.25">
      <c r="A20" t="s">
        <v>9</v>
      </c>
      <c r="B20" t="s">
        <v>34</v>
      </c>
      <c r="C20" s="4">
        <v>-0.89245744999999999</v>
      </c>
      <c r="D20">
        <v>2</v>
      </c>
      <c r="E20">
        <v>85.278269416212396</v>
      </c>
      <c r="F20">
        <v>10</v>
      </c>
    </row>
    <row r="21" spans="1:6" x14ac:dyDescent="0.25">
      <c r="A21" t="s">
        <v>2</v>
      </c>
      <c r="B21" t="s">
        <v>36</v>
      </c>
      <c r="C21" s="4">
        <v>-0.59780631626324898</v>
      </c>
      <c r="D21">
        <v>6</v>
      </c>
      <c r="E21">
        <v>88.765537100189803</v>
      </c>
      <c r="F21">
        <v>10</v>
      </c>
    </row>
    <row r="22" spans="1:6" x14ac:dyDescent="0.25">
      <c r="A22" t="s">
        <v>8</v>
      </c>
      <c r="B22" t="s">
        <v>34</v>
      </c>
      <c r="C22" s="4">
        <v>-1.76060591606728</v>
      </c>
      <c r="D22">
        <v>1</v>
      </c>
      <c r="E22">
        <v>179.857163829526</v>
      </c>
      <c r="F22">
        <v>11</v>
      </c>
    </row>
    <row r="23" spans="1:6" x14ac:dyDescent="0.25">
      <c r="A23" t="s">
        <v>8</v>
      </c>
      <c r="B23" t="s">
        <v>36</v>
      </c>
      <c r="C23" s="4">
        <v>-2.8798107700000002</v>
      </c>
      <c r="D23">
        <v>1</v>
      </c>
      <c r="E23">
        <v>123.091679006717</v>
      </c>
      <c r="F23">
        <v>11</v>
      </c>
    </row>
  </sheetData>
  <autoFilter ref="A1:F23" xr:uid="{C6EDCC38-97F2-44B2-A211-84A041F26FA0}">
    <sortState xmlns:xlrd2="http://schemas.microsoft.com/office/spreadsheetml/2017/richdata2" ref="A3:F22">
      <sortCondition ref="E1:E23"/>
    </sortState>
  </autoFilter>
  <phoneticPr fontId="3" type="noConversion"/>
  <conditionalFormatting sqref="C13:C23">
    <cfRule type="colorScale" priority="7">
      <colorScale>
        <cfvo type="min"/>
        <cfvo type="max"/>
        <color rgb="FFFCFCFF"/>
        <color rgb="FF63BE7B"/>
      </colorScale>
    </cfRule>
  </conditionalFormatting>
  <conditionalFormatting sqref="C11:C23">
    <cfRule type="colorScale" priority="6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C2:C10">
    <cfRule type="colorScale" priority="1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C4:C10">
    <cfRule type="colorScale" priority="17">
      <colorScale>
        <cfvo type="min"/>
        <cfvo type="max"/>
        <color rgb="FFFCFCFF"/>
        <color rgb="FF63BE7B"/>
      </colorScale>
    </cfRule>
  </conditionalFormatting>
  <conditionalFormatting sqref="E2:E23">
    <cfRule type="colorScale" priority="18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Low</vt:lpstr>
      <vt:lpstr>High</vt:lpstr>
      <vt:lpstr>Net-Zero Mandate</vt:lpstr>
      <vt:lpstr>Counterproductive Intervention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2025-12-01T16:01:30Z</dcterms:modified>
</cp:coreProperties>
</file>