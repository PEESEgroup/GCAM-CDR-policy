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Ex1.xml" ContentType="application/vnd.ms-office.chartex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3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4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5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natha\PycharmProjects\GCAM-CDR-policy\data\data_analysis\"/>
    </mc:Choice>
  </mc:AlternateContent>
  <xr:revisionPtr revIDLastSave="0" documentId="13_ncr:1_{122D0F23-43B5-41C3-97B3-3086EABE55FC}" xr6:coauthVersionLast="47" xr6:coauthVersionMax="47" xr10:uidLastSave="{00000000-0000-0000-0000-000000000000}"/>
  <bookViews>
    <workbookView xWindow="-120" yWindow="-120" windowWidth="29040" windowHeight="17520" activeTab="3" xr2:uid="{5B094011-67C9-461D-BBBF-A6D3FE50B4AB}"/>
  </bookViews>
  <sheets>
    <sheet name="Low" sheetId="1" r:id="rId1"/>
    <sheet name="High" sheetId="2" r:id="rId2"/>
    <sheet name="Sheet1" sheetId="5" r:id="rId3"/>
    <sheet name="Net-Zero Mandate" sheetId="3" r:id="rId4"/>
    <sheet name="Counterproductive Intervention" sheetId="4" r:id="rId5"/>
  </sheets>
  <definedNames>
    <definedName name="_xlnm._FilterDatabase" localSheetId="4" hidden="1">'Counterproductive Intervention'!$A$1:$H$23</definedName>
    <definedName name="_xlnm._FilterDatabase" localSheetId="1" hidden="1">High!$A$1:$N$1</definedName>
    <definedName name="_xlnm._FilterDatabase" localSheetId="0" hidden="1">Low!$A$1:$N$1</definedName>
    <definedName name="_xlnm._FilterDatabase" localSheetId="3" hidden="1">'Net-Zero Mandate'!$A$1:$H$26</definedName>
    <definedName name="_xlchart.v1.0" hidden="1">'Net-Zero Mandate'!$A$2:$B$28</definedName>
    <definedName name="_xlchart.v1.1" hidden="1">'Net-Zero Mandate'!$D$1</definedName>
    <definedName name="_xlchart.v1.2" hidden="1">'Net-Zero Mandate'!$D$2:$D$28</definedName>
    <definedName name="_xlchart.v1.3" hidden="1">'Net-Zero Mandate'!$F$1</definedName>
    <definedName name="_xlchart.v1.4" hidden="1">'Net-Zero Mandate'!$F$2:$F$28</definedName>
    <definedName name="_xlchart.v1.5" hidden="1">'Net-Zero Mandate'!$H$1</definedName>
    <definedName name="_xlchart.v1.6" hidden="1">'Net-Zero Mandate'!$H$2:$H$28</definedName>
    <definedName name="_xlchart.v1.7" hidden="1">'Net-Zero Mandate'!$I$1</definedName>
    <definedName name="_xlchart.v1.8" hidden="1">'Net-Zero Mandate'!$I$2:$I$28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87" i="3" l="1"/>
  <c r="B87" i="3"/>
  <c r="C87" i="3"/>
  <c r="D87" i="3"/>
  <c r="H87" i="3"/>
  <c r="D91" i="3"/>
  <c r="D92" i="3"/>
  <c r="D93" i="3"/>
  <c r="D94" i="3"/>
  <c r="D95" i="3"/>
  <c r="D96" i="3"/>
  <c r="D97" i="3"/>
  <c r="D98" i="3"/>
  <c r="D99" i="3"/>
  <c r="D100" i="3"/>
  <c r="D101" i="3"/>
  <c r="D102" i="3"/>
  <c r="D103" i="3"/>
  <c r="D104" i="3"/>
  <c r="D105" i="3"/>
  <c r="D106" i="3"/>
  <c r="D107" i="3"/>
  <c r="D108" i="3"/>
  <c r="D109" i="3"/>
  <c r="D110" i="3"/>
  <c r="D111" i="3"/>
  <c r="D112" i="3"/>
  <c r="D113" i="3"/>
  <c r="D114" i="3"/>
  <c r="D115" i="3"/>
  <c r="D116" i="3"/>
  <c r="D90" i="3"/>
  <c r="A91" i="3"/>
  <c r="B91" i="3"/>
  <c r="C91" i="3"/>
  <c r="A92" i="3"/>
  <c r="B92" i="3"/>
  <c r="C92" i="3"/>
  <c r="F92" i="3" s="1"/>
  <c r="A93" i="3"/>
  <c r="B93" i="3"/>
  <c r="C93" i="3"/>
  <c r="A94" i="3"/>
  <c r="B94" i="3"/>
  <c r="C94" i="3"/>
  <c r="A95" i="3"/>
  <c r="B95" i="3"/>
  <c r="C95" i="3"/>
  <c r="E95" i="3" s="1"/>
  <c r="A96" i="3"/>
  <c r="B96" i="3"/>
  <c r="C96" i="3"/>
  <c r="A97" i="3"/>
  <c r="B97" i="3"/>
  <c r="C97" i="3"/>
  <c r="A98" i="3"/>
  <c r="B98" i="3"/>
  <c r="C98" i="3"/>
  <c r="I98" i="3" s="1"/>
  <c r="A99" i="3"/>
  <c r="B99" i="3"/>
  <c r="C99" i="3"/>
  <c r="G99" i="3" s="1"/>
  <c r="A100" i="3"/>
  <c r="B100" i="3"/>
  <c r="C100" i="3"/>
  <c r="G100" i="3" s="1"/>
  <c r="A101" i="3"/>
  <c r="B101" i="3"/>
  <c r="C101" i="3"/>
  <c r="A102" i="3"/>
  <c r="B102" i="3"/>
  <c r="C102" i="3"/>
  <c r="F102" i="3" s="1"/>
  <c r="A103" i="3"/>
  <c r="B103" i="3"/>
  <c r="C103" i="3"/>
  <c r="A104" i="3"/>
  <c r="B104" i="3"/>
  <c r="C104" i="3"/>
  <c r="A105" i="3"/>
  <c r="B105" i="3"/>
  <c r="C105" i="3"/>
  <c r="A106" i="3"/>
  <c r="B106" i="3"/>
  <c r="C106" i="3"/>
  <c r="A107" i="3"/>
  <c r="B107" i="3"/>
  <c r="C107" i="3"/>
  <c r="A108" i="3"/>
  <c r="B108" i="3"/>
  <c r="C108" i="3"/>
  <c r="A109" i="3"/>
  <c r="B109" i="3"/>
  <c r="C109" i="3"/>
  <c r="A110" i="3"/>
  <c r="B110" i="3"/>
  <c r="C110" i="3"/>
  <c r="G110" i="3" s="1"/>
  <c r="A111" i="3"/>
  <c r="B111" i="3"/>
  <c r="C111" i="3"/>
  <c r="A112" i="3"/>
  <c r="B112" i="3"/>
  <c r="C112" i="3"/>
  <c r="G112" i="3" s="1"/>
  <c r="A113" i="3"/>
  <c r="B113" i="3"/>
  <c r="C113" i="3"/>
  <c r="A114" i="3"/>
  <c r="B114" i="3"/>
  <c r="C114" i="3"/>
  <c r="A115" i="3"/>
  <c r="B115" i="3"/>
  <c r="C115" i="3"/>
  <c r="H115" i="3" s="1"/>
  <c r="A116" i="3"/>
  <c r="B116" i="3"/>
  <c r="C116" i="3"/>
  <c r="B90" i="3"/>
  <c r="A90" i="3"/>
  <c r="C90" i="3"/>
  <c r="I90" i="3" s="1"/>
  <c r="I114" i="3"/>
  <c r="I113" i="3"/>
  <c r="G111" i="3"/>
  <c r="E109" i="3"/>
  <c r="E108" i="3"/>
  <c r="E107" i="3"/>
  <c r="E106" i="3"/>
  <c r="E105" i="3"/>
  <c r="I104" i="3"/>
  <c r="F103" i="3"/>
  <c r="G101" i="3"/>
  <c r="E97" i="3"/>
  <c r="E96" i="3"/>
  <c r="E94" i="3"/>
  <c r="E93" i="3"/>
  <c r="F91" i="3"/>
  <c r="D89" i="3"/>
  <c r="C89" i="3"/>
  <c r="B89" i="3"/>
  <c r="H86" i="3"/>
  <c r="I85" i="3"/>
  <c r="I84" i="3"/>
  <c r="G83" i="3"/>
  <c r="G82" i="3"/>
  <c r="G81" i="3"/>
  <c r="E80" i="3"/>
  <c r="E79" i="3"/>
  <c r="E78" i="3"/>
  <c r="E77" i="3"/>
  <c r="E76" i="3"/>
  <c r="I75" i="3"/>
  <c r="F74" i="3"/>
  <c r="F73" i="3"/>
  <c r="G72" i="3"/>
  <c r="G71" i="3"/>
  <c r="G70" i="3"/>
  <c r="I69" i="3"/>
  <c r="E68" i="3"/>
  <c r="E67" i="3"/>
  <c r="E66" i="3"/>
  <c r="E65" i="3"/>
  <c r="E64" i="3"/>
  <c r="F63" i="3"/>
  <c r="F62" i="3"/>
  <c r="I61" i="3"/>
  <c r="C61" i="3"/>
  <c r="C62" i="3"/>
  <c r="C63" i="3"/>
  <c r="C64" i="3"/>
  <c r="C65" i="3"/>
  <c r="C66" i="3"/>
  <c r="C67" i="3"/>
  <c r="C68" i="3"/>
  <c r="C69" i="3"/>
  <c r="C70" i="3"/>
  <c r="C71" i="3"/>
  <c r="C72" i="3"/>
  <c r="C73" i="3"/>
  <c r="C74" i="3"/>
  <c r="C75" i="3"/>
  <c r="C76" i="3"/>
  <c r="C77" i="3"/>
  <c r="C78" i="3"/>
  <c r="C79" i="3"/>
  <c r="C80" i="3"/>
  <c r="C81" i="3"/>
  <c r="C82" i="3"/>
  <c r="C83" i="3"/>
  <c r="C84" i="3"/>
  <c r="C85" i="3"/>
  <c r="C86" i="3"/>
  <c r="C60" i="3"/>
  <c r="A62" i="3"/>
  <c r="B62" i="3"/>
  <c r="D62" i="3"/>
  <c r="A63" i="3"/>
  <c r="B63" i="3"/>
  <c r="D63" i="3"/>
  <c r="A64" i="3"/>
  <c r="B64" i="3"/>
  <c r="D64" i="3"/>
  <c r="A65" i="3"/>
  <c r="B65" i="3"/>
  <c r="D65" i="3"/>
  <c r="A66" i="3"/>
  <c r="B66" i="3"/>
  <c r="D66" i="3"/>
  <c r="A67" i="3"/>
  <c r="B67" i="3"/>
  <c r="D67" i="3"/>
  <c r="A68" i="3"/>
  <c r="B68" i="3"/>
  <c r="D68" i="3"/>
  <c r="A69" i="3"/>
  <c r="B69" i="3"/>
  <c r="D69" i="3"/>
  <c r="A70" i="3"/>
  <c r="B70" i="3"/>
  <c r="D70" i="3"/>
  <c r="A71" i="3"/>
  <c r="B71" i="3"/>
  <c r="D71" i="3"/>
  <c r="A72" i="3"/>
  <c r="B72" i="3"/>
  <c r="D72" i="3"/>
  <c r="A73" i="3"/>
  <c r="B73" i="3"/>
  <c r="D73" i="3"/>
  <c r="A74" i="3"/>
  <c r="B74" i="3"/>
  <c r="D74" i="3"/>
  <c r="A75" i="3"/>
  <c r="B75" i="3"/>
  <c r="D75" i="3"/>
  <c r="A76" i="3"/>
  <c r="B76" i="3"/>
  <c r="D76" i="3"/>
  <c r="A77" i="3"/>
  <c r="B77" i="3"/>
  <c r="D77" i="3"/>
  <c r="A78" i="3"/>
  <c r="B78" i="3"/>
  <c r="D78" i="3"/>
  <c r="A79" i="3"/>
  <c r="B79" i="3"/>
  <c r="D79" i="3"/>
  <c r="A80" i="3"/>
  <c r="B80" i="3"/>
  <c r="D80" i="3"/>
  <c r="A81" i="3"/>
  <c r="B81" i="3"/>
  <c r="D81" i="3"/>
  <c r="A82" i="3"/>
  <c r="B82" i="3"/>
  <c r="D82" i="3"/>
  <c r="A83" i="3"/>
  <c r="B83" i="3"/>
  <c r="D83" i="3"/>
  <c r="A84" i="3"/>
  <c r="B84" i="3"/>
  <c r="D84" i="3"/>
  <c r="A85" i="3"/>
  <c r="B85" i="3"/>
  <c r="D85" i="3"/>
  <c r="A86" i="3"/>
  <c r="B86" i="3"/>
  <c r="D86" i="3"/>
  <c r="H116" i="3" s="1"/>
  <c r="B60" i="3"/>
  <c r="D60" i="3"/>
  <c r="E60" i="3"/>
  <c r="F60" i="3"/>
  <c r="G60" i="3"/>
  <c r="H60" i="3"/>
  <c r="I60" i="3"/>
  <c r="B61" i="3"/>
  <c r="D61" i="3"/>
  <c r="A61" i="3"/>
  <c r="I3" i="3"/>
  <c r="I4" i="3"/>
  <c r="I5" i="3"/>
  <c r="I6" i="3"/>
  <c r="I7" i="3"/>
  <c r="I8" i="3"/>
  <c r="I9" i="3"/>
  <c r="I10" i="3"/>
  <c r="I11" i="3"/>
  <c r="I12" i="3"/>
  <c r="I13" i="3"/>
  <c r="I14" i="3"/>
  <c r="I15" i="3"/>
  <c r="I16" i="3"/>
  <c r="I17" i="3"/>
  <c r="I18" i="3"/>
  <c r="I19" i="3"/>
  <c r="I20" i="3"/>
  <c r="I21" i="3"/>
  <c r="I22" i="3"/>
  <c r="I23" i="3"/>
  <c r="I24" i="3"/>
  <c r="I25" i="3"/>
  <c r="I26" i="3"/>
  <c r="I27" i="3"/>
  <c r="I28" i="3"/>
  <c r="I2" i="3"/>
  <c r="H28" i="3"/>
  <c r="H27" i="3"/>
  <c r="H26" i="3"/>
  <c r="H25" i="3"/>
  <c r="H24" i="3"/>
  <c r="H23" i="3"/>
  <c r="H22" i="3"/>
  <c r="H21" i="3"/>
  <c r="H20" i="3"/>
  <c r="H19" i="3"/>
  <c r="H18" i="3"/>
  <c r="H17" i="3"/>
  <c r="H16" i="3"/>
  <c r="H15" i="3"/>
  <c r="H14" i="3"/>
  <c r="H13" i="3"/>
  <c r="H12" i="3"/>
  <c r="H11" i="3"/>
  <c r="H10" i="3"/>
  <c r="H9" i="3"/>
  <c r="H8" i="3"/>
  <c r="H7" i="3"/>
  <c r="H6" i="3"/>
  <c r="H5" i="3"/>
  <c r="H4" i="3"/>
  <c r="H3" i="3"/>
  <c r="H2" i="3"/>
  <c r="F28" i="3"/>
  <c r="F27" i="3"/>
  <c r="F26" i="3"/>
  <c r="F25" i="3"/>
  <c r="F24" i="3"/>
  <c r="F23" i="3"/>
  <c r="F22" i="3"/>
  <c r="F21" i="3"/>
  <c r="F20" i="3"/>
  <c r="F19" i="3"/>
  <c r="F18" i="3"/>
  <c r="F17" i="3"/>
  <c r="F16" i="3"/>
  <c r="F15" i="3"/>
  <c r="F14" i="3"/>
  <c r="F13" i="3"/>
  <c r="F12" i="3"/>
  <c r="F11" i="3"/>
  <c r="F10" i="3"/>
  <c r="F9" i="3"/>
  <c r="F8" i="3"/>
  <c r="F7" i="3"/>
  <c r="F6" i="3"/>
  <c r="F5" i="3"/>
  <c r="F4" i="3"/>
  <c r="F3" i="3"/>
  <c r="F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1" i="3"/>
  <c r="D22" i="3"/>
  <c r="D23" i="3"/>
  <c r="D24" i="3"/>
  <c r="D25" i="3"/>
  <c r="D26" i="3"/>
  <c r="D27" i="3"/>
  <c r="D28" i="3"/>
  <c r="D2" i="3"/>
  <c r="K31" i="2"/>
  <c r="J31" i="2"/>
  <c r="G31" i="2"/>
  <c r="F31" i="2"/>
  <c r="I31" i="2" s="1"/>
  <c r="C31" i="2"/>
  <c r="B31" i="2"/>
  <c r="E31" i="2" s="1"/>
  <c r="K30" i="2"/>
  <c r="J30" i="2"/>
  <c r="M30" i="2" s="1"/>
  <c r="G30" i="2"/>
  <c r="F30" i="2"/>
  <c r="I30" i="2" s="1"/>
  <c r="C30" i="2"/>
  <c r="B30" i="2"/>
  <c r="K29" i="2"/>
  <c r="J29" i="2"/>
  <c r="M29" i="2" s="1"/>
  <c r="G29" i="2"/>
  <c r="F29" i="2"/>
  <c r="I29" i="2" s="1"/>
  <c r="C29" i="2"/>
  <c r="B29" i="2"/>
  <c r="E29" i="2" s="1"/>
  <c r="K28" i="2"/>
  <c r="J28" i="2"/>
  <c r="M28" i="2" s="1"/>
  <c r="G28" i="2"/>
  <c r="F28" i="2"/>
  <c r="C28" i="2"/>
  <c r="B28" i="2"/>
  <c r="K27" i="2"/>
  <c r="J27" i="2"/>
  <c r="M27" i="2" s="1"/>
  <c r="G27" i="2"/>
  <c r="F27" i="2"/>
  <c r="C27" i="2"/>
  <c r="B27" i="2"/>
  <c r="E27" i="2" s="1"/>
  <c r="K26" i="2"/>
  <c r="J26" i="2"/>
  <c r="G26" i="2"/>
  <c r="F26" i="2"/>
  <c r="I26" i="2" s="1"/>
  <c r="C26" i="2"/>
  <c r="B26" i="2"/>
  <c r="E26" i="2" s="1"/>
  <c r="K25" i="2"/>
  <c r="J25" i="2"/>
  <c r="M25" i="2" s="1"/>
  <c r="G25" i="2"/>
  <c r="F25" i="2"/>
  <c r="C25" i="2"/>
  <c r="B25" i="2"/>
  <c r="K24" i="2"/>
  <c r="J24" i="2"/>
  <c r="M24" i="2" s="1"/>
  <c r="G24" i="2"/>
  <c r="F24" i="2"/>
  <c r="I24" i="2" s="1"/>
  <c r="C24" i="2"/>
  <c r="B24" i="2"/>
  <c r="E24" i="2" s="1"/>
  <c r="K23" i="2"/>
  <c r="J23" i="2"/>
  <c r="M23" i="2" s="1"/>
  <c r="G23" i="2"/>
  <c r="F23" i="2"/>
  <c r="C23" i="2"/>
  <c r="B23" i="2"/>
  <c r="E23" i="2" s="1"/>
  <c r="K22" i="2"/>
  <c r="J22" i="2"/>
  <c r="M22" i="2" s="1"/>
  <c r="G22" i="2"/>
  <c r="F22" i="2"/>
  <c r="I22" i="2" s="1"/>
  <c r="C22" i="2"/>
  <c r="B22" i="2"/>
  <c r="E22" i="2" s="1"/>
  <c r="K21" i="2"/>
  <c r="J21" i="2"/>
  <c r="G21" i="2"/>
  <c r="F21" i="2"/>
  <c r="I21" i="2" s="1"/>
  <c r="C21" i="2"/>
  <c r="B21" i="2"/>
  <c r="E21" i="2" s="1"/>
  <c r="K20" i="2"/>
  <c r="J20" i="2"/>
  <c r="M20" i="2" s="1"/>
  <c r="G20" i="2"/>
  <c r="F20" i="2"/>
  <c r="I20" i="2" s="1"/>
  <c r="C20" i="2"/>
  <c r="B20" i="2"/>
  <c r="K19" i="2"/>
  <c r="J19" i="2"/>
  <c r="M19" i="2" s="1"/>
  <c r="G19" i="2"/>
  <c r="F19" i="2"/>
  <c r="I19" i="2" s="1"/>
  <c r="C19" i="2"/>
  <c r="B19" i="2"/>
  <c r="E19" i="2" s="1"/>
  <c r="K18" i="2"/>
  <c r="J18" i="2"/>
  <c r="M18" i="2" s="1"/>
  <c r="G18" i="2"/>
  <c r="F18" i="2"/>
  <c r="C18" i="2"/>
  <c r="B18" i="2"/>
  <c r="J19" i="1"/>
  <c r="M19" i="1" s="1"/>
  <c r="K19" i="1"/>
  <c r="J20" i="1"/>
  <c r="M20" i="1" s="1"/>
  <c r="K20" i="1"/>
  <c r="J21" i="1"/>
  <c r="L21" i="1" s="1"/>
  <c r="K21" i="1"/>
  <c r="J22" i="1"/>
  <c r="L22" i="1" s="1"/>
  <c r="K22" i="1"/>
  <c r="J23" i="1"/>
  <c r="L23" i="1" s="1"/>
  <c r="K23" i="1"/>
  <c r="J24" i="1"/>
  <c r="K24" i="1"/>
  <c r="J25" i="1"/>
  <c r="L25" i="1" s="1"/>
  <c r="K25" i="1"/>
  <c r="J26" i="1"/>
  <c r="L26" i="1" s="1"/>
  <c r="K26" i="1"/>
  <c r="J27" i="1"/>
  <c r="K27" i="1"/>
  <c r="J28" i="1"/>
  <c r="M28" i="1" s="1"/>
  <c r="K28" i="1"/>
  <c r="J29" i="1"/>
  <c r="M29" i="1" s="1"/>
  <c r="K29" i="1"/>
  <c r="J30" i="1"/>
  <c r="K30" i="1"/>
  <c r="J31" i="1"/>
  <c r="K31" i="1"/>
  <c r="F19" i="1"/>
  <c r="G19" i="1"/>
  <c r="F20" i="1"/>
  <c r="G20" i="1"/>
  <c r="H20" i="1" s="1"/>
  <c r="F21" i="1"/>
  <c r="H21" i="1" s="1"/>
  <c r="G21" i="1"/>
  <c r="F22" i="1"/>
  <c r="G22" i="1"/>
  <c r="H22" i="1" s="1"/>
  <c r="F23" i="1"/>
  <c r="H23" i="1" s="1"/>
  <c r="G23" i="1"/>
  <c r="F24" i="1"/>
  <c r="I24" i="1" s="1"/>
  <c r="G24" i="1"/>
  <c r="F25" i="1"/>
  <c r="G25" i="1"/>
  <c r="F26" i="1"/>
  <c r="G26" i="1"/>
  <c r="F27" i="1"/>
  <c r="I27" i="1" s="1"/>
  <c r="G27" i="1"/>
  <c r="H27" i="1" s="1"/>
  <c r="F28" i="1"/>
  <c r="H28" i="1" s="1"/>
  <c r="G28" i="1"/>
  <c r="F29" i="1"/>
  <c r="G29" i="1"/>
  <c r="F30" i="1"/>
  <c r="I30" i="1" s="1"/>
  <c r="G30" i="1"/>
  <c r="F31" i="1"/>
  <c r="I31" i="1" s="1"/>
  <c r="G31" i="1"/>
  <c r="K18" i="1"/>
  <c r="J18" i="1"/>
  <c r="L18" i="1"/>
  <c r="G18" i="1"/>
  <c r="F18" i="1"/>
  <c r="I18" i="1" s="1"/>
  <c r="L15" i="1"/>
  <c r="L14" i="1"/>
  <c r="L13" i="1"/>
  <c r="L12" i="1"/>
  <c r="L11" i="1"/>
  <c r="L10" i="1"/>
  <c r="L9" i="1"/>
  <c r="L8" i="1"/>
  <c r="L7" i="1"/>
  <c r="L6" i="1"/>
  <c r="L5" i="1"/>
  <c r="L4" i="1"/>
  <c r="L3" i="1"/>
  <c r="L2" i="1"/>
  <c r="H15" i="1"/>
  <c r="H14" i="1"/>
  <c r="H13" i="1"/>
  <c r="H12" i="1"/>
  <c r="H11" i="1"/>
  <c r="H10" i="1"/>
  <c r="H9" i="1"/>
  <c r="H8" i="1"/>
  <c r="H7" i="1"/>
  <c r="H6" i="1"/>
  <c r="H5" i="1"/>
  <c r="H4" i="1"/>
  <c r="H3" i="1"/>
  <c r="H2" i="1"/>
  <c r="L31" i="1"/>
  <c r="L30" i="1"/>
  <c r="L29" i="1"/>
  <c r="L28" i="1"/>
  <c r="L27" i="1"/>
  <c r="L24" i="1"/>
  <c r="L20" i="1"/>
  <c r="H29" i="1"/>
  <c r="H26" i="1"/>
  <c r="H25" i="1"/>
  <c r="H19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3" i="1"/>
  <c r="D4" i="1"/>
  <c r="D5" i="1"/>
  <c r="D6" i="1"/>
  <c r="D7" i="1"/>
  <c r="D8" i="1"/>
  <c r="D9" i="1"/>
  <c r="D10" i="1"/>
  <c r="D11" i="1"/>
  <c r="D12" i="1"/>
  <c r="D13" i="1"/>
  <c r="D14" i="1"/>
  <c r="D15" i="1"/>
  <c r="D2" i="1"/>
  <c r="B19" i="1"/>
  <c r="C19" i="1"/>
  <c r="B20" i="1"/>
  <c r="C20" i="1"/>
  <c r="B21" i="1"/>
  <c r="E21" i="1" s="1"/>
  <c r="C21" i="1"/>
  <c r="B22" i="1"/>
  <c r="C22" i="1"/>
  <c r="B23" i="1"/>
  <c r="C23" i="1"/>
  <c r="B24" i="1"/>
  <c r="C24" i="1"/>
  <c r="B25" i="1"/>
  <c r="E25" i="1" s="1"/>
  <c r="C25" i="1"/>
  <c r="B26" i="1"/>
  <c r="E26" i="1" s="1"/>
  <c r="C26" i="1"/>
  <c r="B27" i="1"/>
  <c r="E27" i="1" s="1"/>
  <c r="C27" i="1"/>
  <c r="B28" i="1"/>
  <c r="C28" i="1"/>
  <c r="B29" i="1"/>
  <c r="C29" i="1"/>
  <c r="B30" i="1"/>
  <c r="C30" i="1"/>
  <c r="B31" i="1"/>
  <c r="C31" i="1"/>
  <c r="C18" i="1"/>
  <c r="B18" i="1"/>
  <c r="M31" i="1"/>
  <c r="E31" i="1"/>
  <c r="M30" i="1"/>
  <c r="E30" i="1"/>
  <c r="I29" i="1"/>
  <c r="E29" i="1"/>
  <c r="I28" i="1"/>
  <c r="E28" i="1"/>
  <c r="M27" i="1"/>
  <c r="M26" i="1"/>
  <c r="I26" i="1"/>
  <c r="I25" i="1"/>
  <c r="M24" i="1"/>
  <c r="E24" i="1"/>
  <c r="I23" i="1"/>
  <c r="E23" i="1"/>
  <c r="E22" i="1"/>
  <c r="M21" i="1"/>
  <c r="I20" i="1"/>
  <c r="E20" i="1"/>
  <c r="I19" i="1"/>
  <c r="E19" i="1"/>
  <c r="M21" i="2" l="1"/>
  <c r="M31" i="2"/>
  <c r="M26" i="2"/>
  <c r="I18" i="2"/>
  <c r="I25" i="2"/>
  <c r="I23" i="2"/>
  <c r="I27" i="2"/>
  <c r="I28" i="2"/>
  <c r="E25" i="2"/>
  <c r="E20" i="2"/>
  <c r="E30" i="2"/>
  <c r="E18" i="2"/>
  <c r="E28" i="2"/>
  <c r="H18" i="2"/>
  <c r="D20" i="2"/>
  <c r="L21" i="2"/>
  <c r="H23" i="2"/>
  <c r="D25" i="2"/>
  <c r="L26" i="2"/>
  <c r="H28" i="2"/>
  <c r="D30" i="2"/>
  <c r="L31" i="2"/>
  <c r="L18" i="2"/>
  <c r="H20" i="2"/>
  <c r="D22" i="2"/>
  <c r="L23" i="2"/>
  <c r="H25" i="2"/>
  <c r="D27" i="2"/>
  <c r="L28" i="2"/>
  <c r="H30" i="2"/>
  <c r="D19" i="2"/>
  <c r="L20" i="2"/>
  <c r="H22" i="2"/>
  <c r="D24" i="2"/>
  <c r="L25" i="2"/>
  <c r="H27" i="2"/>
  <c r="D29" i="2"/>
  <c r="L30" i="2"/>
  <c r="H19" i="2"/>
  <c r="D21" i="2"/>
  <c r="L22" i="2"/>
  <c r="H24" i="2"/>
  <c r="D26" i="2"/>
  <c r="L27" i="2"/>
  <c r="H29" i="2"/>
  <c r="D31" i="2"/>
  <c r="D18" i="2"/>
  <c r="L19" i="2"/>
  <c r="H21" i="2"/>
  <c r="D23" i="2"/>
  <c r="L24" i="2"/>
  <c r="H26" i="2"/>
  <c r="D28" i="2"/>
  <c r="L29" i="2"/>
  <c r="H31" i="2"/>
  <c r="M22" i="1"/>
  <c r="L19" i="1"/>
  <c r="M23" i="1"/>
  <c r="M25" i="1"/>
  <c r="H24" i="1"/>
  <c r="H30" i="1"/>
  <c r="H31" i="1"/>
  <c r="I21" i="1"/>
  <c r="I22" i="1"/>
  <c r="M18" i="1"/>
  <c r="H18" i="1"/>
  <c r="E18" i="1"/>
  <c r="H27" i="5"/>
  <c r="H28" i="5"/>
  <c r="H26" i="5"/>
  <c r="J20" i="5"/>
  <c r="I29" i="5"/>
  <c r="G19" i="5"/>
  <c r="G18" i="5"/>
  <c r="G17" i="5"/>
  <c r="G16" i="5"/>
  <c r="G2" i="5"/>
  <c r="F22" i="5"/>
  <c r="F23" i="5"/>
  <c r="F24" i="5"/>
  <c r="F25" i="5"/>
  <c r="F21" i="5"/>
  <c r="F10" i="5"/>
  <c r="F6" i="5"/>
  <c r="C17" i="5"/>
  <c r="D17" i="5"/>
  <c r="C18" i="5"/>
  <c r="D18" i="5"/>
  <c r="C19" i="5"/>
  <c r="D19" i="5"/>
  <c r="C20" i="5"/>
  <c r="D20" i="5"/>
  <c r="C21" i="5"/>
  <c r="D21" i="5"/>
  <c r="C22" i="5"/>
  <c r="D22" i="5"/>
  <c r="C23" i="5"/>
  <c r="D23" i="5"/>
  <c r="C24" i="5"/>
  <c r="D24" i="5"/>
  <c r="C25" i="5"/>
  <c r="D25" i="5"/>
  <c r="C26" i="5"/>
  <c r="D26" i="5"/>
  <c r="C27" i="5"/>
  <c r="D27" i="5"/>
  <c r="C28" i="5"/>
  <c r="D28" i="5"/>
  <c r="C29" i="5"/>
  <c r="D29" i="5"/>
  <c r="D16" i="5"/>
  <c r="C16" i="5"/>
  <c r="C2" i="5"/>
  <c r="D2" i="5"/>
  <c r="C3" i="5"/>
  <c r="G3" i="5" s="1"/>
  <c r="D3" i="5"/>
  <c r="C4" i="5"/>
  <c r="G4" i="5" s="1"/>
  <c r="D4" i="5"/>
  <c r="C5" i="5"/>
  <c r="G5" i="5" s="1"/>
  <c r="D5" i="5"/>
  <c r="C6" i="5"/>
  <c r="D6" i="5"/>
  <c r="C7" i="5"/>
  <c r="F7" i="5" s="1"/>
  <c r="D7" i="5"/>
  <c r="C8" i="5"/>
  <c r="F8" i="5" s="1"/>
  <c r="D8" i="5"/>
  <c r="C9" i="5"/>
  <c r="F9" i="5" s="1"/>
  <c r="D9" i="5"/>
  <c r="C10" i="5"/>
  <c r="D10" i="5"/>
  <c r="C11" i="5"/>
  <c r="J11" i="5" s="1"/>
  <c r="D11" i="5"/>
  <c r="C12" i="5"/>
  <c r="H12" i="5" s="1"/>
  <c r="D12" i="5"/>
  <c r="C13" i="5"/>
  <c r="H13" i="5" s="1"/>
  <c r="D13" i="5"/>
  <c r="C14" i="5"/>
  <c r="H14" i="5" s="1"/>
  <c r="D14" i="5"/>
  <c r="C15" i="5"/>
  <c r="I15" i="5" s="1"/>
  <c r="D15" i="5"/>
  <c r="D1" i="5"/>
  <c r="C1" i="5"/>
  <c r="A24" i="5"/>
  <c r="A25" i="5"/>
  <c r="A26" i="5"/>
  <c r="A27" i="5"/>
  <c r="A28" i="5"/>
  <c r="A29" i="5"/>
  <c r="A17" i="5"/>
  <c r="A18" i="5"/>
  <c r="A19" i="5"/>
  <c r="A20" i="5"/>
  <c r="A21" i="5"/>
  <c r="A22" i="5"/>
  <c r="A23" i="5"/>
  <c r="A16" i="5"/>
  <c r="A2" i="5"/>
  <c r="A3" i="5"/>
  <c r="A4" i="5"/>
  <c r="A5" i="5"/>
  <c r="A6" i="5"/>
  <c r="A7" i="5"/>
  <c r="A8" i="5"/>
  <c r="A9" i="5"/>
  <c r="A10" i="5"/>
  <c r="A11" i="5"/>
  <c r="A12" i="5"/>
  <c r="A13" i="5"/>
  <c r="A14" i="5"/>
  <c r="A15" i="5"/>
  <c r="A1" i="5"/>
  <c r="I32" i="3"/>
  <c r="G54" i="3"/>
  <c r="G53" i="3"/>
  <c r="G43" i="3"/>
  <c r="F45" i="3"/>
  <c r="F44" i="3"/>
  <c r="F34" i="3"/>
  <c r="E48" i="3"/>
  <c r="E49" i="3"/>
  <c r="E50" i="3"/>
  <c r="E51" i="3"/>
  <c r="E38" i="3"/>
  <c r="C31" i="3"/>
  <c r="A57" i="3"/>
  <c r="B57" i="3"/>
  <c r="C57" i="3"/>
  <c r="H57" i="3" s="1"/>
  <c r="D57" i="3"/>
  <c r="A58" i="3"/>
  <c r="B58" i="3"/>
  <c r="C58" i="3"/>
  <c r="H58" i="3" s="1"/>
  <c r="D58" i="3"/>
  <c r="A32" i="3"/>
  <c r="B32" i="3"/>
  <c r="C32" i="3"/>
  <c r="D32" i="3"/>
  <c r="A33" i="3"/>
  <c r="B33" i="3"/>
  <c r="C33" i="3"/>
  <c r="F33" i="3" s="1"/>
  <c r="D33" i="3"/>
  <c r="A34" i="3"/>
  <c r="B34" i="3"/>
  <c r="C34" i="3"/>
  <c r="D34" i="3"/>
  <c r="A35" i="3"/>
  <c r="B35" i="3"/>
  <c r="C35" i="3"/>
  <c r="E35" i="3" s="1"/>
  <c r="D35" i="3"/>
  <c r="A36" i="3"/>
  <c r="B36" i="3"/>
  <c r="C36" i="3"/>
  <c r="E36" i="3" s="1"/>
  <c r="D36" i="3"/>
  <c r="A37" i="3"/>
  <c r="B37" i="3"/>
  <c r="C37" i="3"/>
  <c r="E37" i="3" s="1"/>
  <c r="D37" i="3"/>
  <c r="A38" i="3"/>
  <c r="B38" i="3"/>
  <c r="C38" i="3"/>
  <c r="D38" i="3"/>
  <c r="A39" i="3"/>
  <c r="B39" i="3"/>
  <c r="C39" i="3"/>
  <c r="E39" i="3" s="1"/>
  <c r="D39" i="3"/>
  <c r="A40" i="3"/>
  <c r="B40" i="3"/>
  <c r="C40" i="3"/>
  <c r="I40" i="3" s="1"/>
  <c r="D40" i="3"/>
  <c r="A41" i="3"/>
  <c r="B41" i="3"/>
  <c r="C41" i="3"/>
  <c r="G41" i="3" s="1"/>
  <c r="D41" i="3"/>
  <c r="A42" i="3"/>
  <c r="B42" i="3"/>
  <c r="C42" i="3"/>
  <c r="G42" i="3" s="1"/>
  <c r="D42" i="3"/>
  <c r="A43" i="3"/>
  <c r="B43" i="3"/>
  <c r="C43" i="3"/>
  <c r="D43" i="3"/>
  <c r="A44" i="3"/>
  <c r="B44" i="3"/>
  <c r="C44" i="3"/>
  <c r="D44" i="3"/>
  <c r="A45" i="3"/>
  <c r="B45" i="3"/>
  <c r="C45" i="3"/>
  <c r="D45" i="3"/>
  <c r="A46" i="3"/>
  <c r="B46" i="3"/>
  <c r="C46" i="3"/>
  <c r="I46" i="3" s="1"/>
  <c r="D46" i="3"/>
  <c r="A47" i="3"/>
  <c r="B47" i="3"/>
  <c r="C47" i="3"/>
  <c r="E47" i="3" s="1"/>
  <c r="D47" i="3"/>
  <c r="A48" i="3"/>
  <c r="B48" i="3"/>
  <c r="C48" i="3"/>
  <c r="D48" i="3"/>
  <c r="A49" i="3"/>
  <c r="B49" i="3"/>
  <c r="C49" i="3"/>
  <c r="D49" i="3"/>
  <c r="A50" i="3"/>
  <c r="B50" i="3"/>
  <c r="C50" i="3"/>
  <c r="D50" i="3"/>
  <c r="A51" i="3"/>
  <c r="B51" i="3"/>
  <c r="C51" i="3"/>
  <c r="D51" i="3"/>
  <c r="A52" i="3"/>
  <c r="B52" i="3"/>
  <c r="C52" i="3"/>
  <c r="G52" i="3" s="1"/>
  <c r="D52" i="3"/>
  <c r="A53" i="3"/>
  <c r="B53" i="3"/>
  <c r="C53" i="3"/>
  <c r="D53" i="3"/>
  <c r="A54" i="3"/>
  <c r="B54" i="3"/>
  <c r="C54" i="3"/>
  <c r="D54" i="3"/>
  <c r="A55" i="3"/>
  <c r="B55" i="3"/>
  <c r="C55" i="3"/>
  <c r="I55" i="3" s="1"/>
  <c r="D55" i="3"/>
  <c r="A56" i="3"/>
  <c r="B56" i="3"/>
  <c r="C56" i="3"/>
  <c r="I56" i="3" s="1"/>
  <c r="D56" i="3"/>
  <c r="D31" i="3"/>
  <c r="B31" i="3"/>
  <c r="M15" i="2"/>
  <c r="M14" i="2"/>
  <c r="M13" i="2"/>
  <c r="M12" i="2"/>
  <c r="M11" i="2"/>
  <c r="M10" i="2"/>
  <c r="M9" i="2"/>
  <c r="M8" i="2"/>
  <c r="M7" i="2"/>
  <c r="M6" i="2"/>
  <c r="M5" i="2"/>
  <c r="M4" i="2"/>
  <c r="M3" i="2"/>
  <c r="M2" i="2"/>
  <c r="I15" i="2"/>
  <c r="I14" i="2"/>
  <c r="I13" i="2"/>
  <c r="I12" i="2"/>
  <c r="I11" i="2"/>
  <c r="I10" i="2"/>
  <c r="I9" i="2"/>
  <c r="I8" i="2"/>
  <c r="I7" i="2"/>
  <c r="I6" i="2"/>
  <c r="I5" i="2"/>
  <c r="I4" i="2"/>
  <c r="I3" i="2"/>
  <c r="I2" i="2"/>
  <c r="E15" i="2"/>
  <c r="E14" i="2"/>
  <c r="E13" i="2"/>
  <c r="E12" i="2"/>
  <c r="E11" i="2"/>
  <c r="E10" i="2"/>
  <c r="E9" i="2"/>
  <c r="E8" i="2"/>
  <c r="E7" i="2"/>
  <c r="E6" i="2"/>
  <c r="E5" i="2"/>
  <c r="E4" i="2"/>
  <c r="E3" i="2"/>
  <c r="E2" i="2"/>
  <c r="M15" i="1"/>
  <c r="M14" i="1"/>
  <c r="M13" i="1"/>
  <c r="M12" i="1"/>
  <c r="M11" i="1"/>
  <c r="M10" i="1"/>
  <c r="M9" i="1"/>
  <c r="M8" i="1"/>
  <c r="M7" i="1"/>
  <c r="M6" i="1"/>
  <c r="M5" i="1"/>
  <c r="M4" i="1"/>
  <c r="M3" i="1"/>
  <c r="M2" i="1"/>
  <c r="I15" i="1"/>
  <c r="I14" i="1"/>
  <c r="I13" i="1"/>
  <c r="I12" i="1"/>
  <c r="I11" i="1"/>
  <c r="I10" i="1"/>
  <c r="I9" i="1"/>
  <c r="I8" i="1"/>
  <c r="I7" i="1"/>
  <c r="I6" i="1"/>
  <c r="I5" i="1"/>
  <c r="I4" i="1"/>
  <c r="I3" i="1"/>
  <c r="I2" i="1"/>
  <c r="E3" i="1"/>
  <c r="E4" i="1"/>
  <c r="E5" i="1"/>
  <c r="E6" i="1"/>
  <c r="E7" i="1"/>
  <c r="E8" i="1"/>
  <c r="E9" i="1"/>
  <c r="E10" i="1"/>
  <c r="E11" i="1"/>
  <c r="E12" i="1"/>
  <c r="E13" i="1"/>
  <c r="E14" i="1"/>
  <c r="E15" i="1"/>
  <c r="E2" i="1"/>
  <c r="O1" i="4"/>
  <c r="L1" i="4"/>
</calcChain>
</file>

<file path=xl/sharedStrings.xml><?xml version="1.0" encoding="utf-8"?>
<sst xmlns="http://schemas.openxmlformats.org/spreadsheetml/2006/main" count="347" uniqueCount="70">
  <si>
    <t>Scenario</t>
  </si>
  <si>
    <t>45Q-2040</t>
  </si>
  <si>
    <t>45Q-2050</t>
  </si>
  <si>
    <t>CDRIA-2035</t>
  </si>
  <si>
    <t>CDRIA-2050</t>
  </si>
  <si>
    <t>Innovation-maintain</t>
  </si>
  <si>
    <t>Innovation-DACHubs</t>
  </si>
  <si>
    <t>Innovation-rhodium6b</t>
  </si>
  <si>
    <t>Innovation-rhodium18b</t>
  </si>
  <si>
    <t>Innovation-triple</t>
  </si>
  <si>
    <t>Procure3B</t>
  </si>
  <si>
    <t>ProcureRhodium</t>
  </si>
  <si>
    <t>ProcureScaling</t>
  </si>
  <si>
    <t>Low Baseline</t>
  </si>
  <si>
    <t>High Baseline</t>
  </si>
  <si>
    <t>Benefits | 12.0%</t>
  </si>
  <si>
    <t>Costs | 12.0%</t>
  </si>
  <si>
    <t>Benefits/Costs | 12.0%</t>
  </si>
  <si>
    <t>Benefits-Costs | 12.0%</t>
  </si>
  <si>
    <t>Benefits | 20.0%</t>
  </si>
  <si>
    <t>Costs | 20.0%</t>
  </si>
  <si>
    <t>Benefits/Costs | 20.0%</t>
  </si>
  <si>
    <t>Benefits-Costs | 20.0%</t>
  </si>
  <si>
    <t>Units</t>
  </si>
  <si>
    <t>Million $USD or unitless</t>
  </si>
  <si>
    <t>2.4 Gt Baseline</t>
  </si>
  <si>
    <t>4.1 Gt Baseline</t>
  </si>
  <si>
    <t>100 Mt Baseline</t>
  </si>
  <si>
    <t>Baseline</t>
  </si>
  <si>
    <t>100 Mt</t>
  </si>
  <si>
    <t>500 Mt</t>
  </si>
  <si>
    <t>2.4 Gt</t>
  </si>
  <si>
    <t>1.5 Gt</t>
  </si>
  <si>
    <t>4.1 Gt</t>
  </si>
  <si>
    <t>NPV of Net Zero Mandate | 12.0% | Trillion $USD</t>
  </si>
  <si>
    <t>NPV of Net Zero Mandate | 20.0% | Trillion $USD</t>
  </si>
  <si>
    <t>B/C</t>
  </si>
  <si>
    <t>B/C Ranking</t>
  </si>
  <si>
    <t>Benefits | 2.0%</t>
  </si>
  <si>
    <t>Costs | 2.0%</t>
  </si>
  <si>
    <t>Benefits/Costs | 2.0%</t>
  </si>
  <si>
    <t>Benefits-Costs | 2.0%</t>
  </si>
  <si>
    <t>NPV of Net Zero Mandate | 2.0% | Trillion $USD</t>
  </si>
  <si>
    <t>Abatement size in 2050</t>
  </si>
  <si>
    <t>Correlation - NPV - Long</t>
  </si>
  <si>
    <t>Correlation - NPV - Medium</t>
  </si>
  <si>
    <t>NPV - Medium Term</t>
  </si>
  <si>
    <t>NPV - Medium Term Ranking</t>
  </si>
  <si>
    <t>NPV - Long Term</t>
  </si>
  <si>
    <t>NPV - Long Term Ranking</t>
  </si>
  <si>
    <t>Cost Decrease necessary in size of the CDR market in 2050</t>
  </si>
  <si>
    <t>Cost Decrease necessary in NPV of CDR market | 12.0% discount rate</t>
  </si>
  <si>
    <t>Cost Decrease necessary in NPV of CDR market | 2.0% discount rate</t>
  </si>
  <si>
    <t>Cost Decrease necessary in NPV of CDR market | 20.0% discount rate</t>
  </si>
  <si>
    <t>CDRIA-Rhodium18b</t>
  </si>
  <si>
    <t>Optimal</t>
  </si>
  <si>
    <t>Innovation</t>
  </si>
  <si>
    <t>Subsidy</t>
  </si>
  <si>
    <t>Procurement</t>
  </si>
  <si>
    <t>500Mt</t>
  </si>
  <si>
    <t>Marginal</t>
  </si>
  <si>
    <t>2% Benefits</t>
  </si>
  <si>
    <t>2% Costs</t>
  </si>
  <si>
    <t>12% Benefits</t>
  </si>
  <si>
    <t>12% Costs</t>
  </si>
  <si>
    <t>20% Benefits</t>
  </si>
  <si>
    <t>20% Costs</t>
  </si>
  <si>
    <t>t C</t>
  </si>
  <si>
    <t>tC</t>
  </si>
  <si>
    <t>tCO2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</si>
</sst>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8" formatCode="&quot;$&quot;#,##0.00_);[Red]\(&quot;$&quot;#,##0.00\)"/>
    <numFmt numFmtId="164" formatCode="&quot;$&quot;#,##0.00"/>
    <numFmt numFmtId="165" formatCode="0.000"/>
    <numFmt numFmtId="166" formatCode="&quot;$&quot;#,##0"/>
  </numFmts>
  <fonts count="4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8" fontId="0" fillId="0" borderId="0" xfId="0" applyNumberFormat="1"/>
    <xf numFmtId="0" fontId="2" fillId="0" borderId="0" xfId="0" applyFont="1"/>
    <xf numFmtId="0" fontId="1" fillId="0" borderId="0" xfId="0" applyFont="1"/>
    <xf numFmtId="164" fontId="0" fillId="0" borderId="0" xfId="0" applyNumberFormat="1"/>
    <xf numFmtId="165" fontId="0" fillId="0" borderId="0" xfId="0" applyNumberFormat="1"/>
    <xf numFmtId="166" fontId="0" fillId="0" borderId="0" xfId="0" applyNumberFormat="1"/>
    <xf numFmtId="9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Sheet1!$F$1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Sheet1!$F$2:$F$29</c:f>
              <c:numCache>
                <c:formatCode>General</c:formatCode>
                <c:ptCount val="28"/>
                <c:pt idx="4" formatCode="&quot;$&quot;#,##0.00_);[Red]\(&quot;$&quot;#,##0.00\)">
                  <c:v>-5718.2312864800897</c:v>
                </c:pt>
                <c:pt idx="5" formatCode="&quot;$&quot;#,##0.00_);[Red]\(&quot;$&quot;#,##0.00\)">
                  <c:v>-6100.3980291768003</c:v>
                </c:pt>
                <c:pt idx="6" formatCode="&quot;$&quot;#,##0.00_);[Red]\(&quot;$&quot;#,##0.00\)">
                  <c:v>-20972.403124771499</c:v>
                </c:pt>
                <c:pt idx="7" formatCode="&quot;$&quot;#,##0.00_);[Red]\(&quot;$&quot;#,##0.00\)">
                  <c:v>-9175.9801601351992</c:v>
                </c:pt>
                <c:pt idx="8" formatCode="&quot;$&quot;#,##0.00_);[Red]\(&quot;$&quot;#,##0.00\)">
                  <c:v>-10472.8845316388</c:v>
                </c:pt>
                <c:pt idx="19" formatCode="&quot;$&quot;#,##0.00_);[Red]\(&quot;$&quot;#,##0.00\)">
                  <c:v>-14041.807010664401</c:v>
                </c:pt>
                <c:pt idx="20" formatCode="&quot;$&quot;#,##0.00_);[Red]\(&quot;$&quot;#,##0.00\)">
                  <c:v>-12795.920628411601</c:v>
                </c:pt>
                <c:pt idx="21" formatCode="&quot;$&quot;#,##0.00_);[Red]\(&quot;$&quot;#,##0.00\)">
                  <c:v>-38626.101035459098</c:v>
                </c:pt>
                <c:pt idx="22" formatCode="&quot;$&quot;#,##0.00_);[Red]\(&quot;$&quot;#,##0.00\)">
                  <c:v>-17986.986790839499</c:v>
                </c:pt>
                <c:pt idx="23" formatCode="&quot;$&quot;#,##0.00_);[Red]\(&quot;$&quot;#,##0.00\)">
                  <c:v>-20252.154009836198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C00-4C18-854E-01D95C52F040}"/>
            </c:ext>
          </c:extLst>
        </c:ser>
        <c:ser>
          <c:idx val="1"/>
          <c:order val="1"/>
          <c:tx>
            <c:strRef>
              <c:f>Sheet1!$G$1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Sheet1!$G$2:$G$29</c:f>
              <c:numCache>
                <c:formatCode>"$"#,##0.00_);[Red]\("$"#,##0.00\)</c:formatCode>
                <c:ptCount val="28"/>
                <c:pt idx="0">
                  <c:v>-11644.658803537901</c:v>
                </c:pt>
                <c:pt idx="1">
                  <c:v>-30848.8092279228</c:v>
                </c:pt>
                <c:pt idx="2">
                  <c:v>-48889.259790475502</c:v>
                </c:pt>
                <c:pt idx="3">
                  <c:v>-124837.11295495099</c:v>
                </c:pt>
                <c:pt idx="14">
                  <c:v>-24012.4014868552</c:v>
                </c:pt>
                <c:pt idx="15">
                  <c:v>-84257.525916830593</c:v>
                </c:pt>
                <c:pt idx="16">
                  <c:v>-74162.1476601756</c:v>
                </c:pt>
                <c:pt idx="17">
                  <c:v>-265902.76421105402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C00-4C18-854E-01D95C52F040}"/>
            </c:ext>
          </c:extLst>
        </c:ser>
        <c:ser>
          <c:idx val="2"/>
          <c:order val="2"/>
          <c:tx>
            <c:strRef>
              <c:f>Sheet1!$H$1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Sheet1!$H$2:$H$29</c:f>
              <c:numCache>
                <c:formatCode>General</c:formatCode>
                <c:ptCount val="28"/>
                <c:pt idx="10" formatCode="&quot;$&quot;#,##0.00_);[Red]\(&quot;$&quot;#,##0.00\)">
                  <c:v>-32.085743248811902</c:v>
                </c:pt>
                <c:pt idx="11" formatCode="&quot;$&quot;#,##0.00_);[Red]\(&quot;$&quot;#,##0.00\)">
                  <c:v>4460.6170443716501</c:v>
                </c:pt>
                <c:pt idx="12" formatCode="&quot;$&quot;#,##0.00_);[Red]\(&quot;$&quot;#,##0.00\)">
                  <c:v>-184.162683612303</c:v>
                </c:pt>
                <c:pt idx="24" formatCode="&quot;$&quot;#,##0.00_);[Red]\(&quot;$&quot;#,##0.00\)">
                  <c:v>-2555.2191726661399</c:v>
                </c:pt>
                <c:pt idx="25" formatCode="&quot;$&quot;#,##0.00_);[Red]\(&quot;$&quot;#,##0.00\)">
                  <c:v>5157.5221174354301</c:v>
                </c:pt>
                <c:pt idx="26" formatCode="&quot;$&quot;#,##0.00_);[Red]\(&quot;$&quot;#,##0.00\)">
                  <c:v>-2707.91448460225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0C00-4C18-854E-01D95C52F040}"/>
            </c:ext>
          </c:extLst>
        </c:ser>
        <c:ser>
          <c:idx val="3"/>
          <c:order val="3"/>
          <c:tx>
            <c:strRef>
              <c:f>Sheet1!$I$1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Sheet1!$I$2:$I$29</c:f>
              <c:numCache>
                <c:formatCode>General</c:formatCode>
                <c:ptCount val="28"/>
                <c:pt idx="13" formatCode="&quot;$&quot;#,##0.00_);[Red]\(&quot;$&quot;#,##0.00\)">
                  <c:v>-55394.240300793303</c:v>
                </c:pt>
                <c:pt idx="27" formatCode="&quot;$&quot;#,##0.00_);[Red]\(&quot;$&quot;#,##0.00\)">
                  <c:v>-100078.99781724501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0C00-4C18-854E-01D95C52F040}"/>
            </c:ext>
          </c:extLst>
        </c:ser>
        <c:ser>
          <c:idx val="4"/>
          <c:order val="4"/>
          <c:tx>
            <c:strRef>
              <c:f>Sheet1!$J$1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Sheet1!$D$2:$D$29</c:f>
              <c:numCache>
                <c:formatCode>"$"#,##0.00_);[Red]\("$"#,##0.00\)</c:formatCode>
                <c:ptCount val="28"/>
                <c:pt idx="0">
                  <c:v>32506.920082813402</c:v>
                </c:pt>
                <c:pt idx="1">
                  <c:v>68806.729018270402</c:v>
                </c:pt>
                <c:pt idx="2">
                  <c:v>28709.564463483799</c:v>
                </c:pt>
                <c:pt idx="3">
                  <c:v>125786.37310764899</c:v>
                </c:pt>
                <c:pt idx="4">
                  <c:v>15677.5227380697</c:v>
                </c:pt>
                <c:pt idx="5">
                  <c:v>12692.2292408466</c:v>
                </c:pt>
                <c:pt idx="6">
                  <c:v>18375.511162999999</c:v>
                </c:pt>
                <c:pt idx="7">
                  <c:v>13838.706423644</c:v>
                </c:pt>
                <c:pt idx="8">
                  <c:v>14865.3551125206</c:v>
                </c:pt>
                <c:pt idx="9">
                  <c:v>11511.601320002699</c:v>
                </c:pt>
                <c:pt idx="10">
                  <c:v>32278.589396815001</c:v>
                </c:pt>
                <c:pt idx="11">
                  <c:v>222303.607323328</c:v>
                </c:pt>
                <c:pt idx="12">
                  <c:v>17829.693968081301</c:v>
                </c:pt>
                <c:pt idx="13">
                  <c:v>44328.768128424897</c:v>
                </c:pt>
                <c:pt idx="14">
                  <c:v>48730.788212699401</c:v>
                </c:pt>
                <c:pt idx="15">
                  <c:v>140944.522706794</c:v>
                </c:pt>
                <c:pt idx="16">
                  <c:v>40207.866336966101</c:v>
                </c:pt>
                <c:pt idx="17">
                  <c:v>266640.44285571203</c:v>
                </c:pt>
                <c:pt idx="18">
                  <c:v>12922.5120645157</c:v>
                </c:pt>
                <c:pt idx="19">
                  <c:v>17381.240704187301</c:v>
                </c:pt>
                <c:pt idx="20">
                  <c:v>14128.7206300791</c:v>
                </c:pt>
                <c:pt idx="21">
                  <c:v>19876.195905398199</c:v>
                </c:pt>
                <c:pt idx="22">
                  <c:v>15287.094538355101</c:v>
                </c:pt>
                <c:pt idx="23">
                  <c:v>16316.162333554499</c:v>
                </c:pt>
                <c:pt idx="24">
                  <c:v>33709.460372616202</c:v>
                </c:pt>
                <c:pt idx="25">
                  <c:v>235929.47854249101</c:v>
                </c:pt>
                <c:pt idx="26">
                  <c:v>19251.584572950102</c:v>
                </c:pt>
                <c:pt idx="27">
                  <c:v>46662.644528508899</c:v>
                </c:pt>
              </c:numCache>
            </c:numRef>
          </c:xVal>
          <c:yVal>
            <c:numRef>
              <c:f>Sheet1!$J$2:$J$29</c:f>
              <c:numCache>
                <c:formatCode>General</c:formatCode>
                <c:ptCount val="28"/>
                <c:pt idx="9" formatCode="&quot;$&quot;#,##0.00_);[Red]\(&quot;$&quot;#,##0.00\)">
                  <c:v>0</c:v>
                </c:pt>
                <c:pt idx="18" formatCode="&quot;$&quot;#,##0.00_);[Red]\(&quot;$&quot;#,##0.00\)">
                  <c:v>0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0C00-4C18-854E-01D95C52F0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71886399"/>
        <c:axId val="1171888319"/>
      </c:scatterChart>
      <c:valAx>
        <c:axId val="11718863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Costs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_);[Red]\(&quot;$&quot;#,##0\)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8319"/>
        <c:crosses val="autoZero"/>
        <c:crossBetween val="midCat"/>
      </c:valAx>
      <c:valAx>
        <c:axId val="11718883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Benefits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&quot;$&quot;#,##0" sourceLinked="0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718863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'Net-Zero Mandate'!$I$1</c:f>
              <c:strCache>
                <c:ptCount val="1"/>
                <c:pt idx="0">
                  <c:v>Cost Decrease necessary in size of the CDR market in 2050</c:v>
                </c:pt>
              </c:strCache>
            </c:strRef>
          </c:tx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'Net-Zero Mandate'!$D$2:$D$28</c:f>
              <c:numCache>
                <c:formatCode>General</c:formatCode>
                <c:ptCount val="27"/>
                <c:pt idx="0">
                  <c:v>0</c:v>
                </c:pt>
                <c:pt idx="1">
                  <c:v>0.64785695536394483</c:v>
                </c:pt>
                <c:pt idx="2">
                  <c:v>2.2459408657409443E-3</c:v>
                </c:pt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8">
                  <c:v>1.5349199946093965</c:v>
                </c:pt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12">
                  <c:v>2.2923311819484971</c:v>
                </c:pt>
                <c:pt idx="13">
                  <c:v>2.3877980534629502</c:v>
                </c:pt>
                <c:pt idx="14">
                  <c:v>4.073413175736218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  <c:pt idx="23">
                  <c:v>3.3410490344405526</c:v>
                </c:pt>
                <c:pt idx="24">
                  <c:v>4.778714292207316</c:v>
                </c:pt>
                <c:pt idx="25">
                  <c:v>-2.1509758877512724</c:v>
                </c:pt>
                <c:pt idx="26">
                  <c:v>2.4526831516616943</c:v>
                </c:pt>
              </c:numCache>
            </c:numRef>
          </c:xVal>
          <c:yVal>
            <c:numRef>
              <c:f>'Net-Zero Mandate'!$I$2:$I$28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271-4C2D-91EF-23E150E89C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78875584"/>
        <c:axId val="678876544"/>
      </c:scatterChart>
      <c:valAx>
        <c:axId val="678875584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6544"/>
        <c:crosses val="autoZero"/>
        <c:crossBetween val="midCat"/>
      </c:valAx>
      <c:valAx>
        <c:axId val="6788765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78875584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487789964051293E-2"/>
          <c:y val="9.5648818834036059E-2"/>
          <c:w val="0.86045319240557017"/>
          <c:h val="0.826940668990820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Mandate'!$E$32:$E$58</c:f>
              <c:numCache>
                <c:formatCode>General</c:formatCode>
                <c:ptCount val="27"/>
                <c:pt idx="3">
                  <c:v>0.27657518865875208</c:v>
                </c:pt>
                <c:pt idx="4">
                  <c:v>0.9215502090713279</c:v>
                </c:pt>
                <c:pt idx="5">
                  <c:v>0.94967366043744428</c:v>
                </c:pt>
                <c:pt idx="6">
                  <c:v>0.97652041402801693</c:v>
                </c:pt>
                <c:pt idx="7">
                  <c:v>0.93865673606761379</c:v>
                </c:pt>
                <c:pt idx="15">
                  <c:v>1.5168971205588402</c:v>
                </c:pt>
                <c:pt idx="16">
                  <c:v>2.4135908453433994</c:v>
                </c:pt>
                <c:pt idx="17">
                  <c:v>0.84946898979441365</c:v>
                </c:pt>
                <c:pt idx="18">
                  <c:v>2.1835418404233824</c:v>
                </c:pt>
                <c:pt idx="19">
                  <c:v>1.950927275789899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EB5-412D-B7FE-A27E6D86BF66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Mandate'!$F$32:$F$58</c:f>
              <c:numCache>
                <c:formatCode>General</c:formatCode>
                <c:ptCount val="27"/>
                <c:pt idx="1">
                  <c:v>0.64785695536394483</c:v>
                </c:pt>
                <c:pt idx="2">
                  <c:v>2.2459408657409443E-3</c:v>
                </c:pt>
                <c:pt idx="12">
                  <c:v>2.2923311819484971</c:v>
                </c:pt>
                <c:pt idx="13">
                  <c:v>2.3877980534629502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EB5-412D-B7FE-A27E6D86BF66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Mandate'!$G$32:$G$58</c:f>
              <c:numCache>
                <c:formatCode>General</c:formatCode>
                <c:ptCount val="27"/>
                <c:pt idx="9">
                  <c:v>1.4931934230901602</c:v>
                </c:pt>
                <c:pt idx="10">
                  <c:v>5.6634142557350327</c:v>
                </c:pt>
                <c:pt idx="11">
                  <c:v>1.176004777856402</c:v>
                </c:pt>
                <c:pt idx="20">
                  <c:v>3.5884223603825314</c:v>
                </c:pt>
                <c:pt idx="21">
                  <c:v>7.3663055742243611</c:v>
                </c:pt>
                <c:pt idx="22">
                  <c:v>3.341043929529071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EB5-412D-B7FE-A27E6D86BF66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Mandate'!$H$32:$H$58</c:f>
              <c:numCache>
                <c:formatCode>General</c:formatCode>
                <c:ptCount val="27"/>
                <c:pt idx="25">
                  <c:v>-2.1509758877512724</c:v>
                </c:pt>
                <c:pt idx="26">
                  <c:v>2.4526831516616943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EB5-412D-B7FE-A27E6D86BF66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Mandate'!$D$32:$D$58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Mandate'!$I$32:$I$58</c:f>
              <c:numCache>
                <c:formatCode>General</c:formatCode>
                <c:ptCount val="27"/>
                <c:pt idx="0">
                  <c:v>0</c:v>
                </c:pt>
                <c:pt idx="8">
                  <c:v>1.5349199946093965</c:v>
                </c:pt>
                <c:pt idx="14">
                  <c:v>4.073413175736218</c:v>
                </c:pt>
                <c:pt idx="23">
                  <c:v>3.3410490344405526</c:v>
                </c:pt>
                <c:pt idx="24">
                  <c:v>4.778714292207316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EB5-412D-B7FE-A27E6D86BF6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2050 cost effectiveness from</a:t>
                </a:r>
                <a:r>
                  <a:rPr lang="en-US" sz="1400" baseline="0"/>
                  <a:t> efficient scenario (%)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NPV from efficient</a:t>
                </a:r>
                <a:r>
                  <a:rPr lang="en-US" sz="1400" baseline="0"/>
                  <a:t> scenario</a:t>
                </a:r>
                <a:r>
                  <a:rPr lang="en-US" sz="1400"/>
                  <a:t> (%)</a:t>
                </a:r>
              </a:p>
            </c:rich>
          </c:tx>
          <c:layout>
            <c:manualLayout>
              <c:xMode val="edge"/>
              <c:yMode val="edge"/>
              <c:x val="3.2156184287128318E-2"/>
              <c:y val="0.2133207649709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98129642232609"/>
          <c:y val="0.38244392172116509"/>
          <c:w val="0.18739061607306434"/>
          <c:h val="0.25525532296155895"/>
        </c:manualLayout>
      </c:layout>
      <c:overlay val="0"/>
      <c:spPr>
        <a:solidFill>
          <a:schemeClr val="bg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487789964051293E-2"/>
          <c:y val="9.5648818834036059E-2"/>
          <c:w val="0.86045319240557017"/>
          <c:h val="0.826940668990820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Mandate'!$E$61:$E$87</c:f>
              <c:numCache>
                <c:formatCode>General</c:formatCode>
                <c:ptCount val="27"/>
                <c:pt idx="3" formatCode="0.00">
                  <c:v>0.64724767761331869</c:v>
                </c:pt>
                <c:pt idx="4" formatCode="0.00">
                  <c:v>1.3577275897072081</c:v>
                </c:pt>
                <c:pt idx="5" formatCode="0.00">
                  <c:v>2.3153381298881297</c:v>
                </c:pt>
                <c:pt idx="6" formatCode="0.00">
                  <c:v>1.6348546043849213</c:v>
                </c:pt>
                <c:pt idx="7" formatCode="0.00">
                  <c:v>1.6529080927729902</c:v>
                </c:pt>
                <c:pt idx="15" formatCode="0.00">
                  <c:v>2.1220956593986737</c:v>
                </c:pt>
                <c:pt idx="16" formatCode="0.00">
                  <c:v>3.0824499174664326</c:v>
                </c:pt>
                <c:pt idx="17" formatCode="0.00">
                  <c:v>2.9048414488544982</c:v>
                </c:pt>
                <c:pt idx="18" formatCode="0.00">
                  <c:v>3.1400272434202559</c:v>
                </c:pt>
                <c:pt idx="19" formatCode="0.00">
                  <c:v>3.0444641251640361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D746-4562-9FAE-205B641F3911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Mandate'!$F$61:$F$87</c:f>
              <c:numCache>
                <c:formatCode>0.00</c:formatCode>
                <c:ptCount val="27"/>
                <c:pt idx="1">
                  <c:v>0.98599472057171911</c:v>
                </c:pt>
                <c:pt idx="2">
                  <c:v>0.44448412606722876</c:v>
                </c:pt>
                <c:pt idx="12">
                  <c:v>2.5637816421080228</c:v>
                </c:pt>
                <c:pt idx="13">
                  <c:v>2.8356658504593448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D746-4562-9FAE-205B641F3911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Mandate'!$G$61:$G$87</c:f>
              <c:numCache>
                <c:formatCode>General</c:formatCode>
                <c:ptCount val="27"/>
                <c:pt idx="9" formatCode="0.00">
                  <c:v>2.5994756304123183</c:v>
                </c:pt>
                <c:pt idx="10" formatCode="0.00">
                  <c:v>8.3515011746760219</c:v>
                </c:pt>
                <c:pt idx="11" formatCode="0.00">
                  <c:v>1.5468320344764317</c:v>
                </c:pt>
                <c:pt idx="20" formatCode="0.00">
                  <c:v>4.7171586472895424</c:v>
                </c:pt>
                <c:pt idx="21" formatCode="0.00">
                  <c:v>10.029059099755278</c:v>
                </c:pt>
                <c:pt idx="22" formatCode="0.00">
                  <c:v>3.8789631751289115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D746-4562-9FAE-205B641F3911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Mandate'!$H$61:$H$87</c:f>
              <c:numCache>
                <c:formatCode>General</c:formatCode>
                <c:ptCount val="27"/>
                <c:pt idx="25" formatCode="0.00">
                  <c:v>-3.4159600524698353</c:v>
                </c:pt>
                <c:pt idx="26" formatCode="0.00">
                  <c:v>6.0516224069731308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D746-4562-9FAE-205B641F3911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Mandate'!$D$61:$D$87</c:f>
              <c:numCache>
                <c:formatCode>General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Mandate'!$I$61:$I$87</c:f>
              <c:numCache>
                <c:formatCode>General</c:formatCode>
                <c:ptCount val="27"/>
                <c:pt idx="0" formatCode="0.00">
                  <c:v>0</c:v>
                </c:pt>
                <c:pt idx="8" formatCode="0.00">
                  <c:v>1.5453796931733457</c:v>
                </c:pt>
                <c:pt idx="14" formatCode="0.00">
                  <c:v>4.0706852143436585</c:v>
                </c:pt>
                <c:pt idx="23" formatCode="0.00">
                  <c:v>4.3174474451754374</c:v>
                </c:pt>
                <c:pt idx="24" formatCode="0.00">
                  <c:v>5.0029688506972843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D746-4562-9FAE-205B641F39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2050 cost effectiveness from</a:t>
                </a:r>
                <a:r>
                  <a:rPr lang="en-US" sz="1400" baseline="0"/>
                  <a:t> efficient scenario (%)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NPV from efficient</a:t>
                </a:r>
                <a:r>
                  <a:rPr lang="en-US" sz="1400" baseline="0"/>
                  <a:t> scenario</a:t>
                </a:r>
                <a:r>
                  <a:rPr lang="en-US" sz="1400"/>
                  <a:t> (%)</a:t>
                </a:r>
              </a:p>
            </c:rich>
          </c:tx>
          <c:layout>
            <c:manualLayout>
              <c:xMode val="edge"/>
              <c:yMode val="edge"/>
              <c:x val="3.2156184287128318E-2"/>
              <c:y val="0.2133207649709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98129642232609"/>
          <c:y val="0.38244392172116509"/>
          <c:w val="0.18739061607306434"/>
          <c:h val="0.25525532296155895"/>
        </c:manualLayout>
      </c:layout>
      <c:overlay val="0"/>
      <c:spPr>
        <a:solidFill>
          <a:schemeClr val="bg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8.7487789964051293E-2"/>
          <c:y val="9.5648818834036059E-2"/>
          <c:w val="0.86045319240557017"/>
          <c:h val="0.82694066899082042"/>
        </c:manualLayout>
      </c:layout>
      <c:scatterChart>
        <c:scatterStyle val="lineMarker"/>
        <c:varyColors val="0"/>
        <c:ser>
          <c:idx val="0"/>
          <c:order val="0"/>
          <c:tx>
            <c:strRef>
              <c:f>'Net-Zero Mandate'!$E$31</c:f>
              <c:strCache>
                <c:ptCount val="1"/>
                <c:pt idx="0">
                  <c:v>Innovation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rgbClr val="FF0000"/>
              </a:solidFill>
              <a:ln w="9525">
                <a:solidFill>
                  <a:srgbClr val="FF0000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Mandate'!$E$90:$E$116</c:f>
              <c:numCache>
                <c:formatCode>General</c:formatCode>
                <c:ptCount val="27"/>
                <c:pt idx="3" formatCode="0.00">
                  <c:v>1.0932573496051559</c:v>
                </c:pt>
                <c:pt idx="4" formatCode="0.00">
                  <c:v>1.6946076320487724</c:v>
                </c:pt>
                <c:pt idx="5" formatCode="0.00">
                  <c:v>3.2502144071938046</c:v>
                </c:pt>
                <c:pt idx="6" formatCode="0.00">
                  <c:v>2.1049050122513044</c:v>
                </c:pt>
                <c:pt idx="7" formatCode="0.00">
                  <c:v>2.2091624983315339</c:v>
                </c:pt>
                <c:pt idx="15" formatCode="0.00">
                  <c:v>2.693095733872942</c:v>
                </c:pt>
                <c:pt idx="16" formatCode="0.00">
                  <c:v>3.5163830940418412</c:v>
                </c:pt>
                <c:pt idx="17" formatCode="0.00">
                  <c:v>4.2476127361252409</c:v>
                </c:pt>
                <c:pt idx="18" formatCode="0.00">
                  <c:v>3.7562358691096911</c:v>
                </c:pt>
                <c:pt idx="19" formatCode="0.00">
                  <c:v>3.7941739897941655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73D-4403-A039-27329D583A2E}"/>
            </c:ext>
          </c:extLst>
        </c:ser>
        <c:ser>
          <c:idx val="1"/>
          <c:order val="1"/>
          <c:tx>
            <c:strRef>
              <c:f>'Net-Zero Mandate'!$F$31</c:f>
              <c:strCache>
                <c:ptCount val="1"/>
                <c:pt idx="0">
                  <c:v>Subsidy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Mandate'!$F$90:$F$116</c:f>
              <c:numCache>
                <c:formatCode>0.00</c:formatCode>
                <c:ptCount val="27"/>
                <c:pt idx="1">
                  <c:v>1.3438885594409384</c:v>
                </c:pt>
                <c:pt idx="2">
                  <c:v>0.84723170018844907</c:v>
                </c:pt>
                <c:pt idx="12">
                  <c:v>2.9242921759498324</c:v>
                </c:pt>
                <c:pt idx="13">
                  <c:v>3.2080184026842988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573D-4403-A039-27329D583A2E}"/>
            </c:ext>
          </c:extLst>
        </c:ser>
        <c:ser>
          <c:idx val="2"/>
          <c:order val="2"/>
          <c:tx>
            <c:strRef>
              <c:f>'Net-Zero Mandate'!$G$31</c:f>
              <c:strCache>
                <c:ptCount val="1"/>
                <c:pt idx="0">
                  <c:v>Procurement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Mandate'!$G$90:$G$116</c:f>
              <c:numCache>
                <c:formatCode>General</c:formatCode>
                <c:ptCount val="27"/>
                <c:pt idx="9" formatCode="0.00">
                  <c:v>4.0670809313292864</c:v>
                </c:pt>
                <c:pt idx="10" formatCode="0.00">
                  <c:v>10.956263412283258</c:v>
                </c:pt>
                <c:pt idx="11" formatCode="0.00">
                  <c:v>1.9108299722709272</c:v>
                </c:pt>
                <c:pt idx="20" formatCode="0.00">
                  <c:v>6.1482838611335504</c:v>
                </c:pt>
                <c:pt idx="21" formatCode="0.00">
                  <c:v>12.663601837356222</c:v>
                </c:pt>
                <c:pt idx="22" formatCode="0.00">
                  <c:v>4.293953690244436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573D-4403-A039-27329D583A2E}"/>
            </c:ext>
          </c:extLst>
        </c:ser>
        <c:ser>
          <c:idx val="3"/>
          <c:order val="3"/>
          <c:tx>
            <c:strRef>
              <c:f>'Net-Zero Mandate'!$H$31</c:f>
              <c:strCache>
                <c:ptCount val="1"/>
                <c:pt idx="0">
                  <c:v>Optimal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Mandate'!$H$90:$H$116</c:f>
              <c:numCache>
                <c:formatCode>General</c:formatCode>
                <c:ptCount val="27"/>
                <c:pt idx="25" formatCode="0.00">
                  <c:v>-4.1388574181998177</c:v>
                </c:pt>
                <c:pt idx="26">
                  <c:v>7.6155443923701611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573D-4403-A039-27329D583A2E}"/>
            </c:ext>
          </c:extLst>
        </c:ser>
        <c:ser>
          <c:idx val="4"/>
          <c:order val="4"/>
          <c:tx>
            <c:strRef>
              <c:f>'Net-Zero Mandate'!$I$31</c:f>
              <c:strCache>
                <c:ptCount val="1"/>
                <c:pt idx="0">
                  <c:v>Baseline</c:v>
                </c:pt>
              </c:strCache>
            </c:strRef>
          </c:tx>
          <c:spPr>
            <a:ln w="254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'Net-Zero Mandate'!$D$90:$D$116</c:f>
              <c:numCache>
                <c:formatCode>0.00</c:formatCode>
                <c:ptCount val="27"/>
                <c:pt idx="0">
                  <c:v>0</c:v>
                </c:pt>
                <c:pt idx="1">
                  <c:v>0.21249703186680166</c:v>
                </c:pt>
                <c:pt idx="2">
                  <c:v>-1.3655573070193403</c:v>
                </c:pt>
                <c:pt idx="3">
                  <c:v>-0.46376197004718345</c:v>
                </c:pt>
                <c:pt idx="4">
                  <c:v>-0.15840906711694819</c:v>
                </c:pt>
                <c:pt idx="5">
                  <c:v>-1.4997785764247658</c:v>
                </c:pt>
                <c:pt idx="6">
                  <c:v>-0.39769251330281402</c:v>
                </c:pt>
                <c:pt idx="7">
                  <c:v>-0.52357713726908883</c:v>
                </c:pt>
                <c:pt idx="8">
                  <c:v>1.0818447048699995</c:v>
                </c:pt>
                <c:pt idx="9">
                  <c:v>0.36638009527595833</c:v>
                </c:pt>
                <c:pt idx="10">
                  <c:v>1.1959723569841303</c:v>
                </c:pt>
                <c:pt idx="11">
                  <c:v>0.36328086889841033</c:v>
                </c:pt>
                <c:pt idx="12">
                  <c:v>1.0676371229122197</c:v>
                </c:pt>
                <c:pt idx="13">
                  <c:v>0.46865683829263816</c:v>
                </c:pt>
                <c:pt idx="14">
                  <c:v>2.3727693973872075</c:v>
                </c:pt>
                <c:pt idx="15">
                  <c:v>-1.0959771479748042</c:v>
                </c:pt>
                <c:pt idx="16">
                  <c:v>-0.67455579376899111</c:v>
                </c:pt>
                <c:pt idx="17">
                  <c:v>-4.6305696962614666</c:v>
                </c:pt>
                <c:pt idx="18">
                  <c:v>-1.319407624914968</c:v>
                </c:pt>
                <c:pt idx="19">
                  <c:v>-1.897612583824104</c:v>
                </c:pt>
                <c:pt idx="20">
                  <c:v>1.0363250084620061</c:v>
                </c:pt>
                <c:pt idx="21">
                  <c:v>2.923407082508354</c:v>
                </c:pt>
                <c:pt idx="22">
                  <c:v>0.91897387304034173</c:v>
                </c:pt>
                <c:pt idx="23">
                  <c:v>-3.8617004313604051</c:v>
                </c:pt>
                <c:pt idx="24">
                  <c:v>23.306697574041493</c:v>
                </c:pt>
                <c:pt idx="25">
                  <c:v>-1.4445409002888128</c:v>
                </c:pt>
                <c:pt idx="26">
                  <c:v>-4.7728156685049763</c:v>
                </c:pt>
              </c:numCache>
            </c:numRef>
          </c:xVal>
          <c:yVal>
            <c:numRef>
              <c:f>'Net-Zero Mandate'!$I$90:$I$116</c:f>
              <c:numCache>
                <c:formatCode>General</c:formatCode>
                <c:ptCount val="27"/>
                <c:pt idx="0" formatCode="0.00">
                  <c:v>0</c:v>
                </c:pt>
                <c:pt idx="8" formatCode="0.00">
                  <c:v>1.5827998282841693</c:v>
                </c:pt>
                <c:pt idx="14" formatCode="0.00">
                  <c:v>4.0371470003985861</c:v>
                </c:pt>
                <c:pt idx="23" formatCode="0.00">
                  <c:v>4.7441533574965318</c:v>
                </c:pt>
                <c:pt idx="24" formatCode="0.00">
                  <c:v>5.4960134486937662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573D-4403-A039-27329D583A2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88358192"/>
        <c:axId val="688359152"/>
      </c:scatterChart>
      <c:valAx>
        <c:axId val="68835819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2050 cost effectiveness from</a:t>
                </a:r>
                <a:r>
                  <a:rPr lang="en-US" sz="1400" baseline="0"/>
                  <a:t> efficient scenario (%)</a:t>
                </a:r>
                <a:endParaRPr lang="en-US" sz="1400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9152"/>
        <c:crosses val="autoZero"/>
        <c:crossBetween val="midCat"/>
      </c:valAx>
      <c:valAx>
        <c:axId val="68835915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4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400"/>
                  <a:t>Change in NPV from efficient</a:t>
                </a:r>
                <a:r>
                  <a:rPr lang="en-US" sz="1400" baseline="0"/>
                  <a:t> scenario</a:t>
                </a:r>
                <a:r>
                  <a:rPr lang="en-US" sz="1400"/>
                  <a:t> (%)</a:t>
                </a:r>
              </a:p>
            </c:rich>
          </c:tx>
          <c:layout>
            <c:manualLayout>
              <c:xMode val="edge"/>
              <c:yMode val="edge"/>
              <c:x val="3.2156184287128318E-2"/>
              <c:y val="0.2133207649709703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4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2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88358192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layout>
        <c:manualLayout>
          <c:xMode val="edge"/>
          <c:yMode val="edge"/>
          <c:x val="0.5898129642232609"/>
          <c:y val="0.38244392172116509"/>
          <c:w val="0.18739061607306434"/>
          <c:h val="0.25525532296155895"/>
        </c:manualLayout>
      </c:layout>
      <c:overlay val="0"/>
      <c:spPr>
        <a:solidFill>
          <a:schemeClr val="bg1">
            <a:alpha val="50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2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  <cx:data id="3">
      <cx:strDim type="cat">
        <cx:f>_xlchart.v1.0</cx:f>
      </cx:strDim>
      <cx:numDim type="val">
        <cx:f>_xlchart.v1.8</cx:f>
      </cx:numDim>
    </cx:data>
  </cx:chartData>
  <cx:chart>
    <cx:title pos="t" align="ctr" overlay="0"/>
    <cx:plotArea>
      <cx:plotAreaRegion>
        <cx:series layoutId="boxWhisker" uniqueId="{D7DDA11E-BB64-49A4-92FD-2B8AA1488A96}">
          <cx:tx>
            <cx:txData>
              <cx:f>_xlchart.v1.1</cx:f>
              <cx:v>Cost Decrease necessary in NPV of CDR market | 2.0% discount rate</cx:v>
            </cx:txData>
          </cx:tx>
          <cx:dataId val="0"/>
          <cx:layoutPr>
            <cx:statistics quartileMethod="exclusive"/>
          </cx:layoutPr>
        </cx:series>
        <cx:series layoutId="boxWhisker" uniqueId="{BB2DC20C-048A-490D-AB65-11229C93ACF2}">
          <cx:tx>
            <cx:txData>
              <cx:f>_xlchart.v1.3</cx:f>
              <cx:v>Cost Decrease necessary in NPV of CDR market | 12.0% discount rate</cx:v>
            </cx:txData>
          </cx:tx>
          <cx:dataId val="1"/>
          <cx:layoutPr>
            <cx:statistics quartileMethod="exclusive"/>
          </cx:layoutPr>
        </cx:series>
        <cx:series layoutId="boxWhisker" uniqueId="{14FA6E2F-A765-43AD-9556-AF6C2D89BCF9}">
          <cx:tx>
            <cx:txData>
              <cx:f>_xlchart.v1.5</cx:f>
              <cx:v>Cost Decrease necessary in NPV of CDR market | 20.0% discount rate</cx:v>
            </cx:txData>
          </cx:tx>
          <cx:dataId val="2"/>
          <cx:layoutPr>
            <cx:statistics quartileMethod="exclusive"/>
          </cx:layoutPr>
        </cx:series>
        <cx:series layoutId="boxWhisker" uniqueId="{4D230C2F-DE91-4B48-8F0B-69AF37FBC6D6}">
          <cx:tx>
            <cx:txData>
              <cx:f>_xlchart.v1.7</cx:f>
              <cx:v>Cost Decrease necessary in size of the CDR market in 2050</cx:v>
            </cx:txData>
          </cx:tx>
          <cx:dataId val="3"/>
          <cx:layoutPr>
            <cx:statistics quartileMethod="exclusive"/>
          </cx:layoutPr>
        </cx:series>
      </cx:plotAreaRegion>
      <cx:axis id="0">
        <cx:catScaling gapWidth="1"/>
        <cx:title>
          <cx:tx>
            <cx:txData>
              <cx:v>CDR supply in 2050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en-U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CDR supply in 2050</a:t>
              </a:r>
            </a:p>
          </cx:txPr>
        </cx:title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n-U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  <cx:axis id="1">
        <cx:valScaling/>
        <cx:title>
          <cx:tx>
            <cx:txData>
              <cx:v>% of NPV of efficient pathway</cx:v>
            </cx:txData>
          </cx:tx>
          <cx:txPr>
            <a:bodyPr spcFirstLastPara="1" vertOverflow="ellipsis" horzOverflow="overflow" wrap="square" lIns="0" tIns="0" rIns="0" bIns="0" anchor="ctr" anchorCtr="1"/>
            <a:lstStyle/>
            <a:p>
              <a:pPr algn="ctr" rtl="0">
                <a:defRPr sz="1400"/>
              </a:pPr>
              <a:r>
                <a:rPr lang="en-US" sz="1400" b="0" i="0" u="none" strike="noStrike" baseline="0">
                  <a:solidFill>
                    <a:sysClr val="windowText" lastClr="000000">
                      <a:lumMod val="65000"/>
                      <a:lumOff val="35000"/>
                    </a:sysClr>
                  </a:solidFill>
                  <a:latin typeface="Aptos Narrow" panose="02110004020202020204"/>
                </a:rPr>
                <a:t>% of NPV of efficient pathway</a:t>
              </a:r>
            </a:p>
          </cx:txPr>
        </cx:title>
        <cx:majorGridlines/>
        <cx:tickLabels/>
        <cx:txPr>
          <a:bodyPr spcFirstLastPara="1" vertOverflow="ellipsis" horzOverflow="overflow" wrap="square" lIns="0" tIns="0" rIns="0" bIns="0" anchor="ctr" anchorCtr="1"/>
          <a:lstStyle/>
          <a:p>
            <a:pPr algn="ctr" rtl="0">
              <a:defRPr sz="1200"/>
            </a:pPr>
            <a:endParaRPr lang="en-US" sz="12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txPr>
      </cx:axis>
    </cx:plotArea>
    <cx:legend pos="t" align="ctr" overlay="0">
      <cx:txPr>
        <a:bodyPr spcFirstLastPara="1" vertOverflow="ellipsis" horzOverflow="overflow" wrap="square" lIns="0" tIns="0" rIns="0" bIns="0" anchor="ctr" anchorCtr="1"/>
        <a:lstStyle/>
        <a:p>
          <a:pPr algn="ctr" rtl="0">
            <a:defRPr sz="1050"/>
          </a:pPr>
          <a:endParaRPr lang="en-US" sz="1050" b="0" i="0" u="none" strike="noStrike" baseline="0">
            <a:solidFill>
              <a:sysClr val="windowText" lastClr="000000">
                <a:lumMod val="65000"/>
                <a:lumOff val="35000"/>
              </a:sysClr>
            </a:solidFill>
            <a:latin typeface="Aptos Narrow" panose="02110004020202020204"/>
          </a:endParaRPr>
        </a:p>
      </cx:txPr>
    </cx:legend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40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>
      <cs:styleClr val="auto"/>
    </cs:lnRef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>
        <a:solidFill>
          <a:schemeClr val="phClr"/>
        </a:solidFill>
      </a:ln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microsoft.com/office/2014/relationships/chartEx" Target="../charts/chartEx1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10</xdr:col>
      <xdr:colOff>471487</xdr:colOff>
      <xdr:row>1</xdr:row>
      <xdr:rowOff>176211</xdr:rowOff>
    </xdr:from>
    <xdr:to>
      <xdr:col>20</xdr:col>
      <xdr:colOff>9525</xdr:colOff>
      <xdr:row>26</xdr:row>
      <xdr:rowOff>85724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A8173D92-4B67-960D-790D-512C6152860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1</xdr:row>
      <xdr:rowOff>100011</xdr:rowOff>
    </xdr:from>
    <xdr:to>
      <xdr:col>19</xdr:col>
      <xdr:colOff>190500</xdr:colOff>
      <xdr:row>31</xdr:row>
      <xdr:rowOff>47624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2" name="Chart 1">
              <a:extLst>
                <a:ext uri="{FF2B5EF4-FFF2-40B4-BE49-F238E27FC236}">
                  <a16:creationId xmlns:a16="http://schemas.microsoft.com/office/drawing/2014/main" id="{98AEC7E0-D0A5-1096-0DCB-A2DB2DA0628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10096500" y="290511"/>
              <a:ext cx="4572000" cy="5662613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en-US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19</xdr:col>
      <xdr:colOff>57150</xdr:colOff>
      <xdr:row>10</xdr:row>
      <xdr:rowOff>23812</xdr:rowOff>
    </xdr:from>
    <xdr:to>
      <xdr:col>26</xdr:col>
      <xdr:colOff>361950</xdr:colOff>
      <xdr:row>24</xdr:row>
      <xdr:rowOff>100012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F1E21B9-27F7-E53F-D27D-873A4ABDA86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9</xdr:col>
      <xdr:colOff>204786</xdr:colOff>
      <xdr:row>31</xdr:row>
      <xdr:rowOff>42862</xdr:rowOff>
    </xdr:from>
    <xdr:to>
      <xdr:col>18</xdr:col>
      <xdr:colOff>247649</xdr:colOff>
      <xdr:row>58</xdr:row>
      <xdr:rowOff>0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94D9ACEC-3FD7-7289-6819-79EF3D17B1D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76200</xdr:colOff>
      <xdr:row>49</xdr:row>
      <xdr:rowOff>171450</xdr:rowOff>
    </xdr:from>
    <xdr:to>
      <xdr:col>11</xdr:col>
      <xdr:colOff>400050</xdr:colOff>
      <xdr:row>55</xdr:row>
      <xdr:rowOff>171450</xdr:rowOff>
    </xdr:to>
    <xdr:sp macro="" textlink="">
      <xdr:nvSpPr>
        <xdr:cNvPr id="8" name="TextBox 7">
          <a:extLst>
            <a:ext uri="{FF2B5EF4-FFF2-40B4-BE49-F238E27FC236}">
              <a16:creationId xmlns:a16="http://schemas.microsoft.com/office/drawing/2014/main" id="{B200627D-3012-C678-8F56-01D6FFA6A48E}"/>
            </a:ext>
          </a:extLst>
        </xdr:cNvPr>
        <xdr:cNvSpPr txBox="1"/>
      </xdr:nvSpPr>
      <xdr:spPr>
        <a:xfrm>
          <a:off x="9067800" y="9505950"/>
          <a:ext cx="933450" cy="114300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15</xdr:col>
      <xdr:colOff>47625</xdr:colOff>
      <xdr:row>33</xdr:row>
      <xdr:rowOff>152400</xdr:rowOff>
    </xdr:from>
    <xdr:to>
      <xdr:col>17</xdr:col>
      <xdr:colOff>561975</xdr:colOff>
      <xdr:row>36</xdr:row>
      <xdr:rowOff>19050</xdr:rowOff>
    </xdr:to>
    <xdr:sp macro="" textlink="">
      <xdr:nvSpPr>
        <xdr:cNvPr id="9" name="TextBox 8">
          <a:extLst>
            <a:ext uri="{FF2B5EF4-FFF2-40B4-BE49-F238E27FC236}">
              <a16:creationId xmlns:a16="http://schemas.microsoft.com/office/drawing/2014/main" id="{3C85F7EA-665D-4B5F-95C3-2833847D1568}"/>
            </a:ext>
          </a:extLst>
        </xdr:cNvPr>
        <xdr:cNvSpPr txBox="1"/>
      </xdr:nvSpPr>
      <xdr:spPr>
        <a:xfrm>
          <a:off x="12087225" y="6438900"/>
          <a:ext cx="1733550" cy="43815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10</xdr:col>
      <xdr:colOff>85725</xdr:colOff>
      <xdr:row>33</xdr:row>
      <xdr:rowOff>152399</xdr:rowOff>
    </xdr:from>
    <xdr:to>
      <xdr:col>11</xdr:col>
      <xdr:colOff>419100</xdr:colOff>
      <xdr:row>39</xdr:row>
      <xdr:rowOff>28575</xdr:rowOff>
    </xdr:to>
    <xdr:sp macro="" textlink="">
      <xdr:nvSpPr>
        <xdr:cNvPr id="10" name="TextBox 9">
          <a:extLst>
            <a:ext uri="{FF2B5EF4-FFF2-40B4-BE49-F238E27FC236}">
              <a16:creationId xmlns:a16="http://schemas.microsoft.com/office/drawing/2014/main" id="{B2D4D1B9-D1FE-4274-BDC5-DAACF31510B1}"/>
            </a:ext>
          </a:extLst>
        </xdr:cNvPr>
        <xdr:cNvSpPr txBox="1"/>
      </xdr:nvSpPr>
      <xdr:spPr>
        <a:xfrm>
          <a:off x="9077325" y="6438899"/>
          <a:ext cx="942975" cy="1019176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less efficient pathway and more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15</xdr:col>
      <xdr:colOff>38100</xdr:colOff>
      <xdr:row>53</xdr:row>
      <xdr:rowOff>104775</xdr:rowOff>
    </xdr:from>
    <xdr:to>
      <xdr:col>17</xdr:col>
      <xdr:colOff>552450</xdr:colOff>
      <xdr:row>55</xdr:row>
      <xdr:rowOff>161925</xdr:rowOff>
    </xdr:to>
    <xdr:sp macro="" textlink="">
      <xdr:nvSpPr>
        <xdr:cNvPr id="11" name="TextBox 10">
          <a:extLst>
            <a:ext uri="{FF2B5EF4-FFF2-40B4-BE49-F238E27FC236}">
              <a16:creationId xmlns:a16="http://schemas.microsoft.com/office/drawing/2014/main" id="{615412F4-9FE3-4B65-B1F7-D83D9FE68030}"/>
            </a:ext>
          </a:extLst>
        </xdr:cNvPr>
        <xdr:cNvSpPr txBox="1"/>
      </xdr:nvSpPr>
      <xdr:spPr>
        <a:xfrm>
          <a:off x="12077700" y="10201275"/>
          <a:ext cx="1733550" cy="438150"/>
        </a:xfrm>
        <a:prstGeom prst="rect">
          <a:avLst/>
        </a:prstGeom>
        <a:solidFill>
          <a:schemeClr val="bg1">
            <a:alpha val="50000"/>
          </a:schemeClr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/>
            <a:t>more efficient pathway and less cost-effective</a:t>
          </a:r>
          <a:r>
            <a:rPr lang="en-US" sz="1100" baseline="0"/>
            <a:t> in 2050</a:t>
          </a:r>
          <a:endParaRPr lang="en-US" sz="1100"/>
        </a:p>
      </xdr:txBody>
    </xdr:sp>
    <xdr:clientData/>
  </xdr:twoCellAnchor>
  <xdr:twoCellAnchor>
    <xdr:from>
      <xdr:col>9</xdr:col>
      <xdr:colOff>217714</xdr:colOff>
      <xdr:row>59</xdr:row>
      <xdr:rowOff>81643</xdr:rowOff>
    </xdr:from>
    <xdr:to>
      <xdr:col>18</xdr:col>
      <xdr:colOff>260577</xdr:colOff>
      <xdr:row>86</xdr:row>
      <xdr:rowOff>38781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220C49-AEBE-4CDA-8478-06D535AEBA9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9</xdr:col>
      <xdr:colOff>435429</xdr:colOff>
      <xdr:row>88</xdr:row>
      <xdr:rowOff>108857</xdr:rowOff>
    </xdr:from>
    <xdr:to>
      <xdr:col>18</xdr:col>
      <xdr:colOff>478292</xdr:colOff>
      <xdr:row>115</xdr:row>
      <xdr:rowOff>65995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45FFBF60-479F-456B-919C-CC27930EACA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4DBF1-F2D7-44F8-977D-1BE3C41C10B1}">
  <dimension ref="A1:AP34"/>
  <sheetViews>
    <sheetView zoomScaleNormal="100" workbookViewId="0">
      <selection activeCell="A17" sqref="A17:M31"/>
    </sheetView>
  </sheetViews>
  <sheetFormatPr defaultRowHeight="15" x14ac:dyDescent="0.25"/>
  <cols>
    <col min="1" max="1" width="22.28515625" bestFit="1" customWidth="1"/>
    <col min="2" max="2" width="14.28515625" bestFit="1" customWidth="1"/>
    <col min="3" max="3" width="12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  <col min="14" max="14" width="22.28515625" bestFit="1" customWidth="1"/>
  </cols>
  <sheetData>
    <row r="1" spans="1:42" x14ac:dyDescent="0.25">
      <c r="A1" s="3" t="s">
        <v>0</v>
      </c>
      <c r="B1" t="s">
        <v>38</v>
      </c>
      <c r="C1" t="s">
        <v>39</v>
      </c>
      <c r="D1" s="5" t="s">
        <v>40</v>
      </c>
      <c r="E1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  <c r="AA1" s="3"/>
      <c r="AB1" s="3"/>
      <c r="AC1" s="3"/>
      <c r="AD1" s="3"/>
      <c r="AE1" s="3"/>
      <c r="AF1" s="3"/>
      <c r="AG1" s="3"/>
      <c r="AH1" s="3"/>
      <c r="AI1" s="3"/>
      <c r="AJ1" s="3"/>
      <c r="AK1" s="3"/>
      <c r="AL1" s="3"/>
      <c r="AM1" s="3"/>
      <c r="AN1" s="3"/>
      <c r="AO1" s="3"/>
      <c r="AP1" s="3"/>
    </row>
    <row r="2" spans="1:42" x14ac:dyDescent="0.25">
      <c r="A2" t="s">
        <v>1</v>
      </c>
      <c r="B2" s="6">
        <v>-40991.392169844003</v>
      </c>
      <c r="C2" s="6">
        <v>73964.863896627197</v>
      </c>
      <c r="D2" s="5">
        <f>B2/C2</f>
        <v>-0.55420087336513324</v>
      </c>
      <c r="E2" s="6">
        <f>B2+C2</f>
        <v>32973.471726783195</v>
      </c>
      <c r="F2" s="6">
        <v>-11644.658803537901</v>
      </c>
      <c r="G2" s="6">
        <v>32506.920082813402</v>
      </c>
      <c r="H2" s="5">
        <f>F2/G2</f>
        <v>-0.35822091954182089</v>
      </c>
      <c r="I2" s="6">
        <f>F2+G2</f>
        <v>20862.261279275503</v>
      </c>
      <c r="J2" s="6">
        <v>-5002.1063151110802</v>
      </c>
      <c r="K2" s="6">
        <v>20078.072923277199</v>
      </c>
      <c r="L2" s="5">
        <f>J2/K2</f>
        <v>-0.2491327894975402</v>
      </c>
      <c r="M2" s="6">
        <f>J2+K2</f>
        <v>15075.96660816612</v>
      </c>
      <c r="N2" t="s">
        <v>24</v>
      </c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  <c r="AA2" s="3"/>
      <c r="AB2" s="3"/>
      <c r="AC2" s="3"/>
      <c r="AD2" s="3"/>
      <c r="AE2" s="3"/>
      <c r="AF2" s="3"/>
      <c r="AG2" s="3"/>
      <c r="AH2" s="3"/>
      <c r="AI2" s="3"/>
      <c r="AJ2" s="3"/>
      <c r="AK2" s="3"/>
      <c r="AL2" s="3"/>
      <c r="AM2" s="3"/>
      <c r="AN2" s="3"/>
      <c r="AO2" s="3"/>
      <c r="AP2" s="3"/>
    </row>
    <row r="3" spans="1:42" x14ac:dyDescent="0.25">
      <c r="A3" t="s">
        <v>2</v>
      </c>
      <c r="B3" s="6">
        <v>-190307.317572267</v>
      </c>
      <c r="C3" s="6">
        <v>341722.55580809899</v>
      </c>
      <c r="D3" s="5">
        <f t="shared" ref="D3:D15" si="0">B3/C3</f>
        <v>-0.55690592949661133</v>
      </c>
      <c r="E3" s="6">
        <f t="shared" ref="E3:E15" si="1">B3+C3</f>
        <v>151415.23823583199</v>
      </c>
      <c r="F3" s="6">
        <v>-30848.8092279228</v>
      </c>
      <c r="G3" s="6">
        <v>68806.729018270402</v>
      </c>
      <c r="H3" s="5">
        <f t="shared" ref="H3:H15" si="2">F3/G3</f>
        <v>-0.44834000493950887</v>
      </c>
      <c r="I3" s="6">
        <f t="shared" ref="I3:I15" si="3">F3+G3</f>
        <v>37957.919790347602</v>
      </c>
      <c r="J3" s="6">
        <v>-9394.0921605190797</v>
      </c>
      <c r="K3" s="6">
        <v>28774.349079517</v>
      </c>
      <c r="L3" s="5">
        <f t="shared" ref="L3:L15" si="4">J3/K3</f>
        <v>-0.32647453238851049</v>
      </c>
      <c r="M3" s="6">
        <f t="shared" ref="M3:M15" si="5">J3+K3</f>
        <v>19380.256918997919</v>
      </c>
      <c r="N3" t="s">
        <v>24</v>
      </c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  <c r="AA3" s="3"/>
      <c r="AB3" s="3"/>
      <c r="AC3" s="3"/>
      <c r="AD3" s="3"/>
      <c r="AE3" s="3"/>
      <c r="AF3" s="3"/>
      <c r="AG3" s="3"/>
      <c r="AH3" s="3"/>
      <c r="AI3" s="3"/>
      <c r="AJ3" s="3"/>
      <c r="AK3" s="3"/>
      <c r="AL3" s="3"/>
      <c r="AM3" s="3"/>
      <c r="AN3" s="3"/>
      <c r="AO3" s="3"/>
      <c r="AP3" s="3"/>
    </row>
    <row r="4" spans="1:42" x14ac:dyDescent="0.25">
      <c r="A4" t="s">
        <v>3</v>
      </c>
      <c r="B4" s="6">
        <v>-112322.040618713</v>
      </c>
      <c r="C4" s="6">
        <v>56741.484497939098</v>
      </c>
      <c r="D4" s="5">
        <f t="shared" si="0"/>
        <v>-1.9795400422206548</v>
      </c>
      <c r="E4" s="6">
        <f t="shared" si="1"/>
        <v>-55580.556120773901</v>
      </c>
      <c r="F4" s="6">
        <v>-48889.259790475502</v>
      </c>
      <c r="G4" s="6">
        <v>28709.564463483799</v>
      </c>
      <c r="H4" s="5">
        <f t="shared" si="2"/>
        <v>-1.7028910296656925</v>
      </c>
      <c r="I4" s="6">
        <f t="shared" si="3"/>
        <v>-20179.695326991703</v>
      </c>
      <c r="J4" s="6">
        <v>-28941.9181735079</v>
      </c>
      <c r="K4" s="6">
        <v>18022.833509243501</v>
      </c>
      <c r="L4" s="5">
        <f t="shared" si="4"/>
        <v>-1.6058472802661274</v>
      </c>
      <c r="M4" s="6">
        <f t="shared" si="5"/>
        <v>-10919.084664264399</v>
      </c>
      <c r="N4" t="s">
        <v>24</v>
      </c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  <c r="AA4" s="3"/>
      <c r="AB4" s="3"/>
      <c r="AC4" s="3"/>
      <c r="AD4" s="3"/>
      <c r="AE4" s="3"/>
      <c r="AF4" s="3"/>
      <c r="AG4" s="3"/>
      <c r="AH4" s="3"/>
      <c r="AI4" s="3"/>
      <c r="AJ4" s="3"/>
      <c r="AK4" s="3"/>
      <c r="AL4" s="3"/>
      <c r="AM4" s="3"/>
      <c r="AN4" s="3"/>
      <c r="AO4" s="3"/>
      <c r="AP4" s="3"/>
    </row>
    <row r="5" spans="1:42" x14ac:dyDescent="0.25">
      <c r="A5" t="s">
        <v>4</v>
      </c>
      <c r="B5" s="6">
        <v>-611711.12191152503</v>
      </c>
      <c r="C5" s="6">
        <v>632967.09479468397</v>
      </c>
      <c r="D5" s="5">
        <f t="shared" si="0"/>
        <v>-0.96641851834327386</v>
      </c>
      <c r="E5" s="6">
        <f t="shared" si="1"/>
        <v>21255.972883158945</v>
      </c>
      <c r="F5" s="6">
        <v>-124837.11295495099</v>
      </c>
      <c r="G5" s="6">
        <v>125786.37310764899</v>
      </c>
      <c r="H5" s="5">
        <f t="shared" si="2"/>
        <v>-0.99245339436024904</v>
      </c>
      <c r="I5" s="6">
        <f t="shared" si="3"/>
        <v>949.26015269799973</v>
      </c>
      <c r="J5" s="6">
        <v>-49513.350620204001</v>
      </c>
      <c r="K5" s="6">
        <v>47841.174083838101</v>
      </c>
      <c r="L5" s="5">
        <f t="shared" si="4"/>
        <v>-1.0349526651130161</v>
      </c>
      <c r="M5" s="6">
        <f t="shared" si="5"/>
        <v>-1672.1765363658997</v>
      </c>
      <c r="N5" t="s">
        <v>24</v>
      </c>
    </row>
    <row r="6" spans="1:42" x14ac:dyDescent="0.25">
      <c r="A6" t="s">
        <v>6</v>
      </c>
      <c r="B6" s="6">
        <v>-23639.052484741402</v>
      </c>
      <c r="C6" s="6">
        <v>19682.8288777735</v>
      </c>
      <c r="D6" s="5">
        <f t="shared" si="0"/>
        <v>-1.2009987299861862</v>
      </c>
      <c r="E6" s="6">
        <f t="shared" si="1"/>
        <v>-3956.223606967902</v>
      </c>
      <c r="F6" s="6">
        <v>-5718.2312864800897</v>
      </c>
      <c r="G6" s="6">
        <v>15677.5227380697</v>
      </c>
      <c r="H6" s="5">
        <f t="shared" si="2"/>
        <v>-0.3647407426553762</v>
      </c>
      <c r="I6" s="6">
        <f t="shared" si="3"/>
        <v>9959.29145158961</v>
      </c>
      <c r="J6" s="6">
        <v>-2790.36636372676</v>
      </c>
      <c r="K6" s="6">
        <v>13463.719299594801</v>
      </c>
      <c r="L6" s="5">
        <f t="shared" si="4"/>
        <v>-0.20725078276184336</v>
      </c>
      <c r="M6" s="6">
        <f t="shared" si="5"/>
        <v>10673.352935868041</v>
      </c>
      <c r="N6" t="s">
        <v>24</v>
      </c>
    </row>
    <row r="7" spans="1:42" x14ac:dyDescent="0.25">
      <c r="A7" t="s">
        <v>5</v>
      </c>
      <c r="B7" s="6">
        <v>-30682.746255407401</v>
      </c>
      <c r="C7" s="6">
        <v>17090.916249983798</v>
      </c>
      <c r="D7" s="5">
        <f t="shared" si="0"/>
        <v>-1.7952663161307392</v>
      </c>
      <c r="E7" s="6">
        <f t="shared" si="1"/>
        <v>-13591.830005423602</v>
      </c>
      <c r="F7" s="6">
        <v>-6100.3980291768003</v>
      </c>
      <c r="G7" s="6">
        <v>12692.2292408466</v>
      </c>
      <c r="H7" s="5">
        <f t="shared" si="2"/>
        <v>-0.48064039133049019</v>
      </c>
      <c r="I7" s="6">
        <f t="shared" si="3"/>
        <v>6591.8312116697998</v>
      </c>
      <c r="J7" s="6">
        <v>-2360.7973050558699</v>
      </c>
      <c r="K7" s="6">
        <v>10689.1346820868</v>
      </c>
      <c r="L7" s="5">
        <f t="shared" si="4"/>
        <v>-0.22085953402871522</v>
      </c>
      <c r="M7" s="6">
        <f t="shared" si="5"/>
        <v>8328.3373770309299</v>
      </c>
      <c r="N7" t="s">
        <v>24</v>
      </c>
    </row>
    <row r="8" spans="1:42" x14ac:dyDescent="0.25">
      <c r="A8" t="s">
        <v>8</v>
      </c>
      <c r="B8" s="6">
        <v>-97079.650583780895</v>
      </c>
      <c r="C8" s="6">
        <v>29977.691435656099</v>
      </c>
      <c r="D8" s="5">
        <f t="shared" si="0"/>
        <v>-3.2383964853381708</v>
      </c>
      <c r="E8" s="6">
        <f t="shared" si="1"/>
        <v>-67101.959148124792</v>
      </c>
      <c r="F8" s="6">
        <v>-20972.403124771499</v>
      </c>
      <c r="G8" s="6">
        <v>18375.511162999999</v>
      </c>
      <c r="H8" s="5">
        <f t="shared" si="2"/>
        <v>-1.1413235223083464</v>
      </c>
      <c r="I8" s="6">
        <f t="shared" si="3"/>
        <v>-2596.8919617715001</v>
      </c>
      <c r="J8" s="6">
        <v>-8406.4334333911793</v>
      </c>
      <c r="K8" s="6">
        <v>13832.566021950501</v>
      </c>
      <c r="L8" s="5">
        <f t="shared" si="4"/>
        <v>-0.60772769275427652</v>
      </c>
      <c r="M8" s="6">
        <f t="shared" si="5"/>
        <v>5426.1325885593214</v>
      </c>
      <c r="N8" t="s">
        <v>24</v>
      </c>
    </row>
    <row r="9" spans="1:42" x14ac:dyDescent="0.25">
      <c r="A9" t="s">
        <v>7</v>
      </c>
      <c r="B9" s="6">
        <v>-43683.1580178394</v>
      </c>
      <c r="C9" s="6">
        <v>19701.6259138606</v>
      </c>
      <c r="D9" s="5">
        <f t="shared" si="0"/>
        <v>-2.2172361920194197</v>
      </c>
      <c r="E9" s="6">
        <f t="shared" si="1"/>
        <v>-23981.5321039788</v>
      </c>
      <c r="F9" s="6">
        <v>-9175.9801601351992</v>
      </c>
      <c r="G9" s="6">
        <v>13838.706423644</v>
      </c>
      <c r="H9" s="5">
        <f t="shared" si="2"/>
        <v>-0.66306632131870791</v>
      </c>
      <c r="I9" s="6">
        <f t="shared" si="3"/>
        <v>4662.7262635088009</v>
      </c>
      <c r="J9" s="6">
        <v>-3610.0129557775899</v>
      </c>
      <c r="K9" s="6">
        <v>11226.4948888167</v>
      </c>
      <c r="L9" s="5">
        <f t="shared" si="4"/>
        <v>-0.32156189367473126</v>
      </c>
      <c r="M9" s="6">
        <f t="shared" si="5"/>
        <v>7616.4819330391101</v>
      </c>
      <c r="N9" t="s">
        <v>24</v>
      </c>
    </row>
    <row r="10" spans="1:42" x14ac:dyDescent="0.25">
      <c r="A10" t="s">
        <v>9</v>
      </c>
      <c r="B10" s="6">
        <v>-50470.5551048856</v>
      </c>
      <c r="C10" s="6">
        <v>22047.6456426271</v>
      </c>
      <c r="D10" s="5">
        <f t="shared" si="0"/>
        <v>-2.2891584853534388</v>
      </c>
      <c r="E10" s="6">
        <f t="shared" si="1"/>
        <v>-28422.9094622585</v>
      </c>
      <c r="F10" s="6">
        <v>-10472.8845316388</v>
      </c>
      <c r="G10" s="6">
        <v>14865.3551125206</v>
      </c>
      <c r="H10" s="5">
        <f t="shared" si="2"/>
        <v>-0.70451626969999748</v>
      </c>
      <c r="I10" s="6">
        <f t="shared" si="3"/>
        <v>4392.4705808817998</v>
      </c>
      <c r="J10" s="6">
        <v>-4213.4803805597603</v>
      </c>
      <c r="K10" s="6">
        <v>12164.270271887701</v>
      </c>
      <c r="L10" s="5">
        <f t="shared" si="4"/>
        <v>-0.34638168064198194</v>
      </c>
      <c r="M10" s="6">
        <f t="shared" si="5"/>
        <v>7950.7898913279405</v>
      </c>
      <c r="N10" t="s">
        <v>24</v>
      </c>
    </row>
    <row r="11" spans="1:42" x14ac:dyDescent="0.25">
      <c r="A11" t="s">
        <v>13</v>
      </c>
      <c r="B11" s="6">
        <v>0</v>
      </c>
      <c r="C11" s="6">
        <v>14486.1268858849</v>
      </c>
      <c r="D11" s="5">
        <f t="shared" si="0"/>
        <v>0</v>
      </c>
      <c r="E11" s="6">
        <f t="shared" si="1"/>
        <v>14486.1268858849</v>
      </c>
      <c r="F11" s="6">
        <v>0</v>
      </c>
      <c r="G11" s="6">
        <v>11511.601320002699</v>
      </c>
      <c r="H11" s="5">
        <f t="shared" si="2"/>
        <v>0</v>
      </c>
      <c r="I11" s="6">
        <f t="shared" si="3"/>
        <v>11511.601320002699</v>
      </c>
      <c r="J11" s="6">
        <v>0</v>
      </c>
      <c r="K11" s="6">
        <v>9874.8984398431494</v>
      </c>
      <c r="L11" s="5">
        <f t="shared" si="4"/>
        <v>0</v>
      </c>
      <c r="M11" s="6">
        <f t="shared" si="5"/>
        <v>9874.8984398431494</v>
      </c>
      <c r="N11" t="s">
        <v>24</v>
      </c>
    </row>
    <row r="12" spans="1:42" x14ac:dyDescent="0.25">
      <c r="A12" t="s">
        <v>10</v>
      </c>
      <c r="B12" s="6">
        <v>-1404.5679010868701</v>
      </c>
      <c r="C12" s="6">
        <v>45132.0836071905</v>
      </c>
      <c r="D12" s="5">
        <f t="shared" si="0"/>
        <v>-3.1121273134907791E-2</v>
      </c>
      <c r="E12" s="6">
        <f t="shared" si="1"/>
        <v>43727.51570610363</v>
      </c>
      <c r="F12" s="6">
        <v>-32.085743248811902</v>
      </c>
      <c r="G12" s="6">
        <v>32278.589396815001</v>
      </c>
      <c r="H12" s="5">
        <f t="shared" si="2"/>
        <v>-9.9402557076976451E-4</v>
      </c>
      <c r="I12" s="6">
        <f t="shared" si="3"/>
        <v>32246.503653566189</v>
      </c>
      <c r="J12" s="6">
        <v>-227.43782558660999</v>
      </c>
      <c r="K12" s="6">
        <v>26285.648960687002</v>
      </c>
      <c r="L12" s="5">
        <f t="shared" si="4"/>
        <v>-8.6525474766389662E-3</v>
      </c>
      <c r="M12" s="6">
        <f t="shared" si="5"/>
        <v>26058.211135100391</v>
      </c>
      <c r="N12" t="s">
        <v>24</v>
      </c>
    </row>
    <row r="13" spans="1:42" x14ac:dyDescent="0.25">
      <c r="A13" t="s">
        <v>11</v>
      </c>
      <c r="B13" s="6">
        <v>40603.4193094004</v>
      </c>
      <c r="C13" s="6">
        <v>828169.20249635505</v>
      </c>
      <c r="D13" s="5">
        <f t="shared" si="0"/>
        <v>4.9027927127704443E-2</v>
      </c>
      <c r="E13" s="6">
        <f t="shared" si="1"/>
        <v>868772.62180575542</v>
      </c>
      <c r="F13" s="6">
        <v>4460.6170443716501</v>
      </c>
      <c r="G13" s="6">
        <v>222303.607323328</v>
      </c>
      <c r="H13" s="5">
        <f t="shared" si="2"/>
        <v>2.0065428078654322E-2</v>
      </c>
      <c r="I13" s="6">
        <f t="shared" si="3"/>
        <v>226764.22436769964</v>
      </c>
      <c r="J13" s="6">
        <v>-1031.07110519603</v>
      </c>
      <c r="K13" s="6">
        <v>108783.803081255</v>
      </c>
      <c r="L13" s="5">
        <f t="shared" si="4"/>
        <v>-9.4781674844175243E-3</v>
      </c>
      <c r="M13" s="6">
        <f t="shared" si="5"/>
        <v>107752.73197605897</v>
      </c>
      <c r="N13" t="s">
        <v>24</v>
      </c>
    </row>
    <row r="14" spans="1:42" x14ac:dyDescent="0.25">
      <c r="A14" t="s">
        <v>12</v>
      </c>
      <c r="B14" s="6">
        <v>-2626.77829541446</v>
      </c>
      <c r="C14" s="6">
        <v>25767.324754375601</v>
      </c>
      <c r="D14" s="5">
        <f t="shared" si="0"/>
        <v>-0.10194222025196471</v>
      </c>
      <c r="E14" s="6">
        <f t="shared" si="1"/>
        <v>23140.54645896114</v>
      </c>
      <c r="F14" s="6">
        <v>-184.162683612303</v>
      </c>
      <c r="G14" s="6">
        <v>17829.693968081301</v>
      </c>
      <c r="H14" s="5">
        <f t="shared" si="2"/>
        <v>-1.0328987359064651E-2</v>
      </c>
      <c r="I14" s="6">
        <f t="shared" si="3"/>
        <v>17645.531284468998</v>
      </c>
      <c r="J14" s="6">
        <v>-125.237709722896</v>
      </c>
      <c r="K14" s="6">
        <v>14163.2689710182</v>
      </c>
      <c r="L14" s="5">
        <f t="shared" si="4"/>
        <v>-8.8424296664255629E-3</v>
      </c>
      <c r="M14" s="6">
        <f t="shared" si="5"/>
        <v>14038.031261295304</v>
      </c>
      <c r="N14" t="s">
        <v>24</v>
      </c>
    </row>
    <row r="15" spans="1:42" x14ac:dyDescent="0.25">
      <c r="A15" t="s">
        <v>55</v>
      </c>
      <c r="B15" s="6">
        <v>-177560.27976733001</v>
      </c>
      <c r="C15" s="6">
        <v>84648.601837562499</v>
      </c>
      <c r="D15" s="5">
        <f t="shared" si="0"/>
        <v>-2.0976162147138773</v>
      </c>
      <c r="E15" s="6">
        <f t="shared" si="1"/>
        <v>-92911.677929767509</v>
      </c>
      <c r="F15" s="6">
        <v>-55394.240300793303</v>
      </c>
      <c r="G15" s="6">
        <v>44328.768128424897</v>
      </c>
      <c r="H15" s="5">
        <f t="shared" si="2"/>
        <v>-1.2496228214668772</v>
      </c>
      <c r="I15" s="6">
        <f t="shared" si="3"/>
        <v>-11065.472172368405</v>
      </c>
      <c r="J15" s="6">
        <v>-27847.218892906101</v>
      </c>
      <c r="K15" s="6">
        <v>28922.694502216698</v>
      </c>
      <c r="L15" s="5">
        <f t="shared" si="4"/>
        <v>-0.96281551121635056</v>
      </c>
      <c r="M15" s="6">
        <f t="shared" si="5"/>
        <v>1075.4756093105971</v>
      </c>
      <c r="N15" t="s">
        <v>24</v>
      </c>
    </row>
    <row r="16" spans="1:42" x14ac:dyDescent="0.25">
      <c r="B16" s="6"/>
      <c r="C16" s="6"/>
      <c r="E16" s="6"/>
      <c r="F16" s="6"/>
      <c r="G16" s="6"/>
      <c r="I16" s="6"/>
      <c r="J16" s="6"/>
      <c r="K16" s="6"/>
      <c r="M16" s="6"/>
    </row>
    <row r="17" spans="1:14" x14ac:dyDescent="0.25">
      <c r="A17" s="3" t="s">
        <v>60</v>
      </c>
      <c r="B17" s="6" t="s">
        <v>38</v>
      </c>
      <c r="C17" s="6" t="s">
        <v>39</v>
      </c>
      <c r="D17" s="5" t="s">
        <v>40</v>
      </c>
      <c r="E17" s="6" t="s">
        <v>41</v>
      </c>
      <c r="F17" s="6" t="s">
        <v>15</v>
      </c>
      <c r="G17" s="6" t="s">
        <v>16</v>
      </c>
      <c r="H17" s="5" t="s">
        <v>17</v>
      </c>
      <c r="I17" s="6" t="s">
        <v>18</v>
      </c>
      <c r="J17" s="6" t="s">
        <v>19</v>
      </c>
      <c r="K17" s="6" t="s">
        <v>20</v>
      </c>
      <c r="L17" s="5" t="s">
        <v>21</v>
      </c>
      <c r="M17" s="6" t="s">
        <v>22</v>
      </c>
      <c r="N17" t="s">
        <v>23</v>
      </c>
    </row>
    <row r="18" spans="1:14" x14ac:dyDescent="0.25">
      <c r="A18" t="s">
        <v>1</v>
      </c>
      <c r="B18" s="6">
        <f>B2-B$34</f>
        <v>-40991.392169844003</v>
      </c>
      <c r="C18" s="6">
        <f>C2-C$34</f>
        <v>59478.737010742298</v>
      </c>
      <c r="D18" s="5">
        <f>B18/C18</f>
        <v>-0.68917724602055108</v>
      </c>
      <c r="E18" s="6">
        <f>B18+C18</f>
        <v>18487.344840898295</v>
      </c>
      <c r="F18" s="6">
        <f>F2-F$34</f>
        <v>-11644.658803537901</v>
      </c>
      <c r="G18" s="6">
        <f>G2-G$34</f>
        <v>20995.318762810704</v>
      </c>
      <c r="H18" s="5">
        <f>F18/G18</f>
        <v>-0.55463119827283802</v>
      </c>
      <c r="I18" s="6">
        <f>F18+G18</f>
        <v>9350.6599592728035</v>
      </c>
      <c r="J18" s="6">
        <f>J2-J$34</f>
        <v>-5002.1063151110802</v>
      </c>
      <c r="K18" s="6">
        <f>K2-K$34</f>
        <v>10203.17448343405</v>
      </c>
      <c r="L18" s="5">
        <f>J18/K18</f>
        <v>-0.49025000241175304</v>
      </c>
      <c r="M18" s="6">
        <f>J18+K18</f>
        <v>5201.0681683229695</v>
      </c>
      <c r="N18" t="s">
        <v>24</v>
      </c>
    </row>
    <row r="19" spans="1:14" x14ac:dyDescent="0.25">
      <c r="A19" t="s">
        <v>2</v>
      </c>
      <c r="B19" s="6">
        <f t="shared" ref="B19:C19" si="6">B3-B$34</f>
        <v>-190307.317572267</v>
      </c>
      <c r="C19" s="6">
        <f t="shared" si="6"/>
        <v>327236.42892221408</v>
      </c>
      <c r="D19" s="5">
        <f t="shared" ref="D19:D31" si="7">B19/C19</f>
        <v>-0.58155908313467175</v>
      </c>
      <c r="E19" s="6">
        <f t="shared" ref="E19:E31" si="8">B19+C19</f>
        <v>136929.11134994708</v>
      </c>
      <c r="F19" s="6">
        <f t="shared" ref="F19:G19" si="9">F3-F$34</f>
        <v>-30848.8092279228</v>
      </c>
      <c r="G19" s="6">
        <f t="shared" si="9"/>
        <v>57295.127698267701</v>
      </c>
      <c r="H19" s="5">
        <f t="shared" ref="H19:H31" si="10">F19/G19</f>
        <v>-0.5384194165755477</v>
      </c>
      <c r="I19" s="6">
        <f t="shared" ref="I19:I31" si="11">F19+G19</f>
        <v>26446.318470344901</v>
      </c>
      <c r="J19" s="6">
        <f t="shared" ref="J19:K19" si="12">J3-J$34</f>
        <v>-9394.0921605190797</v>
      </c>
      <c r="K19" s="6">
        <f t="shared" si="12"/>
        <v>18899.450639673851</v>
      </c>
      <c r="L19" s="5">
        <f t="shared" ref="L19:L31" si="13">J19/K19</f>
        <v>-0.49705636103511602</v>
      </c>
      <c r="M19" s="6">
        <f t="shared" ref="M19:M31" si="14">J19+K19</f>
        <v>9505.358479154771</v>
      </c>
      <c r="N19" t="s">
        <v>24</v>
      </c>
    </row>
    <row r="20" spans="1:14" x14ac:dyDescent="0.25">
      <c r="A20" t="s">
        <v>3</v>
      </c>
      <c r="B20" s="6">
        <f t="shared" ref="B20:C20" si="15">B4-B$34</f>
        <v>-112322.040618713</v>
      </c>
      <c r="C20" s="6">
        <f t="shared" si="15"/>
        <v>42255.357612054198</v>
      </c>
      <c r="D20" s="5">
        <f t="shared" si="7"/>
        <v>-2.6581727611901895</v>
      </c>
      <c r="E20" s="6">
        <f t="shared" si="8"/>
        <v>-70066.683006658801</v>
      </c>
      <c r="F20" s="6">
        <f t="shared" ref="F20:G20" si="16">F4-F$34</f>
        <v>-48889.259790475502</v>
      </c>
      <c r="G20" s="6">
        <f t="shared" si="16"/>
        <v>17197.963143481102</v>
      </c>
      <c r="H20" s="5">
        <f t="shared" si="10"/>
        <v>-2.8427354671362348</v>
      </c>
      <c r="I20" s="6">
        <f t="shared" si="11"/>
        <v>-31691.2966469944</v>
      </c>
      <c r="J20" s="6">
        <f t="shared" ref="J20:K20" si="17">J4-J$34</f>
        <v>-28941.9181735079</v>
      </c>
      <c r="K20" s="6">
        <f t="shared" si="17"/>
        <v>8147.9350694003515</v>
      </c>
      <c r="L20" s="5">
        <f t="shared" si="13"/>
        <v>-3.5520555732211898</v>
      </c>
      <c r="M20" s="6">
        <f t="shared" si="14"/>
        <v>-20793.983104107549</v>
      </c>
      <c r="N20" t="s">
        <v>24</v>
      </c>
    </row>
    <row r="21" spans="1:14" x14ac:dyDescent="0.25">
      <c r="A21" t="s">
        <v>4</v>
      </c>
      <c r="B21" s="6">
        <f t="shared" ref="B21:C21" si="18">B5-B$34</f>
        <v>-611711.12191152503</v>
      </c>
      <c r="C21" s="6">
        <f t="shared" si="18"/>
        <v>618480.96790879907</v>
      </c>
      <c r="D21" s="5">
        <f t="shared" si="7"/>
        <v>-0.989054075471127</v>
      </c>
      <c r="E21" s="6">
        <f t="shared" si="8"/>
        <v>6769.8459972740384</v>
      </c>
      <c r="F21" s="6">
        <f t="shared" ref="F21:G21" si="19">F5-F$34</f>
        <v>-124837.11295495099</v>
      </c>
      <c r="G21" s="6">
        <f t="shared" si="19"/>
        <v>114274.7717876463</v>
      </c>
      <c r="H21" s="5">
        <f t="shared" si="10"/>
        <v>-1.0924293350323413</v>
      </c>
      <c r="I21" s="6">
        <f t="shared" si="11"/>
        <v>-10562.341167304694</v>
      </c>
      <c r="J21" s="6">
        <f t="shared" ref="J21:K21" si="20">J5-J$34</f>
        <v>-49513.350620204001</v>
      </c>
      <c r="K21" s="6">
        <f t="shared" si="20"/>
        <v>37966.275643994952</v>
      </c>
      <c r="L21" s="5">
        <f t="shared" si="13"/>
        <v>-1.3041403134846445</v>
      </c>
      <c r="M21" s="6">
        <f t="shared" si="14"/>
        <v>-11547.074976209049</v>
      </c>
      <c r="N21" t="s">
        <v>24</v>
      </c>
    </row>
    <row r="22" spans="1:14" x14ac:dyDescent="0.25">
      <c r="A22" t="s">
        <v>6</v>
      </c>
      <c r="B22" s="6">
        <f t="shared" ref="B22:C22" si="21">B6-B$34</f>
        <v>-23639.052484741402</v>
      </c>
      <c r="C22" s="6">
        <f t="shared" si="21"/>
        <v>5196.7019918885999</v>
      </c>
      <c r="D22" s="5">
        <f t="shared" si="7"/>
        <v>-4.54885666363763</v>
      </c>
      <c r="E22" s="6">
        <f t="shared" si="8"/>
        <v>-18442.350492852802</v>
      </c>
      <c r="F22" s="6">
        <f t="shared" ref="F22:G22" si="22">F6-F$34</f>
        <v>-5718.2312864800897</v>
      </c>
      <c r="G22" s="6">
        <f t="shared" si="22"/>
        <v>4165.9214180670006</v>
      </c>
      <c r="H22" s="5">
        <f t="shared" si="10"/>
        <v>-1.3726210152887055</v>
      </c>
      <c r="I22" s="6">
        <f t="shared" si="11"/>
        <v>-1552.3098684130891</v>
      </c>
      <c r="J22" s="6">
        <f t="shared" ref="J22:K22" si="23">J6-J$34</f>
        <v>-2790.36636372676</v>
      </c>
      <c r="K22" s="6">
        <f t="shared" si="23"/>
        <v>3588.8208597516514</v>
      </c>
      <c r="L22" s="5">
        <f t="shared" si="13"/>
        <v>-0.77751620177549208</v>
      </c>
      <c r="M22" s="6">
        <f t="shared" si="14"/>
        <v>798.45449602489134</v>
      </c>
      <c r="N22" t="s">
        <v>24</v>
      </c>
    </row>
    <row r="23" spans="1:14" x14ac:dyDescent="0.25">
      <c r="A23" t="s">
        <v>5</v>
      </c>
      <c r="B23" s="6">
        <f t="shared" ref="B23:C23" si="24">B7-B$34</f>
        <v>-30682.746255407401</v>
      </c>
      <c r="C23" s="6">
        <f t="shared" si="24"/>
        <v>2604.7893640988987</v>
      </c>
      <c r="D23" s="5">
        <f t="shared" si="7"/>
        <v>-11.779357931316568</v>
      </c>
      <c r="E23" s="6">
        <f t="shared" si="8"/>
        <v>-28077.956891308502</v>
      </c>
      <c r="F23" s="6">
        <f t="shared" ref="F23:G23" si="25">F7-F$34</f>
        <v>-6100.3980291768003</v>
      </c>
      <c r="G23" s="6">
        <f t="shared" si="25"/>
        <v>1180.6279208439009</v>
      </c>
      <c r="H23" s="5">
        <f t="shared" si="10"/>
        <v>-5.1670792478093333</v>
      </c>
      <c r="I23" s="6">
        <f t="shared" si="11"/>
        <v>-4919.7701083328993</v>
      </c>
      <c r="J23" s="6">
        <f t="shared" ref="J23:K23" si="26">J7-J$34</f>
        <v>-2360.7973050558699</v>
      </c>
      <c r="K23" s="6">
        <f t="shared" si="26"/>
        <v>814.23624224365085</v>
      </c>
      <c r="L23" s="5">
        <f t="shared" si="13"/>
        <v>-2.8994009141015713</v>
      </c>
      <c r="M23" s="6">
        <f t="shared" si="14"/>
        <v>-1546.561062812219</v>
      </c>
      <c r="N23" t="s">
        <v>24</v>
      </c>
    </row>
    <row r="24" spans="1:14" x14ac:dyDescent="0.25">
      <c r="A24" t="s">
        <v>8</v>
      </c>
      <c r="B24" s="6">
        <f t="shared" ref="B24:C24" si="27">B8-B$34</f>
        <v>-97079.650583780895</v>
      </c>
      <c r="C24" s="6">
        <f t="shared" si="27"/>
        <v>15491.564549771199</v>
      </c>
      <c r="D24" s="5">
        <f t="shared" si="7"/>
        <v>-6.2666136962399124</v>
      </c>
      <c r="E24" s="6">
        <f t="shared" si="8"/>
        <v>-81588.086034009699</v>
      </c>
      <c r="F24" s="6">
        <f t="shared" ref="F24:G24" si="28">F8-F$34</f>
        <v>-20972.403124771499</v>
      </c>
      <c r="G24" s="6">
        <f t="shared" si="28"/>
        <v>6863.9098429973001</v>
      </c>
      <c r="H24" s="5">
        <f t="shared" si="10"/>
        <v>-3.0554601684006633</v>
      </c>
      <c r="I24" s="6">
        <f t="shared" si="11"/>
        <v>-14108.493281774199</v>
      </c>
      <c r="J24" s="6">
        <f t="shared" ref="J24:K24" si="29">J8-J$34</f>
        <v>-8406.4334333911793</v>
      </c>
      <c r="K24" s="6">
        <f t="shared" si="29"/>
        <v>3957.6675821073513</v>
      </c>
      <c r="L24" s="5">
        <f t="shared" si="13"/>
        <v>-2.1240878014608242</v>
      </c>
      <c r="M24" s="6">
        <f t="shared" si="14"/>
        <v>-4448.7658512838279</v>
      </c>
      <c r="N24" t="s">
        <v>24</v>
      </c>
    </row>
    <row r="25" spans="1:14" x14ac:dyDescent="0.25">
      <c r="A25" t="s">
        <v>7</v>
      </c>
      <c r="B25" s="6">
        <f t="shared" ref="B25:C25" si="30">B9-B$34</f>
        <v>-43683.1580178394</v>
      </c>
      <c r="C25" s="6">
        <f t="shared" si="30"/>
        <v>5215.4990279757003</v>
      </c>
      <c r="D25" s="5">
        <f t="shared" si="7"/>
        <v>-8.3756430177677963</v>
      </c>
      <c r="E25" s="6">
        <f t="shared" si="8"/>
        <v>-38467.658989863703</v>
      </c>
      <c r="F25" s="6">
        <f t="shared" ref="F25:G25" si="31">F9-F$34</f>
        <v>-9175.9801601351992</v>
      </c>
      <c r="G25" s="6">
        <f t="shared" si="31"/>
        <v>2327.105103641301</v>
      </c>
      <c r="H25" s="5">
        <f t="shared" si="10"/>
        <v>-3.9430879790419562</v>
      </c>
      <c r="I25" s="6">
        <f t="shared" si="11"/>
        <v>-6848.8750564938982</v>
      </c>
      <c r="J25" s="6">
        <f t="shared" ref="J25:K25" si="32">J9-J$34</f>
        <v>-3610.0129557775899</v>
      </c>
      <c r="K25" s="6">
        <f t="shared" si="32"/>
        <v>1351.5964489735507</v>
      </c>
      <c r="L25" s="5">
        <f t="shared" si="13"/>
        <v>-2.6709251555959321</v>
      </c>
      <c r="M25" s="6">
        <f t="shared" si="14"/>
        <v>-2258.4165068040393</v>
      </c>
      <c r="N25" t="s">
        <v>24</v>
      </c>
    </row>
    <row r="26" spans="1:14" x14ac:dyDescent="0.25">
      <c r="A26" t="s">
        <v>9</v>
      </c>
      <c r="B26" s="6">
        <f t="shared" ref="B26:C26" si="33">B10-B$34</f>
        <v>-50470.5551048856</v>
      </c>
      <c r="C26" s="6">
        <f t="shared" si="33"/>
        <v>7561.5187567421999</v>
      </c>
      <c r="D26" s="5">
        <f t="shared" si="7"/>
        <v>-6.6746584553379193</v>
      </c>
      <c r="E26" s="6">
        <f t="shared" si="8"/>
        <v>-42909.036348143403</v>
      </c>
      <c r="F26" s="6">
        <f t="shared" ref="F26:G26" si="34">F10-F$34</f>
        <v>-10472.8845316388</v>
      </c>
      <c r="G26" s="6">
        <f t="shared" si="34"/>
        <v>3353.7537925179004</v>
      </c>
      <c r="H26" s="5">
        <f t="shared" si="10"/>
        <v>-3.1227350543750152</v>
      </c>
      <c r="I26" s="6">
        <f t="shared" si="11"/>
        <v>-7119.1307391208993</v>
      </c>
      <c r="J26" s="6">
        <f t="shared" ref="J26:K26" si="35">J10-J$34</f>
        <v>-4213.4803805597603</v>
      </c>
      <c r="K26" s="6">
        <f t="shared" si="35"/>
        <v>2289.3718320445514</v>
      </c>
      <c r="L26" s="5">
        <f t="shared" si="13"/>
        <v>-1.8404526174312454</v>
      </c>
      <c r="M26" s="6">
        <f t="shared" si="14"/>
        <v>-1924.1085485152089</v>
      </c>
      <c r="N26" t="s">
        <v>24</v>
      </c>
    </row>
    <row r="27" spans="1:14" x14ac:dyDescent="0.25">
      <c r="A27" t="s">
        <v>13</v>
      </c>
      <c r="B27" s="6">
        <f t="shared" ref="B27:C27" si="36">B11-B$34</f>
        <v>0</v>
      </c>
      <c r="C27" s="6">
        <f t="shared" si="36"/>
        <v>0</v>
      </c>
      <c r="D27" s="5" t="e">
        <f t="shared" si="7"/>
        <v>#DIV/0!</v>
      </c>
      <c r="E27" s="6">
        <f t="shared" si="8"/>
        <v>0</v>
      </c>
      <c r="F27" s="6">
        <f t="shared" ref="F27:G27" si="37">F11-F$34</f>
        <v>0</v>
      </c>
      <c r="G27" s="6">
        <f t="shared" si="37"/>
        <v>0</v>
      </c>
      <c r="H27" s="5" t="e">
        <f t="shared" si="10"/>
        <v>#DIV/0!</v>
      </c>
      <c r="I27" s="6">
        <f t="shared" si="11"/>
        <v>0</v>
      </c>
      <c r="J27" s="6">
        <f t="shared" ref="J27:K27" si="38">J11-J$34</f>
        <v>0</v>
      </c>
      <c r="K27" s="6">
        <f t="shared" si="38"/>
        <v>0</v>
      </c>
      <c r="L27" s="5" t="e">
        <f t="shared" si="13"/>
        <v>#DIV/0!</v>
      </c>
      <c r="M27" s="6">
        <f t="shared" si="14"/>
        <v>0</v>
      </c>
      <c r="N27" t="s">
        <v>24</v>
      </c>
    </row>
    <row r="28" spans="1:14" x14ac:dyDescent="0.25">
      <c r="A28" t="s">
        <v>10</v>
      </c>
      <c r="B28" s="6">
        <f t="shared" ref="B28:C28" si="39">B12-B$34</f>
        <v>-1404.5679010868701</v>
      </c>
      <c r="C28" s="6">
        <f t="shared" si="39"/>
        <v>30645.9567213056</v>
      </c>
      <c r="D28" s="5">
        <f t="shared" si="7"/>
        <v>-4.5832078726078411E-2</v>
      </c>
      <c r="E28" s="6">
        <f t="shared" si="8"/>
        <v>29241.38882021873</v>
      </c>
      <c r="F28" s="6">
        <f t="shared" ref="F28:G28" si="40">F12-F$34</f>
        <v>-32.085743248811902</v>
      </c>
      <c r="G28" s="6">
        <f t="shared" si="40"/>
        <v>20766.988076812304</v>
      </c>
      <c r="H28" s="5">
        <f t="shared" si="10"/>
        <v>-1.5450359546668074E-3</v>
      </c>
      <c r="I28" s="6">
        <f t="shared" si="11"/>
        <v>20734.902333563492</v>
      </c>
      <c r="J28" s="6">
        <f t="shared" ref="J28:K28" si="41">J12-J$34</f>
        <v>-227.43782558660999</v>
      </c>
      <c r="K28" s="6">
        <f t="shared" si="41"/>
        <v>16410.750520843852</v>
      </c>
      <c r="L28" s="5">
        <f t="shared" si="13"/>
        <v>-1.385907520181563E-2</v>
      </c>
      <c r="M28" s="6">
        <f t="shared" si="14"/>
        <v>16183.312695257242</v>
      </c>
      <c r="N28" t="s">
        <v>24</v>
      </c>
    </row>
    <row r="29" spans="1:14" x14ac:dyDescent="0.25">
      <c r="A29" t="s">
        <v>11</v>
      </c>
      <c r="B29" s="6">
        <f t="shared" ref="B29:C29" si="42">B13-B$34</f>
        <v>40603.4193094004</v>
      </c>
      <c r="C29" s="6">
        <f t="shared" si="42"/>
        <v>813683.07561047014</v>
      </c>
      <c r="D29" s="5">
        <f t="shared" si="7"/>
        <v>4.9900778972129245E-2</v>
      </c>
      <c r="E29" s="6">
        <f t="shared" si="8"/>
        <v>854286.49491987051</v>
      </c>
      <c r="F29" s="6">
        <f t="shared" ref="F29:G29" si="43">F13-F$34</f>
        <v>4460.6170443716501</v>
      </c>
      <c r="G29" s="6">
        <f t="shared" si="43"/>
        <v>210792.00600332531</v>
      </c>
      <c r="H29" s="5">
        <f t="shared" si="10"/>
        <v>2.116122489152308E-2</v>
      </c>
      <c r="I29" s="6">
        <f t="shared" si="11"/>
        <v>215252.62304769695</v>
      </c>
      <c r="J29" s="6">
        <f t="shared" ref="J29:K29" si="44">J13-J$34</f>
        <v>-1031.07110519603</v>
      </c>
      <c r="K29" s="6">
        <f t="shared" si="44"/>
        <v>98908.904641411849</v>
      </c>
      <c r="L29" s="5">
        <f t="shared" si="13"/>
        <v>-1.0424451761285952E-2</v>
      </c>
      <c r="M29" s="6">
        <f t="shared" si="14"/>
        <v>97877.833536215825</v>
      </c>
      <c r="N29" t="s">
        <v>24</v>
      </c>
    </row>
    <row r="30" spans="1:14" x14ac:dyDescent="0.25">
      <c r="A30" t="s">
        <v>12</v>
      </c>
      <c r="B30" s="6">
        <f t="shared" ref="B30:C30" si="45">B14-B$34</f>
        <v>-2626.77829541446</v>
      </c>
      <c r="C30" s="6">
        <f t="shared" si="45"/>
        <v>11281.197868490701</v>
      </c>
      <c r="D30" s="5">
        <f t="shared" si="7"/>
        <v>-0.23284568944147896</v>
      </c>
      <c r="E30" s="6">
        <f t="shared" si="8"/>
        <v>8654.4195730762403</v>
      </c>
      <c r="F30" s="6">
        <f t="shared" ref="F30:G30" si="46">F14-F$34</f>
        <v>-184.162683612303</v>
      </c>
      <c r="G30" s="6">
        <f t="shared" si="46"/>
        <v>6318.092648078602</v>
      </c>
      <c r="H30" s="5">
        <f t="shared" si="10"/>
        <v>-2.9148462023314711E-2</v>
      </c>
      <c r="I30" s="6">
        <f t="shared" si="11"/>
        <v>6133.9299644662988</v>
      </c>
      <c r="J30" s="6">
        <f t="shared" ref="J30:K30" si="47">J14-J$34</f>
        <v>-125.237709722896</v>
      </c>
      <c r="K30" s="6">
        <f t="shared" si="47"/>
        <v>4288.3705311750509</v>
      </c>
      <c r="L30" s="5">
        <f t="shared" si="13"/>
        <v>-2.9204031884012546E-2</v>
      </c>
      <c r="M30" s="6">
        <f t="shared" si="14"/>
        <v>4163.1328214521545</v>
      </c>
      <c r="N30" t="s">
        <v>24</v>
      </c>
    </row>
    <row r="31" spans="1:14" x14ac:dyDescent="0.25">
      <c r="A31" t="s">
        <v>55</v>
      </c>
      <c r="B31" s="6">
        <f t="shared" ref="B31:C31" si="48">B15-B$34</f>
        <v>-177560.27976733001</v>
      </c>
      <c r="C31" s="6">
        <f t="shared" si="48"/>
        <v>70162.474951677606</v>
      </c>
      <c r="D31" s="5">
        <f t="shared" si="7"/>
        <v>-2.5307014880763479</v>
      </c>
      <c r="E31" s="6">
        <f t="shared" si="8"/>
        <v>-107397.8048156524</v>
      </c>
      <c r="F31" s="6">
        <f t="shared" ref="F31:G31" si="49">F15-F$34</f>
        <v>-55394.240300793303</v>
      </c>
      <c r="G31" s="6">
        <f t="shared" si="49"/>
        <v>32817.166808422196</v>
      </c>
      <c r="H31" s="5">
        <f t="shared" si="10"/>
        <v>-1.6879653452161181</v>
      </c>
      <c r="I31" s="6">
        <f t="shared" si="11"/>
        <v>-22577.073492371106</v>
      </c>
      <c r="J31" s="6">
        <f t="shared" ref="J31:K31" si="50">J15-J$34</f>
        <v>-27847.218892906101</v>
      </c>
      <c r="K31" s="6">
        <f t="shared" si="50"/>
        <v>19047.796062373549</v>
      </c>
      <c r="L31" s="5">
        <f t="shared" si="13"/>
        <v>-1.4619654054315854</v>
      </c>
      <c r="M31" s="6">
        <f t="shared" si="14"/>
        <v>-8799.4228305325523</v>
      </c>
      <c r="N31" t="s">
        <v>24</v>
      </c>
    </row>
    <row r="33" spans="1:11" x14ac:dyDescent="0.25">
      <c r="A33" t="s">
        <v>13</v>
      </c>
      <c r="B33" t="s">
        <v>61</v>
      </c>
      <c r="C33" t="s">
        <v>62</v>
      </c>
      <c r="F33" t="s">
        <v>63</v>
      </c>
      <c r="G33" t="s">
        <v>64</v>
      </c>
      <c r="J33" t="s">
        <v>65</v>
      </c>
      <c r="K33" t="s">
        <v>66</v>
      </c>
    </row>
    <row r="34" spans="1:11" x14ac:dyDescent="0.25">
      <c r="B34" s="1">
        <v>0</v>
      </c>
      <c r="C34" s="1">
        <v>14486.1268858849</v>
      </c>
      <c r="F34" s="1">
        <v>0</v>
      </c>
      <c r="G34" s="1">
        <v>11511.601320002699</v>
      </c>
      <c r="J34" s="1">
        <v>0</v>
      </c>
      <c r="K34" s="1">
        <v>9874.8984398431494</v>
      </c>
    </row>
  </sheetData>
  <autoFilter ref="A1:N1" xr:uid="{E1B4DBF1-F2D7-44F8-977D-1BE3C41C10B1}">
    <sortState xmlns:xlrd2="http://schemas.microsoft.com/office/spreadsheetml/2017/richdata2" ref="A2:N14">
      <sortCondition ref="A1"/>
    </sortState>
  </autoFilter>
  <conditionalFormatting sqref="D2:D15 H2:H15 L2:L15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025FA5-7769-47FF-9EA0-8E472D7D4015}">
  <dimension ref="A1:AP34"/>
  <sheetViews>
    <sheetView topLeftCell="A3" workbookViewId="0">
      <selection activeCell="I8" sqref="I8"/>
    </sheetView>
  </sheetViews>
  <sheetFormatPr defaultRowHeight="15" x14ac:dyDescent="0.25"/>
  <cols>
    <col min="1" max="1" width="22.28515625" bestFit="1" customWidth="1"/>
    <col min="2" max="2" width="14.5703125" bestFit="1" customWidth="1"/>
    <col min="3" max="3" width="13.85546875" bestFit="1" customWidth="1"/>
    <col min="4" max="4" width="20" style="5" bestFit="1" customWidth="1"/>
    <col min="5" max="5" width="20" bestFit="1" customWidth="1"/>
    <col min="6" max="6" width="15.28515625" bestFit="1" customWidth="1"/>
    <col min="7" max="7" width="13" bestFit="1" customWidth="1"/>
    <col min="8" max="8" width="21" style="5" bestFit="1" customWidth="1"/>
    <col min="9" max="9" width="21" bestFit="1" customWidth="1"/>
    <col min="10" max="10" width="15.28515625" bestFit="1" customWidth="1"/>
    <col min="11" max="11" width="13" bestFit="1" customWidth="1"/>
    <col min="12" max="12" width="21" style="5" bestFit="1" customWidth="1"/>
    <col min="13" max="13" width="21" bestFit="1" customWidth="1"/>
  </cols>
  <sheetData>
    <row r="1" spans="1:42" x14ac:dyDescent="0.25">
      <c r="A1" t="s">
        <v>0</v>
      </c>
      <c r="B1" s="4" t="s">
        <v>38</v>
      </c>
      <c r="C1" s="4" t="s">
        <v>39</v>
      </c>
      <c r="D1" s="5" t="s">
        <v>40</v>
      </c>
      <c r="E1" s="4" t="s">
        <v>41</v>
      </c>
      <c r="F1" t="s">
        <v>15</v>
      </c>
      <c r="G1" t="s">
        <v>16</v>
      </c>
      <c r="H1" s="5" t="s">
        <v>17</v>
      </c>
      <c r="I1" t="s">
        <v>18</v>
      </c>
      <c r="J1" t="s">
        <v>19</v>
      </c>
      <c r="K1" t="s">
        <v>20</v>
      </c>
      <c r="L1" s="5" t="s">
        <v>21</v>
      </c>
      <c r="M1" t="s">
        <v>22</v>
      </c>
      <c r="N1" t="s">
        <v>23</v>
      </c>
    </row>
    <row r="2" spans="1:42" x14ac:dyDescent="0.25">
      <c r="A2" t="s">
        <v>1</v>
      </c>
      <c r="B2" s="6">
        <v>-94864.731470308194</v>
      </c>
      <c r="C2" s="6">
        <v>121535.566517909</v>
      </c>
      <c r="D2" s="5">
        <v>-0.78055119327006905</v>
      </c>
      <c r="E2" s="6">
        <f>B2+C2</f>
        <v>26670.835047600805</v>
      </c>
      <c r="F2" s="6">
        <v>-24012.4014868552</v>
      </c>
      <c r="G2" s="6">
        <v>48730.788212699401</v>
      </c>
      <c r="H2" s="5">
        <v>-0.49275627108772002</v>
      </c>
      <c r="I2" s="6">
        <f>F2+G2</f>
        <v>24718.386725844201</v>
      </c>
      <c r="J2" s="6">
        <v>-9686.1108143464007</v>
      </c>
      <c r="K2" s="6">
        <v>27914.545327342599</v>
      </c>
      <c r="L2" s="5">
        <v>-0.346991530786594</v>
      </c>
      <c r="M2" s="6">
        <f>J2+K2</f>
        <v>18228.434512996198</v>
      </c>
      <c r="N2" t="s">
        <v>24</v>
      </c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</row>
    <row r="3" spans="1:42" x14ac:dyDescent="0.25">
      <c r="A3" t="s">
        <v>2</v>
      </c>
      <c r="B3" s="6">
        <v>-573819.81405192497</v>
      </c>
      <c r="C3" s="6">
        <v>815193.62386759603</v>
      </c>
      <c r="D3" s="5">
        <v>-0.70390616075908496</v>
      </c>
      <c r="E3" s="6">
        <f t="shared" ref="E3:E15" si="0">B3+C3</f>
        <v>241373.80981567106</v>
      </c>
      <c r="F3" s="6">
        <v>-84257.525916830593</v>
      </c>
      <c r="G3" s="6">
        <v>140944.522706794</v>
      </c>
      <c r="H3" s="5">
        <v>-0.59780631626324898</v>
      </c>
      <c r="I3" s="6">
        <f t="shared" ref="I3:I15" si="1">F3+G3</f>
        <v>56686.996789963407</v>
      </c>
      <c r="J3" s="6">
        <v>-23204.8464252616</v>
      </c>
      <c r="K3" s="6">
        <v>49651.190773092399</v>
      </c>
      <c r="L3" s="5">
        <v>-0.46735729927019298</v>
      </c>
      <c r="M3" s="6">
        <f t="shared" ref="M3:M15" si="2">J3+K3</f>
        <v>26446.3443478308</v>
      </c>
      <c r="N3" t="s">
        <v>24</v>
      </c>
    </row>
    <row r="4" spans="1:42" x14ac:dyDescent="0.25">
      <c r="A4" t="s">
        <v>3</v>
      </c>
      <c r="B4" s="6">
        <v>-189547.67770812401</v>
      </c>
      <c r="C4" s="6">
        <v>81242.480945637202</v>
      </c>
      <c r="D4" s="5">
        <v>-2.3331104060566301</v>
      </c>
      <c r="E4" s="6">
        <f t="shared" si="0"/>
        <v>-108305.19676248681</v>
      </c>
      <c r="F4" s="6">
        <v>-74162.1476601756</v>
      </c>
      <c r="G4" s="6">
        <v>40207.866336966101</v>
      </c>
      <c r="H4" s="5">
        <v>-1.8444686181219401</v>
      </c>
      <c r="I4" s="6">
        <f t="shared" si="1"/>
        <v>-33954.2813232095</v>
      </c>
      <c r="J4" s="6">
        <v>-41535.203838220703</v>
      </c>
      <c r="K4" s="6">
        <v>24697.2770423121</v>
      </c>
      <c r="L4" s="5">
        <v>-1.68177260056083</v>
      </c>
      <c r="M4" s="6">
        <f t="shared" si="2"/>
        <v>-16837.926795908603</v>
      </c>
      <c r="N4" t="s">
        <v>24</v>
      </c>
    </row>
    <row r="5" spans="1:42" x14ac:dyDescent="0.25">
      <c r="A5" t="s">
        <v>4</v>
      </c>
      <c r="B5" s="6">
        <v>-1529260.70418628</v>
      </c>
      <c r="C5" s="6">
        <v>1535271.1979602601</v>
      </c>
      <c r="D5" s="5">
        <v>-0.99608506055349399</v>
      </c>
      <c r="E5" s="6">
        <f t="shared" si="0"/>
        <v>6010.4937739800662</v>
      </c>
      <c r="F5" s="6">
        <v>-265902.76421105402</v>
      </c>
      <c r="G5" s="6">
        <v>266640.44285571203</v>
      </c>
      <c r="H5" s="5">
        <v>-0.99723343302029399</v>
      </c>
      <c r="I5" s="6">
        <f t="shared" si="1"/>
        <v>737.67864465800812</v>
      </c>
      <c r="J5" s="6">
        <v>-90741.464406757499</v>
      </c>
      <c r="K5" s="6">
        <v>89320.816158220798</v>
      </c>
      <c r="L5" s="5">
        <v>-1.0159050074735101</v>
      </c>
      <c r="M5" s="6">
        <f t="shared" si="2"/>
        <v>-1420.6482485367014</v>
      </c>
      <c r="N5" t="s">
        <v>24</v>
      </c>
    </row>
    <row r="6" spans="1:42" x14ac:dyDescent="0.25">
      <c r="A6" t="s">
        <v>14</v>
      </c>
      <c r="B6" s="6">
        <v>0</v>
      </c>
      <c r="C6" s="6">
        <v>16454.604553368801</v>
      </c>
      <c r="D6" s="5">
        <v>0</v>
      </c>
      <c r="E6" s="6">
        <f t="shared" si="0"/>
        <v>16454.604553368801</v>
      </c>
      <c r="F6" s="6">
        <v>0</v>
      </c>
      <c r="G6" s="6">
        <v>12922.5120645157</v>
      </c>
      <c r="H6" s="5">
        <v>0</v>
      </c>
      <c r="I6" s="6">
        <f t="shared" si="1"/>
        <v>12922.5120645157</v>
      </c>
      <c r="J6" s="6">
        <v>0</v>
      </c>
      <c r="K6" s="6">
        <v>10988.815786839299</v>
      </c>
      <c r="L6" s="5">
        <v>0</v>
      </c>
      <c r="M6" s="6">
        <f t="shared" si="2"/>
        <v>10988.815786839299</v>
      </c>
      <c r="N6" t="s">
        <v>24</v>
      </c>
    </row>
    <row r="7" spans="1:42" x14ac:dyDescent="0.25">
      <c r="A7" t="s">
        <v>6</v>
      </c>
      <c r="B7" s="6">
        <v>-81711.783899172602</v>
      </c>
      <c r="C7" s="6">
        <v>22059.733037833099</v>
      </c>
      <c r="D7" s="5">
        <v>-3.7041148122252601</v>
      </c>
      <c r="E7" s="6">
        <f t="shared" si="0"/>
        <v>-59652.050861339507</v>
      </c>
      <c r="F7" s="6">
        <v>-14041.807010664401</v>
      </c>
      <c r="G7" s="6">
        <v>17381.240704187301</v>
      </c>
      <c r="H7" s="5">
        <v>-0.8078713855727</v>
      </c>
      <c r="I7" s="6">
        <f t="shared" si="1"/>
        <v>3339.4336935229003</v>
      </c>
      <c r="J7" s="6">
        <v>-5067.3328268512496</v>
      </c>
      <c r="K7" s="6">
        <v>14808.855061788299</v>
      </c>
      <c r="L7" s="5">
        <v>-0.34218262017612899</v>
      </c>
      <c r="M7" s="6">
        <f t="shared" si="2"/>
        <v>9741.5222349370488</v>
      </c>
      <c r="N7" t="s">
        <v>24</v>
      </c>
    </row>
    <row r="8" spans="1:42" x14ac:dyDescent="0.25">
      <c r="A8" t="s">
        <v>5</v>
      </c>
      <c r="B8" s="6">
        <v>-74787.623200904796</v>
      </c>
      <c r="C8" s="6">
        <v>19094.971222653399</v>
      </c>
      <c r="D8" s="5">
        <v>-3.9166135590809201</v>
      </c>
      <c r="E8" s="6">
        <f t="shared" si="0"/>
        <v>-55692.651978251393</v>
      </c>
      <c r="F8" s="6">
        <v>-12795.920628411601</v>
      </c>
      <c r="G8" s="6">
        <v>14128.7206300791</v>
      </c>
      <c r="H8" s="5">
        <v>-0.90566732568623198</v>
      </c>
      <c r="I8" s="6">
        <f t="shared" si="1"/>
        <v>1332.8000016674996</v>
      </c>
      <c r="J8" s="6">
        <v>-4277.3243685469497</v>
      </c>
      <c r="K8" s="6">
        <v>11823.3041249241</v>
      </c>
      <c r="L8" s="5">
        <v>-0.361770645781675</v>
      </c>
      <c r="M8" s="6">
        <f t="shared" si="2"/>
        <v>7545.9797563771499</v>
      </c>
      <c r="N8" t="s">
        <v>24</v>
      </c>
    </row>
    <row r="9" spans="1:42" x14ac:dyDescent="0.25">
      <c r="A9" t="s">
        <v>8</v>
      </c>
      <c r="B9" s="6">
        <v>-201382.40255214801</v>
      </c>
      <c r="C9" s="6">
        <v>32071.308412600101</v>
      </c>
      <c r="D9" s="5">
        <v>-6.2792075696240897</v>
      </c>
      <c r="E9" s="6">
        <f t="shared" si="0"/>
        <v>-169311.0941395479</v>
      </c>
      <c r="F9" s="6">
        <v>-38626.101035459098</v>
      </c>
      <c r="G9" s="6">
        <v>19876.195905398199</v>
      </c>
      <c r="H9" s="5">
        <v>-1.9433346913716201</v>
      </c>
      <c r="I9" s="6">
        <f t="shared" si="1"/>
        <v>-18749.905130060899</v>
      </c>
      <c r="J9" s="6">
        <v>-14104.8743016727</v>
      </c>
      <c r="K9" s="6">
        <v>15017.4159804518</v>
      </c>
      <c r="L9" s="5">
        <v>-0.93923444086739505</v>
      </c>
      <c r="M9" s="6">
        <f t="shared" si="2"/>
        <v>912.54167877910004</v>
      </c>
      <c r="N9" t="s">
        <v>24</v>
      </c>
    </row>
    <row r="10" spans="1:42" x14ac:dyDescent="0.25">
      <c r="A10" t="s">
        <v>7</v>
      </c>
      <c r="B10" s="6">
        <v>-98338.675448048598</v>
      </c>
      <c r="C10" s="6">
        <v>21722.272439247401</v>
      </c>
      <c r="D10" s="5">
        <v>-4.5270896828626404</v>
      </c>
      <c r="E10" s="6">
        <f t="shared" si="0"/>
        <v>-76616.403008801193</v>
      </c>
      <c r="F10" s="6">
        <v>-17986.986790839499</v>
      </c>
      <c r="G10" s="6">
        <v>15287.094538355101</v>
      </c>
      <c r="H10" s="5">
        <v>-1.1766125175526601</v>
      </c>
      <c r="I10" s="6">
        <f t="shared" si="1"/>
        <v>-2699.8922524843983</v>
      </c>
      <c r="J10" s="6">
        <v>-6302.0903447309802</v>
      </c>
      <c r="K10" s="6">
        <v>12370.0600946878</v>
      </c>
      <c r="L10" s="5">
        <v>-0.50946319552944896</v>
      </c>
      <c r="M10" s="6">
        <f t="shared" si="2"/>
        <v>6067.9697499568201</v>
      </c>
      <c r="N10" t="s">
        <v>24</v>
      </c>
    </row>
    <row r="11" spans="1:42" x14ac:dyDescent="0.25">
      <c r="A11" t="s">
        <v>9</v>
      </c>
      <c r="B11" s="6">
        <v>-112560.083841115</v>
      </c>
      <c r="C11" s="6">
        <v>24071.699131444799</v>
      </c>
      <c r="D11" s="5">
        <v>-4.6760340109967</v>
      </c>
      <c r="E11" s="6">
        <f t="shared" si="0"/>
        <v>-88488.384709670208</v>
      </c>
      <c r="F11" s="6">
        <v>-20252.154009836198</v>
      </c>
      <c r="G11" s="6">
        <v>16316.162333554499</v>
      </c>
      <c r="H11" s="5">
        <v>-1.2412326866954</v>
      </c>
      <c r="I11" s="6">
        <f t="shared" si="1"/>
        <v>-3935.9916762816993</v>
      </c>
      <c r="J11" s="6">
        <v>-7133.5598014398502</v>
      </c>
      <c r="K11" s="6">
        <v>13309.729450819899</v>
      </c>
      <c r="L11" s="5">
        <v>-0.535965800642205</v>
      </c>
      <c r="M11" s="6">
        <f t="shared" si="2"/>
        <v>6176.1696493800491</v>
      </c>
      <c r="N11" t="s">
        <v>24</v>
      </c>
    </row>
    <row r="12" spans="1:42" x14ac:dyDescent="0.25">
      <c r="A12" t="s">
        <v>10</v>
      </c>
      <c r="B12" s="6">
        <v>-20612.841126253501</v>
      </c>
      <c r="C12" s="6">
        <v>47147.659759674803</v>
      </c>
      <c r="D12" s="5">
        <v>-0.43719754556903001</v>
      </c>
      <c r="E12" s="6">
        <f t="shared" si="0"/>
        <v>26534.818633421302</v>
      </c>
      <c r="F12" s="6">
        <v>-2555.2191726661399</v>
      </c>
      <c r="G12" s="6">
        <v>33709.460372616202</v>
      </c>
      <c r="H12" s="5">
        <v>-7.58012482081101E-2</v>
      </c>
      <c r="I12" s="6">
        <f t="shared" si="1"/>
        <v>31154.241199950062</v>
      </c>
      <c r="J12" s="6">
        <v>-817.00285092435604</v>
      </c>
      <c r="K12" s="6">
        <v>27410.213109250599</v>
      </c>
      <c r="L12" s="5">
        <v>-2.9806512180987999E-2</v>
      </c>
      <c r="M12" s="6">
        <f t="shared" si="2"/>
        <v>26593.210258326242</v>
      </c>
      <c r="N12" t="s">
        <v>24</v>
      </c>
    </row>
    <row r="13" spans="1:42" x14ac:dyDescent="0.25">
      <c r="A13" t="s">
        <v>11</v>
      </c>
      <c r="B13" s="6">
        <v>33750.559282223403</v>
      </c>
      <c r="C13" s="6">
        <v>913639.44245667802</v>
      </c>
      <c r="D13" s="5">
        <v>3.6940786172137897E-2</v>
      </c>
      <c r="E13" s="6">
        <f t="shared" si="0"/>
        <v>947390.00173890148</v>
      </c>
      <c r="F13" s="6">
        <v>5157.5221174354301</v>
      </c>
      <c r="G13" s="6">
        <v>235929.47854249101</v>
      </c>
      <c r="H13" s="5">
        <v>2.1860439608043899E-2</v>
      </c>
      <c r="I13" s="6">
        <f t="shared" si="1"/>
        <v>241087.00065992645</v>
      </c>
      <c r="J13" s="6">
        <v>-354.46081332431601</v>
      </c>
      <c r="K13" s="6">
        <v>113106.55812487499</v>
      </c>
      <c r="L13" s="5">
        <v>-3.1338661453474098E-3</v>
      </c>
      <c r="M13" s="6">
        <f t="shared" si="2"/>
        <v>112752.09731155068</v>
      </c>
      <c r="N13" t="s">
        <v>24</v>
      </c>
    </row>
    <row r="14" spans="1:42" x14ac:dyDescent="0.25">
      <c r="A14" t="s">
        <v>12</v>
      </c>
      <c r="B14" s="6">
        <v>-22101.075343330998</v>
      </c>
      <c r="C14" s="6">
        <v>27762.780358668701</v>
      </c>
      <c r="D14" s="5">
        <v>-0.79606851539385404</v>
      </c>
      <c r="E14" s="6">
        <f t="shared" si="0"/>
        <v>5661.7050153377022</v>
      </c>
      <c r="F14" s="6">
        <v>-2707.91448460225</v>
      </c>
      <c r="G14" s="6">
        <v>19251.584572950102</v>
      </c>
      <c r="H14" s="5">
        <v>-0.140659303879175</v>
      </c>
      <c r="I14" s="6">
        <f t="shared" si="1"/>
        <v>16543.670088347852</v>
      </c>
      <c r="J14" s="6">
        <v>-692.01167725153198</v>
      </c>
      <c r="K14" s="6">
        <v>15282.8414246461</v>
      </c>
      <c r="L14" s="5">
        <v>-4.5280302139073698E-2</v>
      </c>
      <c r="M14" s="6">
        <f t="shared" si="2"/>
        <v>14590.829747394568</v>
      </c>
      <c r="N14" t="s">
        <v>24</v>
      </c>
    </row>
    <row r="15" spans="1:42" x14ac:dyDescent="0.25">
      <c r="A15" t="s">
        <v>55</v>
      </c>
      <c r="B15" s="6">
        <v>-343064.27648368402</v>
      </c>
      <c r="C15" s="6">
        <v>96166.745901482194</v>
      </c>
      <c r="D15" s="5">
        <v>-3.5673898837664302</v>
      </c>
      <c r="E15" s="6">
        <f t="shared" si="0"/>
        <v>-246897.53058220184</v>
      </c>
      <c r="F15" s="6">
        <v>-100078.99781724501</v>
      </c>
      <c r="G15" s="6">
        <v>46662.644528508899</v>
      </c>
      <c r="H15" s="5">
        <v>-2.14473480507734</v>
      </c>
      <c r="I15" s="6">
        <f t="shared" si="1"/>
        <v>-53416.353288736107</v>
      </c>
      <c r="J15" s="6">
        <v>-49751.588765194501</v>
      </c>
      <c r="K15" s="6">
        <v>28330.3209334069</v>
      </c>
      <c r="L15" s="5">
        <v>-1.75612513822699</v>
      </c>
      <c r="M15" s="6">
        <f t="shared" si="2"/>
        <v>-21421.267831787602</v>
      </c>
      <c r="N15" s="1" t="s">
        <v>24</v>
      </c>
      <c r="O15" s="1"/>
    </row>
    <row r="16" spans="1:42" x14ac:dyDescent="0.25">
      <c r="B16" s="4"/>
      <c r="C16" s="4"/>
      <c r="E16" s="4"/>
      <c r="F16" s="4"/>
      <c r="G16" s="4"/>
      <c r="I16" s="4"/>
      <c r="J16" s="4"/>
      <c r="K16" s="4"/>
      <c r="M16" s="4"/>
    </row>
    <row r="17" spans="1:14" x14ac:dyDescent="0.25">
      <c r="A17" s="3" t="s">
        <v>60</v>
      </c>
      <c r="B17" s="4" t="s">
        <v>38</v>
      </c>
      <c r="C17" s="4" t="s">
        <v>39</v>
      </c>
      <c r="D17" s="5" t="s">
        <v>40</v>
      </c>
      <c r="E17" s="4" t="s">
        <v>41</v>
      </c>
      <c r="F17" s="4" t="s">
        <v>15</v>
      </c>
      <c r="G17" s="4" t="s">
        <v>16</v>
      </c>
      <c r="H17" s="5" t="s">
        <v>17</v>
      </c>
      <c r="I17" s="4" t="s">
        <v>18</v>
      </c>
      <c r="J17" s="4" t="s">
        <v>19</v>
      </c>
      <c r="K17" s="4" t="s">
        <v>20</v>
      </c>
      <c r="L17" s="5" t="s">
        <v>21</v>
      </c>
      <c r="M17" s="4" t="s">
        <v>22</v>
      </c>
      <c r="N17" t="s">
        <v>23</v>
      </c>
    </row>
    <row r="18" spans="1:14" x14ac:dyDescent="0.25">
      <c r="A18" t="s">
        <v>1</v>
      </c>
      <c r="B18" s="6">
        <f>B2-B$34</f>
        <v>-94864.731470308194</v>
      </c>
      <c r="C18" s="6">
        <f>C2-C$34</f>
        <v>105080.9619645402</v>
      </c>
      <c r="D18" s="5">
        <f>B18/C18</f>
        <v>-0.90277753169332908</v>
      </c>
      <c r="E18" s="6">
        <f>B18+C18</f>
        <v>10216.230494232004</v>
      </c>
      <c r="F18" s="6">
        <f>F2-F$34</f>
        <v>-24012.4014868552</v>
      </c>
      <c r="G18" s="6">
        <f>G2-G$34</f>
        <v>35808.276148183701</v>
      </c>
      <c r="H18" s="5">
        <f>F18/G18</f>
        <v>-0.67058244824424973</v>
      </c>
      <c r="I18" s="6">
        <f>F18+G18</f>
        <v>11795.8746613285</v>
      </c>
      <c r="J18" s="6">
        <f>J2-J$34</f>
        <v>-9686.1108143464007</v>
      </c>
      <c r="K18" s="6">
        <f>K2-K$34</f>
        <v>16925.7295405033</v>
      </c>
      <c r="L18" s="5">
        <f>J18/K18</f>
        <v>-0.57227139256641912</v>
      </c>
      <c r="M18" s="6">
        <f>J18+K18</f>
        <v>7239.6187261568994</v>
      </c>
      <c r="N18" t="s">
        <v>24</v>
      </c>
    </row>
    <row r="19" spans="1:14" x14ac:dyDescent="0.25">
      <c r="A19" t="s">
        <v>2</v>
      </c>
      <c r="B19" s="6">
        <f t="shared" ref="B19:C31" si="3">B3-B$34</f>
        <v>-573819.81405192497</v>
      </c>
      <c r="C19" s="6">
        <f t="shared" si="3"/>
        <v>798739.01931422728</v>
      </c>
      <c r="D19" s="5">
        <f t="shared" ref="D19:D31" si="4">B19/C19</f>
        <v>-0.71840713947415391</v>
      </c>
      <c r="E19" s="6">
        <f t="shared" ref="E19:E31" si="5">B19+C19</f>
        <v>224919.2052623023</v>
      </c>
      <c r="F19" s="6">
        <f t="shared" ref="F19:G31" si="6">F3-F$34</f>
        <v>-84257.525916830593</v>
      </c>
      <c r="G19" s="6">
        <f t="shared" si="6"/>
        <v>128022.0106422783</v>
      </c>
      <c r="H19" s="5">
        <f t="shared" ref="H19:H31" si="7">F19/G19</f>
        <v>-0.65814874718898675</v>
      </c>
      <c r="I19" s="6">
        <f t="shared" ref="I19:I31" si="8">F19+G19</f>
        <v>43764.484725447706</v>
      </c>
      <c r="J19" s="6">
        <f t="shared" ref="J19:K31" si="9">J3-J$34</f>
        <v>-23204.8464252616</v>
      </c>
      <c r="K19" s="6">
        <f t="shared" si="9"/>
        <v>38662.374986253097</v>
      </c>
      <c r="L19" s="5">
        <f t="shared" ref="L19:L31" si="10">J19/K19</f>
        <v>-0.60019195493066269</v>
      </c>
      <c r="M19" s="6">
        <f t="shared" ref="M19:M31" si="11">J19+K19</f>
        <v>15457.528560991497</v>
      </c>
      <c r="N19" t="s">
        <v>24</v>
      </c>
    </row>
    <row r="20" spans="1:14" x14ac:dyDescent="0.25">
      <c r="A20" t="s">
        <v>3</v>
      </c>
      <c r="B20" s="6">
        <f t="shared" si="3"/>
        <v>-189547.67770812401</v>
      </c>
      <c r="C20" s="6">
        <f t="shared" si="3"/>
        <v>64787.876392268401</v>
      </c>
      <c r="D20" s="5">
        <f t="shared" si="4"/>
        <v>-2.9256658539088045</v>
      </c>
      <c r="E20" s="6">
        <f t="shared" si="5"/>
        <v>-124759.80131585561</v>
      </c>
      <c r="F20" s="6">
        <f t="shared" si="6"/>
        <v>-74162.1476601756</v>
      </c>
      <c r="G20" s="6">
        <f t="shared" si="6"/>
        <v>27285.3542724504</v>
      </c>
      <c r="H20" s="5">
        <f t="shared" si="7"/>
        <v>-2.7180203313341611</v>
      </c>
      <c r="I20" s="6">
        <f t="shared" si="8"/>
        <v>-46876.7933877252</v>
      </c>
      <c r="J20" s="6">
        <f t="shared" si="9"/>
        <v>-41535.203838220703</v>
      </c>
      <c r="K20" s="6">
        <f t="shared" si="9"/>
        <v>13708.461255472801</v>
      </c>
      <c r="L20" s="5">
        <f t="shared" si="10"/>
        <v>-3.0298954101532503</v>
      </c>
      <c r="M20" s="6">
        <f t="shared" si="11"/>
        <v>-27826.742582747902</v>
      </c>
      <c r="N20" t="s">
        <v>24</v>
      </c>
    </row>
    <row r="21" spans="1:14" x14ac:dyDescent="0.25">
      <c r="A21" t="s">
        <v>4</v>
      </c>
      <c r="B21" s="6">
        <f t="shared" si="3"/>
        <v>-1529260.70418628</v>
      </c>
      <c r="C21" s="6">
        <f t="shared" si="3"/>
        <v>1518816.5934068912</v>
      </c>
      <c r="D21" s="5">
        <f t="shared" si="4"/>
        <v>-1.006876479243594</v>
      </c>
      <c r="E21" s="6">
        <f t="shared" si="5"/>
        <v>-10444.110779388808</v>
      </c>
      <c r="F21" s="6">
        <f t="shared" si="6"/>
        <v>-265902.76421105402</v>
      </c>
      <c r="G21" s="6">
        <f t="shared" si="6"/>
        <v>253717.93079119633</v>
      </c>
      <c r="H21" s="5">
        <f t="shared" si="7"/>
        <v>-1.0480251174280839</v>
      </c>
      <c r="I21" s="6">
        <f t="shared" si="8"/>
        <v>-12184.833419857692</v>
      </c>
      <c r="J21" s="6">
        <f t="shared" si="9"/>
        <v>-90741.464406757499</v>
      </c>
      <c r="K21" s="6">
        <f t="shared" si="9"/>
        <v>78332.000371381495</v>
      </c>
      <c r="L21" s="5">
        <f t="shared" si="10"/>
        <v>-1.1584213855964514</v>
      </c>
      <c r="M21" s="6">
        <f t="shared" si="11"/>
        <v>-12409.464035376004</v>
      </c>
      <c r="N21" t="s">
        <v>24</v>
      </c>
    </row>
    <row r="22" spans="1:14" x14ac:dyDescent="0.25">
      <c r="A22" t="s">
        <v>14</v>
      </c>
      <c r="B22" s="6">
        <f t="shared" si="3"/>
        <v>0</v>
      </c>
      <c r="C22" s="6">
        <f t="shared" si="3"/>
        <v>0</v>
      </c>
      <c r="D22" s="5" t="e">
        <f t="shared" si="4"/>
        <v>#DIV/0!</v>
      </c>
      <c r="E22" s="6">
        <f t="shared" si="5"/>
        <v>0</v>
      </c>
      <c r="F22" s="6">
        <f t="shared" si="6"/>
        <v>0</v>
      </c>
      <c r="G22" s="6">
        <f t="shared" si="6"/>
        <v>0</v>
      </c>
      <c r="H22" s="5" t="e">
        <f t="shared" si="7"/>
        <v>#DIV/0!</v>
      </c>
      <c r="I22" s="6">
        <f t="shared" si="8"/>
        <v>0</v>
      </c>
      <c r="J22" s="6">
        <f t="shared" si="9"/>
        <v>0</v>
      </c>
      <c r="K22" s="6">
        <f t="shared" si="9"/>
        <v>0</v>
      </c>
      <c r="L22" s="5" t="e">
        <f t="shared" si="10"/>
        <v>#DIV/0!</v>
      </c>
      <c r="M22" s="6">
        <f t="shared" si="11"/>
        <v>0</v>
      </c>
      <c r="N22" t="s">
        <v>24</v>
      </c>
    </row>
    <row r="23" spans="1:14" x14ac:dyDescent="0.25">
      <c r="A23" t="s">
        <v>6</v>
      </c>
      <c r="B23" s="6">
        <f t="shared" si="3"/>
        <v>-81711.783899172602</v>
      </c>
      <c r="C23" s="6">
        <f t="shared" si="3"/>
        <v>5605.1284844642978</v>
      </c>
      <c r="D23" s="5">
        <f t="shared" si="4"/>
        <v>-14.578039401889303</v>
      </c>
      <c r="E23" s="6">
        <f t="shared" si="5"/>
        <v>-76106.655414708308</v>
      </c>
      <c r="F23" s="6">
        <f t="shared" si="6"/>
        <v>-14041.807010664401</v>
      </c>
      <c r="G23" s="6">
        <f t="shared" si="6"/>
        <v>4458.7286396716008</v>
      </c>
      <c r="H23" s="5">
        <f t="shared" si="7"/>
        <v>-3.1492849521559183</v>
      </c>
      <c r="I23" s="6">
        <f t="shared" si="8"/>
        <v>-9583.0783709928</v>
      </c>
      <c r="J23" s="6">
        <f t="shared" si="9"/>
        <v>-5067.3328268512496</v>
      </c>
      <c r="K23" s="6">
        <f t="shared" si="9"/>
        <v>3820.0392749490002</v>
      </c>
      <c r="L23" s="5">
        <f t="shared" si="10"/>
        <v>-1.3265132796099071</v>
      </c>
      <c r="M23" s="6">
        <f t="shared" si="11"/>
        <v>-1247.2935519022494</v>
      </c>
      <c r="N23" t="s">
        <v>24</v>
      </c>
    </row>
    <row r="24" spans="1:14" x14ac:dyDescent="0.25">
      <c r="A24" t="s">
        <v>5</v>
      </c>
      <c r="B24" s="6">
        <f t="shared" si="3"/>
        <v>-74787.623200904796</v>
      </c>
      <c r="C24" s="6">
        <f t="shared" si="3"/>
        <v>2640.3666692845982</v>
      </c>
      <c r="D24" s="5">
        <f t="shared" si="4"/>
        <v>-28.324711136112146</v>
      </c>
      <c r="E24" s="6">
        <f t="shared" si="5"/>
        <v>-72147.256531620194</v>
      </c>
      <c r="F24" s="6">
        <f t="shared" si="6"/>
        <v>-12795.920628411601</v>
      </c>
      <c r="G24" s="6">
        <f t="shared" si="6"/>
        <v>1206.2085655634</v>
      </c>
      <c r="H24" s="5">
        <f t="shared" si="7"/>
        <v>-10.608381496971743</v>
      </c>
      <c r="I24" s="6">
        <f t="shared" si="8"/>
        <v>-11589.712062848201</v>
      </c>
      <c r="J24" s="6">
        <f t="shared" si="9"/>
        <v>-4277.3243685469497</v>
      </c>
      <c r="K24" s="6">
        <f t="shared" si="9"/>
        <v>834.48833808480049</v>
      </c>
      <c r="L24" s="5">
        <f t="shared" si="10"/>
        <v>-5.125685013602058</v>
      </c>
      <c r="M24" s="6">
        <f t="shared" si="11"/>
        <v>-3442.8360304621492</v>
      </c>
      <c r="N24" t="s">
        <v>24</v>
      </c>
    </row>
    <row r="25" spans="1:14" x14ac:dyDescent="0.25">
      <c r="A25" t="s">
        <v>8</v>
      </c>
      <c r="B25" s="6">
        <f t="shared" si="3"/>
        <v>-201382.40255214801</v>
      </c>
      <c r="C25" s="6">
        <f t="shared" si="3"/>
        <v>15616.7038592313</v>
      </c>
      <c r="D25" s="5">
        <f t="shared" si="4"/>
        <v>-12.895320572600053</v>
      </c>
      <c r="E25" s="6">
        <f t="shared" si="5"/>
        <v>-185765.69869291672</v>
      </c>
      <c r="F25" s="6">
        <f t="shared" si="6"/>
        <v>-38626.101035459098</v>
      </c>
      <c r="G25" s="6">
        <f t="shared" si="6"/>
        <v>6953.6838408824988</v>
      </c>
      <c r="H25" s="5">
        <f t="shared" si="7"/>
        <v>-5.5547680796711374</v>
      </c>
      <c r="I25" s="6">
        <f t="shared" si="8"/>
        <v>-31672.417194576599</v>
      </c>
      <c r="J25" s="6">
        <f t="shared" si="9"/>
        <v>-14104.8743016727</v>
      </c>
      <c r="K25" s="6">
        <f t="shared" si="9"/>
        <v>4028.6001936125012</v>
      </c>
      <c r="L25" s="5">
        <f t="shared" si="10"/>
        <v>-3.5011849336741121</v>
      </c>
      <c r="M25" s="6">
        <f t="shared" si="11"/>
        <v>-10076.274108060199</v>
      </c>
      <c r="N25" t="s">
        <v>24</v>
      </c>
    </row>
    <row r="26" spans="1:14" x14ac:dyDescent="0.25">
      <c r="A26" t="s">
        <v>7</v>
      </c>
      <c r="B26" s="6">
        <f t="shared" si="3"/>
        <v>-98338.675448048598</v>
      </c>
      <c r="C26" s="6">
        <f t="shared" si="3"/>
        <v>5267.6678858785999</v>
      </c>
      <c r="D26" s="5">
        <f t="shared" si="4"/>
        <v>-18.668351456186496</v>
      </c>
      <c r="E26" s="6">
        <f t="shared" si="5"/>
        <v>-93071.007562169994</v>
      </c>
      <c r="F26" s="6">
        <f t="shared" si="6"/>
        <v>-17986.986790839499</v>
      </c>
      <c r="G26" s="6">
        <f t="shared" si="6"/>
        <v>2364.5824738394003</v>
      </c>
      <c r="H26" s="5">
        <f t="shared" si="7"/>
        <v>-7.6068341831333193</v>
      </c>
      <c r="I26" s="6">
        <f t="shared" si="8"/>
        <v>-15622.404317000099</v>
      </c>
      <c r="J26" s="6">
        <f t="shared" si="9"/>
        <v>-6302.0903447309802</v>
      </c>
      <c r="K26" s="6">
        <f t="shared" si="9"/>
        <v>1381.2443078485012</v>
      </c>
      <c r="L26" s="5">
        <f t="shared" si="10"/>
        <v>-4.5626181472178864</v>
      </c>
      <c r="M26" s="6">
        <f t="shared" si="11"/>
        <v>-4920.846036882479</v>
      </c>
      <c r="N26" t="s">
        <v>24</v>
      </c>
    </row>
    <row r="27" spans="1:14" x14ac:dyDescent="0.25">
      <c r="A27" t="s">
        <v>9</v>
      </c>
      <c r="B27" s="6">
        <f t="shared" si="3"/>
        <v>-112560.083841115</v>
      </c>
      <c r="C27" s="6">
        <f t="shared" si="3"/>
        <v>7617.0945780759976</v>
      </c>
      <c r="D27" s="5">
        <f t="shared" si="4"/>
        <v>-14.777298967127511</v>
      </c>
      <c r="E27" s="6">
        <f t="shared" si="5"/>
        <v>-104942.98926303901</v>
      </c>
      <c r="F27" s="6">
        <f t="shared" si="6"/>
        <v>-20252.154009836198</v>
      </c>
      <c r="G27" s="6">
        <f t="shared" si="6"/>
        <v>3393.6502690387988</v>
      </c>
      <c r="H27" s="5">
        <f t="shared" si="7"/>
        <v>-5.967660897353551</v>
      </c>
      <c r="I27" s="6">
        <f t="shared" si="8"/>
        <v>-16858.503740797401</v>
      </c>
      <c r="J27" s="6">
        <f t="shared" si="9"/>
        <v>-7133.5598014398502</v>
      </c>
      <c r="K27" s="6">
        <f t="shared" si="9"/>
        <v>2320.9136639806002</v>
      </c>
      <c r="L27" s="5">
        <f t="shared" si="10"/>
        <v>-3.0735998120693031</v>
      </c>
      <c r="M27" s="6">
        <f t="shared" si="11"/>
        <v>-4812.64613745925</v>
      </c>
      <c r="N27" t="s">
        <v>24</v>
      </c>
    </row>
    <row r="28" spans="1:14" x14ac:dyDescent="0.25">
      <c r="A28" t="s">
        <v>10</v>
      </c>
      <c r="B28" s="6">
        <f t="shared" si="3"/>
        <v>-20612.841126253501</v>
      </c>
      <c r="C28" s="6">
        <f t="shared" si="3"/>
        <v>30693.055206306002</v>
      </c>
      <c r="D28" s="5">
        <f t="shared" si="4"/>
        <v>-0.67157997102935896</v>
      </c>
      <c r="E28" s="6">
        <f t="shared" si="5"/>
        <v>10080.214080052501</v>
      </c>
      <c r="F28" s="6">
        <f t="shared" si="6"/>
        <v>-2555.2191726661399</v>
      </c>
      <c r="G28" s="6">
        <f t="shared" si="6"/>
        <v>20786.948308100502</v>
      </c>
      <c r="H28" s="5">
        <f t="shared" si="7"/>
        <v>-0.12292420872910874</v>
      </c>
      <c r="I28" s="6">
        <f t="shared" si="8"/>
        <v>18231.729135434362</v>
      </c>
      <c r="J28" s="6">
        <f t="shared" si="9"/>
        <v>-817.00285092435604</v>
      </c>
      <c r="K28" s="6">
        <f t="shared" si="9"/>
        <v>16421.3973224113</v>
      </c>
      <c r="L28" s="5">
        <f t="shared" si="10"/>
        <v>-4.9752334401491009E-2</v>
      </c>
      <c r="M28" s="6">
        <f t="shared" si="11"/>
        <v>15604.394471486943</v>
      </c>
      <c r="N28" t="s">
        <v>24</v>
      </c>
    </row>
    <row r="29" spans="1:14" x14ac:dyDescent="0.25">
      <c r="A29" t="s">
        <v>11</v>
      </c>
      <c r="B29" s="6">
        <f t="shared" si="3"/>
        <v>33750.559282223403</v>
      </c>
      <c r="C29" s="6">
        <f t="shared" si="3"/>
        <v>897184.83790330926</v>
      </c>
      <c r="D29" s="5">
        <f t="shared" si="4"/>
        <v>3.7618289851060485E-2</v>
      </c>
      <c r="E29" s="6">
        <f t="shared" si="5"/>
        <v>930935.39718553261</v>
      </c>
      <c r="F29" s="6">
        <f t="shared" si="6"/>
        <v>5157.5221174354301</v>
      </c>
      <c r="G29" s="6">
        <f t="shared" si="6"/>
        <v>223006.96647797531</v>
      </c>
      <c r="H29" s="5">
        <f t="shared" si="7"/>
        <v>2.3127179383182182E-2</v>
      </c>
      <c r="I29" s="6">
        <f t="shared" si="8"/>
        <v>228164.48859541074</v>
      </c>
      <c r="J29" s="6">
        <f t="shared" si="9"/>
        <v>-354.46081332431601</v>
      </c>
      <c r="K29" s="6">
        <f t="shared" si="9"/>
        <v>102117.74233803569</v>
      </c>
      <c r="L29" s="5">
        <f t="shared" si="10"/>
        <v>-3.4710991959747855E-3</v>
      </c>
      <c r="M29" s="6">
        <f t="shared" si="11"/>
        <v>101763.28152471138</v>
      </c>
      <c r="N29" t="s">
        <v>24</v>
      </c>
    </row>
    <row r="30" spans="1:14" x14ac:dyDescent="0.25">
      <c r="A30" t="s">
        <v>12</v>
      </c>
      <c r="B30" s="6">
        <f t="shared" si="3"/>
        <v>-22101.075343330998</v>
      </c>
      <c r="C30" s="6">
        <f t="shared" si="3"/>
        <v>11308.175805299899</v>
      </c>
      <c r="D30" s="5">
        <f t="shared" si="4"/>
        <v>-1.954433298867948</v>
      </c>
      <c r="E30" s="6">
        <f t="shared" si="5"/>
        <v>-10792.899538031099</v>
      </c>
      <c r="F30" s="6">
        <f t="shared" si="6"/>
        <v>-2707.91448460225</v>
      </c>
      <c r="G30" s="6">
        <f t="shared" si="6"/>
        <v>6329.0725084344012</v>
      </c>
      <c r="H30" s="5">
        <f t="shared" si="7"/>
        <v>-0.42785328829675495</v>
      </c>
      <c r="I30" s="6">
        <f t="shared" si="8"/>
        <v>3621.1580238321512</v>
      </c>
      <c r="J30" s="6">
        <f t="shared" si="9"/>
        <v>-692.01167725153198</v>
      </c>
      <c r="K30" s="6">
        <f t="shared" si="9"/>
        <v>4294.0256378068007</v>
      </c>
      <c r="L30" s="5">
        <f t="shared" si="10"/>
        <v>-0.16115685736915653</v>
      </c>
      <c r="M30" s="6">
        <f t="shared" si="11"/>
        <v>3602.0139605552686</v>
      </c>
      <c r="N30" t="s">
        <v>24</v>
      </c>
    </row>
    <row r="31" spans="1:14" x14ac:dyDescent="0.25">
      <c r="A31" t="s">
        <v>55</v>
      </c>
      <c r="B31" s="6">
        <f t="shared" si="3"/>
        <v>-343064.27648368402</v>
      </c>
      <c r="C31" s="6">
        <f t="shared" si="3"/>
        <v>79712.141348113393</v>
      </c>
      <c r="D31" s="5">
        <f t="shared" si="4"/>
        <v>-4.3037894940681278</v>
      </c>
      <c r="E31" s="6">
        <f t="shared" si="5"/>
        <v>-263352.13513557066</v>
      </c>
      <c r="F31" s="6">
        <f t="shared" si="6"/>
        <v>-100078.99781724501</v>
      </c>
      <c r="G31" s="6">
        <f t="shared" si="6"/>
        <v>33740.132463993199</v>
      </c>
      <c r="H31" s="5">
        <f t="shared" si="7"/>
        <v>-2.966170862667695</v>
      </c>
      <c r="I31" s="6">
        <f t="shared" si="8"/>
        <v>-66338.865353251807</v>
      </c>
      <c r="J31" s="6">
        <f t="shared" si="9"/>
        <v>-49751.588765194501</v>
      </c>
      <c r="K31" s="6">
        <f t="shared" si="9"/>
        <v>17341.505146567601</v>
      </c>
      <c r="L31" s="5">
        <f t="shared" si="10"/>
        <v>-2.8689314073203054</v>
      </c>
      <c r="M31" s="6">
        <f t="shared" si="11"/>
        <v>-32410.083618626901</v>
      </c>
      <c r="N31" t="s">
        <v>24</v>
      </c>
    </row>
    <row r="33" spans="1:11" x14ac:dyDescent="0.25">
      <c r="A33" t="s">
        <v>13</v>
      </c>
      <c r="B33" t="s">
        <v>61</v>
      </c>
      <c r="C33" t="s">
        <v>62</v>
      </c>
      <c r="F33" t="s">
        <v>63</v>
      </c>
      <c r="G33" t="s">
        <v>64</v>
      </c>
      <c r="J33" t="s">
        <v>65</v>
      </c>
      <c r="K33" t="s">
        <v>66</v>
      </c>
    </row>
    <row r="34" spans="1:11" x14ac:dyDescent="0.25">
      <c r="B34" s="1">
        <v>0</v>
      </c>
      <c r="C34" s="1">
        <v>16454.604553368801</v>
      </c>
      <c r="F34" s="1">
        <v>0</v>
      </c>
      <c r="G34" s="1">
        <v>12922.5120645157</v>
      </c>
      <c r="J34" s="1">
        <v>0</v>
      </c>
      <c r="K34" s="1">
        <v>10988.815786839299</v>
      </c>
    </row>
  </sheetData>
  <autoFilter ref="A1:N1" xr:uid="{18025FA5-7769-47FF-9EA0-8E472D7D4015}">
    <sortState xmlns:xlrd2="http://schemas.microsoft.com/office/spreadsheetml/2017/richdata2" ref="A2:N14">
      <sortCondition ref="A1"/>
    </sortState>
  </autoFilter>
  <conditionalFormatting sqref="D18:D31">
    <cfRule type="colorScale" priority="3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H18:H31">
    <cfRule type="colorScale" priority="2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2:L15 H2:H15 D2:D15">
    <cfRule type="colorScale" priority="4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L18:L31">
    <cfRule type="colorScale" priority="1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1C2576-3F3B-4E71-BDB4-1E4541BB8CBE}">
  <dimension ref="A1:N30"/>
  <sheetViews>
    <sheetView workbookViewId="0">
      <selection activeCell="H4" sqref="H4"/>
    </sheetView>
  </sheetViews>
  <sheetFormatPr defaultRowHeight="15" x14ac:dyDescent="0.25"/>
  <cols>
    <col min="3" max="3" width="15.140625" bestFit="1" customWidth="1"/>
    <col min="4" max="4" width="12.85546875" bestFit="1" customWidth="1"/>
    <col min="6" max="7" width="11.5703125" bestFit="1" customWidth="1"/>
    <col min="8" max="8" width="10.5703125" bestFit="1" customWidth="1"/>
    <col min="9" max="9" width="12.5703125" bestFit="1" customWidth="1"/>
  </cols>
  <sheetData>
    <row r="1" spans="1:10" x14ac:dyDescent="0.25">
      <c r="A1" t="str">
        <f>Low!A1</f>
        <v>Scenario</v>
      </c>
      <c r="B1" t="s">
        <v>28</v>
      </c>
      <c r="C1" t="str">
        <f>Low!F1</f>
        <v>Benefits | 12.0%</v>
      </c>
      <c r="D1" t="str">
        <f>Low!G1</f>
        <v>Costs | 12.0%</v>
      </c>
      <c r="F1" t="s">
        <v>56</v>
      </c>
      <c r="G1" t="s">
        <v>57</v>
      </c>
      <c r="H1" t="s">
        <v>58</v>
      </c>
      <c r="I1" t="s">
        <v>55</v>
      </c>
      <c r="J1" t="s">
        <v>28</v>
      </c>
    </row>
    <row r="2" spans="1:10" x14ac:dyDescent="0.25">
      <c r="A2" t="str">
        <f>Low!A2</f>
        <v>45Q-2040</v>
      </c>
      <c r="B2" t="s">
        <v>59</v>
      </c>
      <c r="C2" s="1">
        <f>Low!F2</f>
        <v>-11644.658803537901</v>
      </c>
      <c r="D2" s="1">
        <f>Low!G2</f>
        <v>32506.920082813402</v>
      </c>
      <c r="G2" s="1">
        <f>C2</f>
        <v>-11644.658803537901</v>
      </c>
    </row>
    <row r="3" spans="1:10" x14ac:dyDescent="0.25">
      <c r="A3" t="str">
        <f>Low!A3</f>
        <v>45Q-2050</v>
      </c>
      <c r="B3" t="s">
        <v>59</v>
      </c>
      <c r="C3" s="1">
        <f>Low!F3</f>
        <v>-30848.8092279228</v>
      </c>
      <c r="D3" s="1">
        <f>Low!G3</f>
        <v>68806.729018270402</v>
      </c>
      <c r="G3" s="1">
        <f t="shared" ref="G3:G5" si="0">C3</f>
        <v>-30848.8092279228</v>
      </c>
    </row>
    <row r="4" spans="1:10" x14ac:dyDescent="0.25">
      <c r="A4" t="str">
        <f>Low!A4</f>
        <v>CDRIA-2035</v>
      </c>
      <c r="B4" t="s">
        <v>59</v>
      </c>
      <c r="C4" s="1">
        <f>Low!F4</f>
        <v>-48889.259790475502</v>
      </c>
      <c r="D4" s="1">
        <f>Low!G4</f>
        <v>28709.564463483799</v>
      </c>
      <c r="G4" s="1">
        <f t="shared" si="0"/>
        <v>-48889.259790475502</v>
      </c>
    </row>
    <row r="5" spans="1:10" x14ac:dyDescent="0.25">
      <c r="A5" t="str">
        <f>Low!A5</f>
        <v>CDRIA-2050</v>
      </c>
      <c r="B5" t="s">
        <v>59</v>
      </c>
      <c r="C5" s="1">
        <f>Low!F5</f>
        <v>-124837.11295495099</v>
      </c>
      <c r="D5" s="1">
        <f>Low!G5</f>
        <v>125786.37310764899</v>
      </c>
      <c r="G5" s="1">
        <f t="shared" si="0"/>
        <v>-124837.11295495099</v>
      </c>
    </row>
    <row r="6" spans="1:10" x14ac:dyDescent="0.25">
      <c r="A6" t="str">
        <f>Low!A6</f>
        <v>Innovation-DACHubs</v>
      </c>
      <c r="B6" t="s">
        <v>59</v>
      </c>
      <c r="C6" s="1">
        <f>Low!F6</f>
        <v>-5718.2312864800897</v>
      </c>
      <c r="D6" s="1">
        <f>Low!G6</f>
        <v>15677.5227380697</v>
      </c>
      <c r="F6" s="1">
        <f>C6</f>
        <v>-5718.2312864800897</v>
      </c>
    </row>
    <row r="7" spans="1:10" x14ac:dyDescent="0.25">
      <c r="A7" t="str">
        <f>Low!A7</f>
        <v>Innovation-maintain</v>
      </c>
      <c r="B7" t="s">
        <v>59</v>
      </c>
      <c r="C7" s="1">
        <f>Low!F7</f>
        <v>-6100.3980291768003</v>
      </c>
      <c r="D7" s="1">
        <f>Low!G7</f>
        <v>12692.2292408466</v>
      </c>
      <c r="F7" s="1">
        <f t="shared" ref="F7:F10" si="1">C7</f>
        <v>-6100.3980291768003</v>
      </c>
    </row>
    <row r="8" spans="1:10" x14ac:dyDescent="0.25">
      <c r="A8" t="str">
        <f>Low!A8</f>
        <v>Innovation-rhodium18b</v>
      </c>
      <c r="B8" t="s">
        <v>59</v>
      </c>
      <c r="C8" s="1">
        <f>Low!F8</f>
        <v>-20972.403124771499</v>
      </c>
      <c r="D8" s="1">
        <f>Low!G8</f>
        <v>18375.511162999999</v>
      </c>
      <c r="F8" s="1">
        <f t="shared" si="1"/>
        <v>-20972.403124771499</v>
      </c>
    </row>
    <row r="9" spans="1:10" x14ac:dyDescent="0.25">
      <c r="A9" t="str">
        <f>Low!A9</f>
        <v>Innovation-rhodium6b</v>
      </c>
      <c r="B9" t="s">
        <v>59</v>
      </c>
      <c r="C9" s="1">
        <f>Low!F9</f>
        <v>-9175.9801601351992</v>
      </c>
      <c r="D9" s="1">
        <f>Low!G9</f>
        <v>13838.706423644</v>
      </c>
      <c r="F9" s="1">
        <f t="shared" si="1"/>
        <v>-9175.9801601351992</v>
      </c>
    </row>
    <row r="10" spans="1:10" x14ac:dyDescent="0.25">
      <c r="A10" t="str">
        <f>Low!A10</f>
        <v>Innovation-triple</v>
      </c>
      <c r="B10" t="s">
        <v>59</v>
      </c>
      <c r="C10" s="1">
        <f>Low!F10</f>
        <v>-10472.8845316388</v>
      </c>
      <c r="D10" s="1">
        <f>Low!G10</f>
        <v>14865.3551125206</v>
      </c>
      <c r="F10" s="1">
        <f t="shared" si="1"/>
        <v>-10472.8845316388</v>
      </c>
    </row>
    <row r="11" spans="1:10" x14ac:dyDescent="0.25">
      <c r="A11" t="str">
        <f>Low!A11</f>
        <v>Low Baseline</v>
      </c>
      <c r="B11" t="s">
        <v>59</v>
      </c>
      <c r="C11" s="1">
        <f>Low!F11</f>
        <v>0</v>
      </c>
      <c r="D11" s="1">
        <f>Low!G11</f>
        <v>11511.601320002699</v>
      </c>
      <c r="J11" s="1">
        <f>C11</f>
        <v>0</v>
      </c>
    </row>
    <row r="12" spans="1:10" x14ac:dyDescent="0.25">
      <c r="A12" t="str">
        <f>Low!A12</f>
        <v>Procure3B</v>
      </c>
      <c r="B12" t="s">
        <v>59</v>
      </c>
      <c r="C12" s="1">
        <f>Low!F12</f>
        <v>-32.085743248811902</v>
      </c>
      <c r="D12" s="1">
        <f>Low!G12</f>
        <v>32278.589396815001</v>
      </c>
      <c r="H12" s="1">
        <f>C12</f>
        <v>-32.085743248811902</v>
      </c>
    </row>
    <row r="13" spans="1:10" x14ac:dyDescent="0.25">
      <c r="A13" t="str">
        <f>Low!A13</f>
        <v>ProcureRhodium</v>
      </c>
      <c r="B13" t="s">
        <v>59</v>
      </c>
      <c r="C13" s="1">
        <f>Low!F13</f>
        <v>4460.6170443716501</v>
      </c>
      <c r="D13" s="1">
        <f>Low!G13</f>
        <v>222303.607323328</v>
      </c>
      <c r="H13" s="1">
        <f t="shared" ref="H13:H14" si="2">C13</f>
        <v>4460.6170443716501</v>
      </c>
    </row>
    <row r="14" spans="1:10" x14ac:dyDescent="0.25">
      <c r="A14" t="str">
        <f>Low!A14</f>
        <v>ProcureScaling</v>
      </c>
      <c r="B14" t="s">
        <v>59</v>
      </c>
      <c r="C14" s="1">
        <f>Low!F14</f>
        <v>-184.162683612303</v>
      </c>
      <c r="D14" s="1">
        <f>Low!G14</f>
        <v>17829.693968081301</v>
      </c>
      <c r="H14" s="1">
        <f t="shared" si="2"/>
        <v>-184.162683612303</v>
      </c>
    </row>
    <row r="15" spans="1:10" x14ac:dyDescent="0.25">
      <c r="A15" t="str">
        <f>Low!A15</f>
        <v>Optimal</v>
      </c>
      <c r="B15" t="s">
        <v>59</v>
      </c>
      <c r="C15" s="1">
        <f>Low!F15</f>
        <v>-55394.240300793303</v>
      </c>
      <c r="D15" s="1">
        <f>Low!G15</f>
        <v>44328.768128424897</v>
      </c>
      <c r="I15" s="1">
        <f>C15</f>
        <v>-55394.240300793303</v>
      </c>
    </row>
    <row r="16" spans="1:10" x14ac:dyDescent="0.25">
      <c r="A16" t="str">
        <f>High!A2</f>
        <v>45Q-2040</v>
      </c>
      <c r="B16" t="s">
        <v>32</v>
      </c>
      <c r="C16" s="1">
        <f>High!F2</f>
        <v>-24012.4014868552</v>
      </c>
      <c r="D16" s="1">
        <f>High!G2</f>
        <v>48730.788212699401</v>
      </c>
      <c r="G16" s="1">
        <f>C16</f>
        <v>-24012.4014868552</v>
      </c>
    </row>
    <row r="17" spans="1:14" x14ac:dyDescent="0.25">
      <c r="A17" t="str">
        <f>High!A3</f>
        <v>45Q-2050</v>
      </c>
      <c r="B17" t="s">
        <v>32</v>
      </c>
      <c r="C17" s="1">
        <f>High!F3</f>
        <v>-84257.525916830593</v>
      </c>
      <c r="D17" s="1">
        <f>High!G3</f>
        <v>140944.522706794</v>
      </c>
      <c r="G17" s="1">
        <f t="shared" ref="G17:G19" si="3">C17</f>
        <v>-84257.525916830593</v>
      </c>
    </row>
    <row r="18" spans="1:14" x14ac:dyDescent="0.25">
      <c r="A18" t="str">
        <f>High!A4</f>
        <v>CDRIA-2035</v>
      </c>
      <c r="B18" t="s">
        <v>32</v>
      </c>
      <c r="C18" s="1">
        <f>High!F4</f>
        <v>-74162.1476601756</v>
      </c>
      <c r="D18" s="1">
        <f>High!G4</f>
        <v>40207.866336966101</v>
      </c>
      <c r="G18" s="1">
        <f t="shared" si="3"/>
        <v>-74162.1476601756</v>
      </c>
    </row>
    <row r="19" spans="1:14" x14ac:dyDescent="0.25">
      <c r="A19" t="str">
        <f>High!A5</f>
        <v>CDRIA-2050</v>
      </c>
      <c r="B19" t="s">
        <v>32</v>
      </c>
      <c r="C19" s="1">
        <f>High!F5</f>
        <v>-265902.76421105402</v>
      </c>
      <c r="D19" s="1">
        <f>High!G5</f>
        <v>266640.44285571203</v>
      </c>
      <c r="G19" s="1">
        <f t="shared" si="3"/>
        <v>-265902.76421105402</v>
      </c>
    </row>
    <row r="20" spans="1:14" x14ac:dyDescent="0.25">
      <c r="A20" t="str">
        <f>High!A6</f>
        <v>High Baseline</v>
      </c>
      <c r="B20" t="s">
        <v>32</v>
      </c>
      <c r="C20" s="1">
        <f>High!F6</f>
        <v>0</v>
      </c>
      <c r="D20" s="1">
        <f>High!G6</f>
        <v>12922.5120645157</v>
      </c>
      <c r="J20" s="1">
        <f>C20</f>
        <v>0</v>
      </c>
    </row>
    <row r="21" spans="1:14" x14ac:dyDescent="0.25">
      <c r="A21" t="str">
        <f>High!A7</f>
        <v>Innovation-DACHubs</v>
      </c>
      <c r="B21" t="s">
        <v>32</v>
      </c>
      <c r="C21" s="1">
        <f>High!F7</f>
        <v>-14041.807010664401</v>
      </c>
      <c r="D21" s="1">
        <f>High!G7</f>
        <v>17381.240704187301</v>
      </c>
      <c r="F21" s="1">
        <f>C21</f>
        <v>-14041.807010664401</v>
      </c>
    </row>
    <row r="22" spans="1:14" x14ac:dyDescent="0.25">
      <c r="A22" t="str">
        <f>High!A8</f>
        <v>Innovation-maintain</v>
      </c>
      <c r="B22" t="s">
        <v>32</v>
      </c>
      <c r="C22" s="1">
        <f>High!F8</f>
        <v>-12795.920628411601</v>
      </c>
      <c r="D22" s="1">
        <f>High!G8</f>
        <v>14128.7206300791</v>
      </c>
      <c r="F22" s="1">
        <f t="shared" ref="F22:F25" si="4">C22</f>
        <v>-12795.920628411601</v>
      </c>
    </row>
    <row r="23" spans="1:14" x14ac:dyDescent="0.25">
      <c r="A23" t="str">
        <f>High!A9</f>
        <v>Innovation-rhodium18b</v>
      </c>
      <c r="B23" t="s">
        <v>32</v>
      </c>
      <c r="C23" s="1">
        <f>High!F9</f>
        <v>-38626.101035459098</v>
      </c>
      <c r="D23" s="1">
        <f>High!G9</f>
        <v>19876.195905398199</v>
      </c>
      <c r="F23" s="1">
        <f t="shared" si="4"/>
        <v>-38626.101035459098</v>
      </c>
    </row>
    <row r="24" spans="1:14" x14ac:dyDescent="0.25">
      <c r="A24" t="str">
        <f>High!A10</f>
        <v>Innovation-rhodium6b</v>
      </c>
      <c r="B24" t="s">
        <v>32</v>
      </c>
      <c r="C24" s="1">
        <f>High!F10</f>
        <v>-17986.986790839499</v>
      </c>
      <c r="D24" s="1">
        <f>High!G10</f>
        <v>15287.094538355101</v>
      </c>
      <c r="F24" s="1">
        <f t="shared" si="4"/>
        <v>-17986.986790839499</v>
      </c>
    </row>
    <row r="25" spans="1:14" x14ac:dyDescent="0.25">
      <c r="A25" t="str">
        <f>High!A11</f>
        <v>Innovation-triple</v>
      </c>
      <c r="B25" t="s">
        <v>32</v>
      </c>
      <c r="C25" s="1">
        <f>High!F11</f>
        <v>-20252.154009836198</v>
      </c>
      <c r="D25" s="1">
        <f>High!G11</f>
        <v>16316.162333554499</v>
      </c>
      <c r="F25" s="1">
        <f t="shared" si="4"/>
        <v>-20252.154009836198</v>
      </c>
    </row>
    <row r="26" spans="1:14" x14ac:dyDescent="0.25">
      <c r="A26" t="str">
        <f>High!A12</f>
        <v>Procure3B</v>
      </c>
      <c r="B26" t="s">
        <v>32</v>
      </c>
      <c r="C26" s="1">
        <f>High!F12</f>
        <v>-2555.2191726661399</v>
      </c>
      <c r="D26" s="1">
        <f>High!G12</f>
        <v>33709.460372616202</v>
      </c>
      <c r="H26" s="1">
        <f>C26</f>
        <v>-2555.2191726661399</v>
      </c>
    </row>
    <row r="27" spans="1:14" x14ac:dyDescent="0.25">
      <c r="A27" t="str">
        <f>High!A13</f>
        <v>ProcureRhodium</v>
      </c>
      <c r="B27" t="s">
        <v>32</v>
      </c>
      <c r="C27" s="1">
        <f>High!F13</f>
        <v>5157.5221174354301</v>
      </c>
      <c r="D27" s="1">
        <f>High!G13</f>
        <v>235929.47854249101</v>
      </c>
      <c r="H27" s="1">
        <f t="shared" ref="H27:H28" si="5">C27</f>
        <v>5157.5221174354301</v>
      </c>
    </row>
    <row r="28" spans="1:14" x14ac:dyDescent="0.25">
      <c r="A28" t="str">
        <f>High!A14</f>
        <v>ProcureScaling</v>
      </c>
      <c r="B28" t="s">
        <v>32</v>
      </c>
      <c r="C28" s="1">
        <f>High!F14</f>
        <v>-2707.91448460225</v>
      </c>
      <c r="D28" s="1">
        <f>High!G14</f>
        <v>19251.584572950102</v>
      </c>
      <c r="H28" s="1">
        <f t="shared" si="5"/>
        <v>-2707.91448460225</v>
      </c>
    </row>
    <row r="29" spans="1:14" x14ac:dyDescent="0.25">
      <c r="A29" t="str">
        <f>High!A15</f>
        <v>Optimal</v>
      </c>
      <c r="B29" t="s">
        <v>32</v>
      </c>
      <c r="C29" s="1">
        <f>High!F15</f>
        <v>-100078.99781724501</v>
      </c>
      <c r="D29" s="1">
        <f>High!G15</f>
        <v>46662.644528508899</v>
      </c>
      <c r="I29" s="1">
        <f>C29</f>
        <v>-100078.99781724501</v>
      </c>
      <c r="L29">
        <v>1990</v>
      </c>
      <c r="M29">
        <v>2025</v>
      </c>
      <c r="N29" t="s">
        <v>68</v>
      </c>
    </row>
    <row r="30" spans="1:14" x14ac:dyDescent="0.25">
      <c r="L30" t="s">
        <v>67</v>
      </c>
      <c r="M30">
        <v>1990</v>
      </c>
      <c r="N30" t="s">
        <v>69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EF8D6B-AAC7-4D47-8A22-E3B6AC50568B}">
  <dimension ref="A1:J116"/>
  <sheetViews>
    <sheetView tabSelected="1" zoomScale="70" zoomScaleNormal="70" workbookViewId="0">
      <selection activeCell="L22" sqref="L22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66.85546875" bestFit="1" customWidth="1"/>
    <col min="4" max="4" width="70.140625" bestFit="1" customWidth="1"/>
  </cols>
  <sheetData>
    <row r="1" spans="1:10" x14ac:dyDescent="0.25">
      <c r="A1" t="s">
        <v>0</v>
      </c>
      <c r="B1" t="s">
        <v>28</v>
      </c>
      <c r="C1" t="s">
        <v>42</v>
      </c>
      <c r="D1" t="s">
        <v>52</v>
      </c>
      <c r="E1" t="s">
        <v>34</v>
      </c>
      <c r="F1" t="s">
        <v>51</v>
      </c>
      <c r="G1" t="s">
        <v>35</v>
      </c>
      <c r="H1" t="s">
        <v>53</v>
      </c>
      <c r="I1" t="s">
        <v>50</v>
      </c>
      <c r="J1" t="s">
        <v>43</v>
      </c>
    </row>
    <row r="2" spans="1:10" x14ac:dyDescent="0.25">
      <c r="A2" t="s">
        <v>27</v>
      </c>
      <c r="B2" t="s">
        <v>29</v>
      </c>
      <c r="C2">
        <v>5.4175769899473796</v>
      </c>
      <c r="D2">
        <f>100*(C2-C$2)/C$2</f>
        <v>0</v>
      </c>
      <c r="E2">
        <v>1.21462324059764</v>
      </c>
      <c r="F2">
        <f>100*(E2-E$2)/E$2</f>
        <v>0</v>
      </c>
      <c r="G2">
        <v>0.50517645710506498</v>
      </c>
      <c r="H2">
        <f>100*(G2-G$2)/G$2</f>
        <v>0</v>
      </c>
      <c r="I2">
        <f>100*(J2-J$2)/J$2</f>
        <v>0</v>
      </c>
      <c r="J2">
        <v>0.84290901691641495</v>
      </c>
    </row>
    <row r="3" spans="1:10" x14ac:dyDescent="0.25">
      <c r="A3" t="s">
        <v>1</v>
      </c>
      <c r="B3" t="s">
        <v>30</v>
      </c>
      <c r="C3">
        <v>5.4526751392889503</v>
      </c>
      <c r="D3">
        <f t="shared" ref="D3:F28" si="0">100*(C3-C$2)/C$2</f>
        <v>0.64785695536394483</v>
      </c>
      <c r="E3">
        <v>1.2265993616247699</v>
      </c>
      <c r="F3">
        <f t="shared" si="0"/>
        <v>0.98599472057171911</v>
      </c>
      <c r="G3">
        <v>0.51196546571708901</v>
      </c>
      <c r="H3">
        <f t="shared" ref="H3" si="1">100*(G3-G$2)/G$2</f>
        <v>1.3438885594409384</v>
      </c>
      <c r="I3">
        <f t="shared" ref="I3:I28" si="2">100*(J3-J$2)/J$2</f>
        <v>0.21249703186680166</v>
      </c>
      <c r="J3">
        <v>0.84470017355869997</v>
      </c>
    </row>
    <row r="4" spans="1:10" x14ac:dyDescent="0.25">
      <c r="A4" t="s">
        <v>2</v>
      </c>
      <c r="B4" t="s">
        <v>30</v>
      </c>
      <c r="C4">
        <v>5.4176986655229298</v>
      </c>
      <c r="D4">
        <f t="shared" si="0"/>
        <v>2.2459408657409443E-3</v>
      </c>
      <c r="E4">
        <v>1.2200220480936199</v>
      </c>
      <c r="F4">
        <f t="shared" si="0"/>
        <v>0.44448412606722876</v>
      </c>
      <c r="G4">
        <v>0.50945647219154799</v>
      </c>
      <c r="H4">
        <f t="shared" ref="H4" si="3">100*(G4-G$2)/G$2</f>
        <v>0.84723170018844907</v>
      </c>
      <c r="I4">
        <f t="shared" si="2"/>
        <v>-1.3655573070193403</v>
      </c>
      <c r="J4">
        <v>0.83139861124438796</v>
      </c>
    </row>
    <row r="5" spans="1:10" x14ac:dyDescent="0.25">
      <c r="A5" t="s">
        <v>6</v>
      </c>
      <c r="B5" t="s">
        <v>30</v>
      </c>
      <c r="C5">
        <v>5.4325606637280597</v>
      </c>
      <c r="D5">
        <f t="shared" si="0"/>
        <v>0.27657518865875208</v>
      </c>
      <c r="E5">
        <v>1.2224848613141599</v>
      </c>
      <c r="F5">
        <f t="shared" si="0"/>
        <v>0.64724767761331869</v>
      </c>
      <c r="G5">
        <v>0.51069933585084104</v>
      </c>
      <c r="H5">
        <f t="shared" ref="H5" si="4">100*(G5-G$2)/G$2</f>
        <v>1.0932573496051559</v>
      </c>
      <c r="I5">
        <f t="shared" si="2"/>
        <v>-0.46376197004718345</v>
      </c>
      <c r="J5">
        <v>0.83899992545385804</v>
      </c>
    </row>
    <row r="6" spans="1:10" x14ac:dyDescent="0.25">
      <c r="A6" t="s">
        <v>5</v>
      </c>
      <c r="B6" t="s">
        <v>30</v>
      </c>
      <c r="C6">
        <v>5.4675026820248398</v>
      </c>
      <c r="D6">
        <f t="shared" si="0"/>
        <v>0.9215502090713279</v>
      </c>
      <c r="E6">
        <v>1.23111451544623</v>
      </c>
      <c r="F6">
        <f t="shared" si="0"/>
        <v>1.3577275897072081</v>
      </c>
      <c r="G6">
        <v>0.513737215902481</v>
      </c>
      <c r="H6">
        <f t="shared" ref="H6" si="5">100*(G6-G$2)/G$2</f>
        <v>1.6946076320487724</v>
      </c>
      <c r="I6">
        <f t="shared" si="2"/>
        <v>-0.15840906711694819</v>
      </c>
      <c r="J6">
        <v>0.84157377260607302</v>
      </c>
    </row>
    <row r="7" spans="1:10" x14ac:dyDescent="0.25">
      <c r="A7" t="s">
        <v>8</v>
      </c>
      <c r="B7" t="s">
        <v>30</v>
      </c>
      <c r="C7">
        <v>5.4690262916548296</v>
      </c>
      <c r="D7">
        <f t="shared" si="0"/>
        <v>0.94967366043744428</v>
      </c>
      <c r="E7">
        <v>1.24274587562168</v>
      </c>
      <c r="F7">
        <f t="shared" si="0"/>
        <v>2.3153381298881297</v>
      </c>
      <c r="G7">
        <v>0.52159577509564503</v>
      </c>
      <c r="H7">
        <f t="shared" ref="H7" si="6">100*(G7-G$2)/G$2</f>
        <v>3.2502144071938046</v>
      </c>
      <c r="I7">
        <f t="shared" si="2"/>
        <v>-1.4997785764247658</v>
      </c>
      <c r="J7">
        <v>0.83026724806194996</v>
      </c>
    </row>
    <row r="8" spans="1:10" x14ac:dyDescent="0.25">
      <c r="A8" t="s">
        <v>7</v>
      </c>
      <c r="B8" t="s">
        <v>30</v>
      </c>
      <c r="C8">
        <v>5.4704807351999003</v>
      </c>
      <c r="D8">
        <f t="shared" si="0"/>
        <v>0.97652041402801693</v>
      </c>
      <c r="E8">
        <v>1.2344805645724799</v>
      </c>
      <c r="F8">
        <f t="shared" si="0"/>
        <v>1.6348546043849213</v>
      </c>
      <c r="G8">
        <v>0.51580994167138305</v>
      </c>
      <c r="H8">
        <f t="shared" ref="H8" si="7">100*(G8-G$2)/G$2</f>
        <v>2.1049050122513044</v>
      </c>
      <c r="I8">
        <f t="shared" si="2"/>
        <v>-0.39769251330281402</v>
      </c>
      <c r="J8">
        <v>0.83955683086218402</v>
      </c>
    </row>
    <row r="9" spans="1:10" x14ac:dyDescent="0.25">
      <c r="A9" t="s">
        <v>9</v>
      </c>
      <c r="B9" t="s">
        <v>30</v>
      </c>
      <c r="C9">
        <v>5.4684294412951697</v>
      </c>
      <c r="D9">
        <f t="shared" si="0"/>
        <v>0.93865673606761379</v>
      </c>
      <c r="E9">
        <v>1.23469984643818</v>
      </c>
      <c r="F9">
        <f t="shared" si="0"/>
        <v>1.6529080927729902</v>
      </c>
      <c r="G9">
        <v>0.51633662594582996</v>
      </c>
      <c r="H9">
        <f t="shared" ref="H9" si="8">100*(G9-G$2)/G$2</f>
        <v>2.2091624983315339</v>
      </c>
      <c r="I9">
        <f t="shared" si="2"/>
        <v>-0.52357713726908883</v>
      </c>
      <c r="J9">
        <v>0.83849573801586097</v>
      </c>
    </row>
    <row r="10" spans="1:10" x14ac:dyDescent="0.25">
      <c r="A10" t="s">
        <v>13</v>
      </c>
      <c r="B10" t="s">
        <v>30</v>
      </c>
      <c r="C10">
        <v>5.5007324623894398</v>
      </c>
      <c r="D10">
        <f t="shared" si="0"/>
        <v>1.5349199946093965</v>
      </c>
      <c r="E10">
        <v>1.2333937815064</v>
      </c>
      <c r="F10">
        <f t="shared" si="0"/>
        <v>1.5453796931733457</v>
      </c>
      <c r="G10">
        <v>0.513172389200656</v>
      </c>
      <c r="H10">
        <f t="shared" ref="H10" si="9">100*(G10-G$2)/G$2</f>
        <v>1.5827998282841693</v>
      </c>
      <c r="I10">
        <f t="shared" si="2"/>
        <v>1.0818447048699995</v>
      </c>
      <c r="J10">
        <v>0.85202798348279696</v>
      </c>
    </row>
    <row r="11" spans="1:10" x14ac:dyDescent="0.25">
      <c r="A11" t="s">
        <v>10</v>
      </c>
      <c r="B11" t="s">
        <v>30</v>
      </c>
      <c r="C11">
        <v>5.4984718932521197</v>
      </c>
      <c r="D11">
        <f t="shared" si="0"/>
        <v>1.4931934230901602</v>
      </c>
      <c r="E11">
        <v>1.2461970757383001</v>
      </c>
      <c r="F11">
        <f t="shared" si="0"/>
        <v>2.5994756304123183</v>
      </c>
      <c r="G11">
        <v>0.52572239246154995</v>
      </c>
      <c r="H11">
        <f t="shared" ref="H11" si="10">100*(G11-G$2)/G$2</f>
        <v>4.0670809313292864</v>
      </c>
      <c r="I11">
        <f t="shared" si="2"/>
        <v>0.36638009527595833</v>
      </c>
      <c r="J11">
        <v>0.84599726777568296</v>
      </c>
    </row>
    <row r="12" spans="1:10" x14ac:dyDescent="0.25">
      <c r="A12" t="s">
        <v>11</v>
      </c>
      <c r="B12" t="s">
        <v>30</v>
      </c>
      <c r="C12">
        <v>5.7243968175114803</v>
      </c>
      <c r="D12">
        <f t="shared" si="0"/>
        <v>5.6634142557350327</v>
      </c>
      <c r="E12">
        <v>1.3160625148040399</v>
      </c>
      <c r="F12">
        <f t="shared" si="0"/>
        <v>8.3515011746760219</v>
      </c>
      <c r="G12">
        <v>0.56052492044233604</v>
      </c>
      <c r="H12">
        <f t="shared" ref="H12" si="11">100*(G12-G$2)/G$2</f>
        <v>10.956263412283258</v>
      </c>
      <c r="I12">
        <f t="shared" si="2"/>
        <v>1.1959723569841303</v>
      </c>
      <c r="J12">
        <v>0.85298997575326196</v>
      </c>
    </row>
    <row r="13" spans="1:10" x14ac:dyDescent="0.25">
      <c r="A13" t="s">
        <v>12</v>
      </c>
      <c r="B13" t="s">
        <v>30</v>
      </c>
      <c r="C13">
        <v>5.4812879541932098</v>
      </c>
      <c r="D13">
        <f t="shared" si="0"/>
        <v>1.176004777856402</v>
      </c>
      <c r="E13">
        <v>1.2334114219814001</v>
      </c>
      <c r="F13">
        <f t="shared" si="0"/>
        <v>1.5468320344764317</v>
      </c>
      <c r="G13">
        <v>0.51482952026028495</v>
      </c>
      <c r="H13">
        <f t="shared" ref="H13" si="12">100*(G13-G$2)/G$2</f>
        <v>1.9108299722709272</v>
      </c>
      <c r="I13">
        <f t="shared" si="2"/>
        <v>0.36328086889841033</v>
      </c>
      <c r="J13">
        <v>0.84597114411709196</v>
      </c>
    </row>
    <row r="14" spans="1:10" x14ac:dyDescent="0.25">
      <c r="A14" t="s">
        <v>1</v>
      </c>
      <c r="B14" t="s">
        <v>32</v>
      </c>
      <c r="C14">
        <v>5.5417657965940101</v>
      </c>
      <c r="D14">
        <f t="shared" si="0"/>
        <v>2.2923311819484971</v>
      </c>
      <c r="E14">
        <v>1.2457635282608599</v>
      </c>
      <c r="F14">
        <f t="shared" si="0"/>
        <v>2.5637816421080228</v>
      </c>
      <c r="G14">
        <v>0.51994929271492896</v>
      </c>
      <c r="H14">
        <f t="shared" ref="H14" si="13">100*(G14-G$2)/G$2</f>
        <v>2.9242921759498324</v>
      </c>
      <c r="I14">
        <f t="shared" si="2"/>
        <v>1.0676371229122197</v>
      </c>
      <c r="J14">
        <v>0.85190822649338904</v>
      </c>
    </row>
    <row r="15" spans="1:10" x14ac:dyDescent="0.25">
      <c r="A15" t="s">
        <v>2</v>
      </c>
      <c r="B15" t="s">
        <v>32</v>
      </c>
      <c r="C15">
        <v>5.5469377878581998</v>
      </c>
      <c r="D15">
        <f t="shared" si="0"/>
        <v>2.3877980534629502</v>
      </c>
      <c r="E15">
        <v>1.24906589704301</v>
      </c>
      <c r="F15">
        <f t="shared" si="0"/>
        <v>2.8356658504593448</v>
      </c>
      <c r="G15">
        <v>0.52138261081502402</v>
      </c>
      <c r="H15">
        <f t="shared" ref="H15" si="14">100*(G15-G$2)/G$2</f>
        <v>3.2080184026842988</v>
      </c>
      <c r="I15">
        <f t="shared" si="2"/>
        <v>0.46865683829263816</v>
      </c>
      <c r="J15">
        <v>0.84685936766477898</v>
      </c>
    </row>
    <row r="16" spans="1:10" x14ac:dyDescent="0.25">
      <c r="A16" t="s">
        <v>14</v>
      </c>
      <c r="B16" t="s">
        <v>32</v>
      </c>
      <c r="C16">
        <v>5.6382572848615498</v>
      </c>
      <c r="D16">
        <f t="shared" si="0"/>
        <v>4.073413175736218</v>
      </c>
      <c r="E16">
        <v>1.26406672926263</v>
      </c>
      <c r="F16">
        <f t="shared" si="0"/>
        <v>4.0706852143436585</v>
      </c>
      <c r="G16">
        <v>0.52557117328980196</v>
      </c>
      <c r="H16">
        <f t="shared" ref="H16" si="15">100*(G16-G$2)/G$2</f>
        <v>4.0371470003985861</v>
      </c>
      <c r="I16">
        <f t="shared" si="2"/>
        <v>2.3727693973872075</v>
      </c>
      <c r="J16">
        <v>0.86290930411762501</v>
      </c>
    </row>
    <row r="17" spans="1:10" x14ac:dyDescent="0.25">
      <c r="A17" t="s">
        <v>6</v>
      </c>
      <c r="B17" t="s">
        <v>32</v>
      </c>
      <c r="C17">
        <v>5.4997560593119497</v>
      </c>
      <c r="D17">
        <f t="shared" si="0"/>
        <v>1.5168971205588402</v>
      </c>
      <c r="E17">
        <v>1.2403987076644101</v>
      </c>
      <c r="F17">
        <f t="shared" si="0"/>
        <v>2.1220956593986737</v>
      </c>
      <c r="G17">
        <v>0.51878134271989196</v>
      </c>
      <c r="H17">
        <f t="shared" ref="H17" si="16">100*(G17-G$2)/G$2</f>
        <v>2.693095733872942</v>
      </c>
      <c r="I17">
        <f t="shared" si="2"/>
        <v>-1.0959771479748042</v>
      </c>
      <c r="J17">
        <v>0.83367092671279197</v>
      </c>
    </row>
    <row r="18" spans="1:10" x14ac:dyDescent="0.25">
      <c r="A18" t="s">
        <v>5</v>
      </c>
      <c r="B18" t="s">
        <v>32</v>
      </c>
      <c r="C18">
        <v>5.54833513221618</v>
      </c>
      <c r="D18">
        <f t="shared" si="0"/>
        <v>2.4135908453433994</v>
      </c>
      <c r="E18">
        <v>1.2520633936749701</v>
      </c>
      <c r="F18">
        <f t="shared" si="0"/>
        <v>3.0824499174664326</v>
      </c>
      <c r="G18">
        <v>0.52294039663778702</v>
      </c>
      <c r="H18">
        <f t="shared" ref="H18" si="17">100*(G18-G$2)/G$2</f>
        <v>3.5163830940418412</v>
      </c>
      <c r="I18">
        <f t="shared" si="2"/>
        <v>-0.67455579376899111</v>
      </c>
      <c r="J18">
        <v>0.83722312530660403</v>
      </c>
    </row>
    <row r="19" spans="1:10" x14ac:dyDescent="0.25">
      <c r="A19" t="s">
        <v>8</v>
      </c>
      <c r="B19" t="s">
        <v>32</v>
      </c>
      <c r="C19">
        <v>5.4635976264752202</v>
      </c>
      <c r="D19">
        <f t="shared" si="0"/>
        <v>0.84946898979441365</v>
      </c>
      <c r="E19">
        <v>1.24990611993794</v>
      </c>
      <c r="F19">
        <f t="shared" si="0"/>
        <v>2.9048414488544982</v>
      </c>
      <c r="G19">
        <v>0.52663439663696598</v>
      </c>
      <c r="H19">
        <f t="shared" ref="H19" si="18">100*(G19-G$2)/G$2</f>
        <v>4.2476127361252409</v>
      </c>
      <c r="I19">
        <f t="shared" si="2"/>
        <v>-4.6305696962614666</v>
      </c>
      <c r="J19">
        <v>0.803877527412028</v>
      </c>
    </row>
    <row r="20" spans="1:10" x14ac:dyDescent="0.25">
      <c r="A20" t="s">
        <v>7</v>
      </c>
      <c r="B20" t="s">
        <v>32</v>
      </c>
      <c r="C20">
        <v>5.5358720502600303</v>
      </c>
      <c r="D20">
        <f t="shared" si="0"/>
        <v>2.1835418404233824</v>
      </c>
      <c r="E20">
        <v>1.2527627412573199</v>
      </c>
      <c r="F20">
        <f t="shared" si="0"/>
        <v>3.1400272434202559</v>
      </c>
      <c r="G20">
        <v>0.52415207638914296</v>
      </c>
      <c r="H20">
        <f t="shared" ref="H20" si="19">100*(G20-G$2)/G$2</f>
        <v>3.7562358691096911</v>
      </c>
      <c r="I20">
        <f t="shared" si="2"/>
        <v>-1.319407624914968</v>
      </c>
      <c r="J20">
        <v>0.83178761107612398</v>
      </c>
    </row>
    <row r="21" spans="1:10" x14ac:dyDescent="0.25">
      <c r="A21" t="s">
        <v>9</v>
      </c>
      <c r="B21" t="s">
        <v>32</v>
      </c>
      <c r="C21">
        <v>5.5232699771311804</v>
      </c>
      <c r="D21">
        <f t="shared" si="0"/>
        <v>1.950927275789899</v>
      </c>
      <c r="E21">
        <v>1.2516020094135401</v>
      </c>
      <c r="F21">
        <f t="shared" si="0"/>
        <v>3.0444641251640361</v>
      </c>
      <c r="G21">
        <v>0.52434373084310903</v>
      </c>
      <c r="H21">
        <f t="shared" ref="H21" si="20">100*(G21-G$2)/G$2</f>
        <v>3.7941739897941655</v>
      </c>
      <c r="I21">
        <f t="shared" si="2"/>
        <v>-1.897612583824104</v>
      </c>
      <c r="J21">
        <v>0.82691386934122102</v>
      </c>
    </row>
    <row r="22" spans="1:10" x14ac:dyDescent="0.25">
      <c r="A22" t="s">
        <v>10</v>
      </c>
      <c r="B22" t="s">
        <v>32</v>
      </c>
      <c r="C22">
        <v>5.6119825340455902</v>
      </c>
      <c r="D22">
        <f t="shared" si="0"/>
        <v>3.5884223603825314</v>
      </c>
      <c r="E22">
        <v>1.2719189458234801</v>
      </c>
      <c r="F22">
        <f t="shared" si="0"/>
        <v>4.7171586472895424</v>
      </c>
      <c r="G22">
        <v>0.53623613968750194</v>
      </c>
      <c r="H22">
        <f t="shared" ref="H22" si="21">100*(G22-G$2)/G$2</f>
        <v>6.1482838611335504</v>
      </c>
      <c r="I22">
        <f t="shared" si="2"/>
        <v>1.0363250084620061</v>
      </c>
      <c r="J22">
        <v>0.851644293857301</v>
      </c>
    </row>
    <row r="23" spans="1:10" x14ac:dyDescent="0.25">
      <c r="A23" t="s">
        <v>11</v>
      </c>
      <c r="B23" t="s">
        <v>32</v>
      </c>
      <c r="C23">
        <v>5.8166522657457698</v>
      </c>
      <c r="D23">
        <f t="shared" si="0"/>
        <v>7.3663055742243611</v>
      </c>
      <c r="E23">
        <v>1.3364385232365401</v>
      </c>
      <c r="F23">
        <f t="shared" si="0"/>
        <v>10.029059099755278</v>
      </c>
      <c r="G23">
        <v>0.56914999220891305</v>
      </c>
      <c r="H23">
        <f t="shared" ref="H23" si="22">100*(G23-G$2)/G$2</f>
        <v>12.663601837356222</v>
      </c>
      <c r="I23">
        <f t="shared" si="2"/>
        <v>2.923407082508354</v>
      </c>
      <c r="J23">
        <v>0.86755067881605097</v>
      </c>
    </row>
    <row r="24" spans="1:10" x14ac:dyDescent="0.25">
      <c r="A24" t="s">
        <v>12</v>
      </c>
      <c r="B24" t="s">
        <v>32</v>
      </c>
      <c r="C24">
        <v>5.5985806170975803</v>
      </c>
      <c r="D24">
        <f t="shared" si="0"/>
        <v>3.341043929529071</v>
      </c>
      <c r="E24">
        <v>1.2617380288169799</v>
      </c>
      <c r="F24">
        <f t="shared" si="0"/>
        <v>3.8789631751289115</v>
      </c>
      <c r="G24">
        <v>0.52686850022717402</v>
      </c>
      <c r="H24">
        <f t="shared" ref="H24" si="23">100*(G24-G$2)/G$2</f>
        <v>4.293953690244436</v>
      </c>
      <c r="I24">
        <f t="shared" si="2"/>
        <v>0.91897387304034173</v>
      </c>
      <c r="J24">
        <v>0.850655130555378</v>
      </c>
    </row>
    <row r="25" spans="1:10" x14ac:dyDescent="0.25">
      <c r="A25" t="s">
        <v>25</v>
      </c>
      <c r="B25" t="s">
        <v>31</v>
      </c>
      <c r="C25">
        <v>5.59858089366009</v>
      </c>
      <c r="D25">
        <f t="shared" si="0"/>
        <v>3.3410490344405526</v>
      </c>
      <c r="E25">
        <v>1.26706396066733</v>
      </c>
      <c r="F25">
        <f t="shared" si="0"/>
        <v>4.3174474451754374</v>
      </c>
      <c r="G25">
        <v>0.52914280295609695</v>
      </c>
      <c r="H25">
        <f t="shared" ref="H25" si="24">100*(G25-G$2)/G$2</f>
        <v>4.7441533574965318</v>
      </c>
      <c r="I25">
        <f t="shared" si="2"/>
        <v>-3.8617004313604051</v>
      </c>
      <c r="J25">
        <v>0.81035839577417801</v>
      </c>
    </row>
    <row r="26" spans="1:10" x14ac:dyDescent="0.25">
      <c r="A26" t="s">
        <v>26</v>
      </c>
      <c r="B26" t="s">
        <v>33</v>
      </c>
      <c r="C26">
        <v>5.6764675158573299</v>
      </c>
      <c r="D26">
        <f t="shared" si="0"/>
        <v>4.778714292207316</v>
      </c>
      <c r="E26">
        <v>1.2753904629780699</v>
      </c>
      <c r="F26">
        <f t="shared" si="0"/>
        <v>5.0029688506972843</v>
      </c>
      <c r="G26">
        <v>0.53294102312719405</v>
      </c>
      <c r="H26">
        <f t="shared" ref="H26" si="25">100*(G26-G$2)/G$2</f>
        <v>5.4960134486937662</v>
      </c>
      <c r="I26">
        <f t="shared" si="2"/>
        <v>23.306697574041493</v>
      </c>
      <c r="J26">
        <v>1.03936327231345</v>
      </c>
    </row>
    <row r="27" spans="1:10" x14ac:dyDescent="0.25">
      <c r="A27" t="s">
        <v>54</v>
      </c>
      <c r="B27" t="s">
        <v>30</v>
      </c>
      <c r="C27">
        <v>5.3010462151932503</v>
      </c>
      <c r="D27">
        <f t="shared" si="0"/>
        <v>-2.1509758877512724</v>
      </c>
      <c r="E27">
        <v>1.1731321959108101</v>
      </c>
      <c r="F27">
        <f t="shared" si="0"/>
        <v>-3.4159600524698353</v>
      </c>
      <c r="G27">
        <v>0.48426792383517298</v>
      </c>
      <c r="H27">
        <f t="shared" ref="H27" si="26">100*(G27-G$2)/G$2</f>
        <v>-4.1388574181998177</v>
      </c>
      <c r="I27">
        <f t="shared" si="2"/>
        <v>-1.4445409002888128</v>
      </c>
      <c r="J27">
        <v>0.83073285141483499</v>
      </c>
    </row>
    <row r="28" spans="1:10" x14ac:dyDescent="0.25">
      <c r="A28" t="s">
        <v>54</v>
      </c>
      <c r="B28" t="s">
        <v>32</v>
      </c>
      <c r="C28">
        <v>5.5504529880081197</v>
      </c>
      <c r="D28">
        <f t="shared" si="0"/>
        <v>2.4526831516616943</v>
      </c>
      <c r="E28">
        <v>1.28812765278595</v>
      </c>
      <c r="F28">
        <f t="shared" si="0"/>
        <v>6.0516224069731308</v>
      </c>
      <c r="G28">
        <v>0.54364839445570401</v>
      </c>
      <c r="H28">
        <f t="shared" ref="H28" si="27">100*(G28-G$2)/G$2</f>
        <v>7.6155443923701611</v>
      </c>
      <c r="I28">
        <f t="shared" si="2"/>
        <v>-4.7728156685049763</v>
      </c>
      <c r="J28">
        <v>0.80267852328578704</v>
      </c>
    </row>
    <row r="31" spans="1:10" x14ac:dyDescent="0.25">
      <c r="A31" s="7">
        <v>0.02</v>
      </c>
      <c r="B31" t="str">
        <f>B1</f>
        <v>Baseline</v>
      </c>
      <c r="C31" t="str">
        <f>D1</f>
        <v>Cost Decrease necessary in NPV of CDR market | 2.0% discount rate</v>
      </c>
      <c r="D31" t="str">
        <f>I1</f>
        <v>Cost Decrease necessary in size of the CDR market in 2050</v>
      </c>
      <c r="E31" t="s">
        <v>56</v>
      </c>
      <c r="F31" t="s">
        <v>57</v>
      </c>
      <c r="G31" t="s">
        <v>58</v>
      </c>
      <c r="H31" t="s">
        <v>55</v>
      </c>
      <c r="I31" t="s">
        <v>28</v>
      </c>
    </row>
    <row r="32" spans="1:10" x14ac:dyDescent="0.25">
      <c r="A32" t="str">
        <f t="shared" ref="A32:B32" si="28">A2</f>
        <v>100 Mt Baseline</v>
      </c>
      <c r="B32" t="str">
        <f t="shared" si="28"/>
        <v>100 Mt</v>
      </c>
      <c r="C32">
        <f t="shared" ref="C32:C58" si="29">D2</f>
        <v>0</v>
      </c>
      <c r="D32">
        <f t="shared" ref="D32:D56" si="30">I2</f>
        <v>0</v>
      </c>
      <c r="I32">
        <f>C32</f>
        <v>0</v>
      </c>
    </row>
    <row r="33" spans="1:9" x14ac:dyDescent="0.25">
      <c r="A33" t="str">
        <f t="shared" ref="A33:B33" si="31">A3</f>
        <v>45Q-2040</v>
      </c>
      <c r="B33" t="str">
        <f t="shared" si="31"/>
        <v>500 Mt</v>
      </c>
      <c r="C33">
        <f t="shared" si="29"/>
        <v>0.64785695536394483</v>
      </c>
      <c r="D33">
        <f t="shared" si="30"/>
        <v>0.21249703186680166</v>
      </c>
      <c r="F33">
        <f>C33</f>
        <v>0.64785695536394483</v>
      </c>
    </row>
    <row r="34" spans="1:9" x14ac:dyDescent="0.25">
      <c r="A34" t="str">
        <f t="shared" ref="A34:B34" si="32">A4</f>
        <v>45Q-2050</v>
      </c>
      <c r="B34" t="str">
        <f t="shared" si="32"/>
        <v>500 Mt</v>
      </c>
      <c r="C34">
        <f t="shared" si="29"/>
        <v>2.2459408657409443E-3</v>
      </c>
      <c r="D34">
        <f t="shared" si="30"/>
        <v>-1.3655573070193403</v>
      </c>
      <c r="F34">
        <f>C34</f>
        <v>2.2459408657409443E-3</v>
      </c>
    </row>
    <row r="35" spans="1:9" x14ac:dyDescent="0.25">
      <c r="A35" t="str">
        <f t="shared" ref="A35:B35" si="33">A5</f>
        <v>Innovation-DACHubs</v>
      </c>
      <c r="B35" t="str">
        <f t="shared" si="33"/>
        <v>500 Mt</v>
      </c>
      <c r="C35">
        <f t="shared" si="29"/>
        <v>0.27657518865875208</v>
      </c>
      <c r="D35">
        <f t="shared" si="30"/>
        <v>-0.46376197004718345</v>
      </c>
      <c r="E35">
        <f>C35</f>
        <v>0.27657518865875208</v>
      </c>
    </row>
    <row r="36" spans="1:9" x14ac:dyDescent="0.25">
      <c r="A36" t="str">
        <f t="shared" ref="A36:B36" si="34">A6</f>
        <v>Innovation-maintain</v>
      </c>
      <c r="B36" t="str">
        <f t="shared" si="34"/>
        <v>500 Mt</v>
      </c>
      <c r="C36">
        <f t="shared" si="29"/>
        <v>0.9215502090713279</v>
      </c>
      <c r="D36">
        <f t="shared" si="30"/>
        <v>-0.15840906711694819</v>
      </c>
      <c r="E36">
        <f t="shared" ref="E36:E39" si="35">C36</f>
        <v>0.9215502090713279</v>
      </c>
    </row>
    <row r="37" spans="1:9" x14ac:dyDescent="0.25">
      <c r="A37" t="str">
        <f t="shared" ref="A37:B37" si="36">A7</f>
        <v>Innovation-rhodium18b</v>
      </c>
      <c r="B37" t="str">
        <f t="shared" si="36"/>
        <v>500 Mt</v>
      </c>
      <c r="C37">
        <f t="shared" si="29"/>
        <v>0.94967366043744428</v>
      </c>
      <c r="D37">
        <f t="shared" si="30"/>
        <v>-1.4997785764247658</v>
      </c>
      <c r="E37">
        <f t="shared" si="35"/>
        <v>0.94967366043744428</v>
      </c>
    </row>
    <row r="38" spans="1:9" x14ac:dyDescent="0.25">
      <c r="A38" t="str">
        <f t="shared" ref="A38:B38" si="37">A8</f>
        <v>Innovation-rhodium6b</v>
      </c>
      <c r="B38" t="str">
        <f t="shared" si="37"/>
        <v>500 Mt</v>
      </c>
      <c r="C38">
        <f t="shared" si="29"/>
        <v>0.97652041402801693</v>
      </c>
      <c r="D38">
        <f t="shared" si="30"/>
        <v>-0.39769251330281402</v>
      </c>
      <c r="E38">
        <f t="shared" si="35"/>
        <v>0.97652041402801693</v>
      </c>
    </row>
    <row r="39" spans="1:9" x14ac:dyDescent="0.25">
      <c r="A39" t="str">
        <f t="shared" ref="A39:B39" si="38">A9</f>
        <v>Innovation-triple</v>
      </c>
      <c r="B39" t="str">
        <f t="shared" si="38"/>
        <v>500 Mt</v>
      </c>
      <c r="C39">
        <f t="shared" si="29"/>
        <v>0.93865673606761379</v>
      </c>
      <c r="D39">
        <f t="shared" si="30"/>
        <v>-0.52357713726908883</v>
      </c>
      <c r="E39">
        <f t="shared" si="35"/>
        <v>0.93865673606761379</v>
      </c>
    </row>
    <row r="40" spans="1:9" x14ac:dyDescent="0.25">
      <c r="A40" t="str">
        <f t="shared" ref="A40:B40" si="39">A10</f>
        <v>Low Baseline</v>
      </c>
      <c r="B40" t="str">
        <f t="shared" si="39"/>
        <v>500 Mt</v>
      </c>
      <c r="C40">
        <f t="shared" si="29"/>
        <v>1.5349199946093965</v>
      </c>
      <c r="D40">
        <f t="shared" si="30"/>
        <v>1.0818447048699995</v>
      </c>
      <c r="I40">
        <f>C40</f>
        <v>1.5349199946093965</v>
      </c>
    </row>
    <row r="41" spans="1:9" x14ac:dyDescent="0.25">
      <c r="A41" t="str">
        <f t="shared" ref="A41:B41" si="40">A11</f>
        <v>Procure3B</v>
      </c>
      <c r="B41" t="str">
        <f t="shared" si="40"/>
        <v>500 Mt</v>
      </c>
      <c r="C41">
        <f t="shared" si="29"/>
        <v>1.4931934230901602</v>
      </c>
      <c r="D41">
        <f t="shared" si="30"/>
        <v>0.36638009527595833</v>
      </c>
      <c r="G41">
        <f>C41</f>
        <v>1.4931934230901602</v>
      </c>
    </row>
    <row r="42" spans="1:9" x14ac:dyDescent="0.25">
      <c r="A42" t="str">
        <f t="shared" ref="A42:B42" si="41">A12</f>
        <v>ProcureRhodium</v>
      </c>
      <c r="B42" t="str">
        <f t="shared" si="41"/>
        <v>500 Mt</v>
      </c>
      <c r="C42">
        <f t="shared" si="29"/>
        <v>5.6634142557350327</v>
      </c>
      <c r="D42">
        <f t="shared" si="30"/>
        <v>1.1959723569841303</v>
      </c>
      <c r="G42">
        <f>C42</f>
        <v>5.6634142557350327</v>
      </c>
    </row>
    <row r="43" spans="1:9" x14ac:dyDescent="0.25">
      <c r="A43" t="str">
        <f t="shared" ref="A43:B43" si="42">A13</f>
        <v>ProcureScaling</v>
      </c>
      <c r="B43" t="str">
        <f t="shared" si="42"/>
        <v>500 Mt</v>
      </c>
      <c r="C43">
        <f t="shared" si="29"/>
        <v>1.176004777856402</v>
      </c>
      <c r="D43">
        <f t="shared" si="30"/>
        <v>0.36328086889841033</v>
      </c>
      <c r="G43">
        <f>C43</f>
        <v>1.176004777856402</v>
      </c>
    </row>
    <row r="44" spans="1:9" x14ac:dyDescent="0.25">
      <c r="A44" t="str">
        <f t="shared" ref="A44:B44" si="43">A14</f>
        <v>45Q-2040</v>
      </c>
      <c r="B44" t="str">
        <f t="shared" si="43"/>
        <v>1.5 Gt</v>
      </c>
      <c r="C44">
        <f t="shared" si="29"/>
        <v>2.2923311819484971</v>
      </c>
      <c r="D44">
        <f t="shared" si="30"/>
        <v>1.0676371229122197</v>
      </c>
      <c r="F44">
        <f>C44</f>
        <v>2.2923311819484971</v>
      </c>
    </row>
    <row r="45" spans="1:9" x14ac:dyDescent="0.25">
      <c r="A45" t="str">
        <f t="shared" ref="A45:B45" si="44">A15</f>
        <v>45Q-2050</v>
      </c>
      <c r="B45" t="str">
        <f t="shared" si="44"/>
        <v>1.5 Gt</v>
      </c>
      <c r="C45">
        <f t="shared" si="29"/>
        <v>2.3877980534629502</v>
      </c>
      <c r="D45">
        <f t="shared" si="30"/>
        <v>0.46865683829263816</v>
      </c>
      <c r="F45">
        <f>C45</f>
        <v>2.3877980534629502</v>
      </c>
    </row>
    <row r="46" spans="1:9" x14ac:dyDescent="0.25">
      <c r="A46" t="str">
        <f t="shared" ref="A46:B46" si="45">A16</f>
        <v>High Baseline</v>
      </c>
      <c r="B46" t="str">
        <f t="shared" si="45"/>
        <v>1.5 Gt</v>
      </c>
      <c r="C46">
        <f t="shared" si="29"/>
        <v>4.073413175736218</v>
      </c>
      <c r="D46">
        <f t="shared" si="30"/>
        <v>2.3727693973872075</v>
      </c>
      <c r="I46">
        <f>C46</f>
        <v>4.073413175736218</v>
      </c>
    </row>
    <row r="47" spans="1:9" x14ac:dyDescent="0.25">
      <c r="A47" t="str">
        <f t="shared" ref="A47:B47" si="46">A17</f>
        <v>Innovation-DACHubs</v>
      </c>
      <c r="B47" t="str">
        <f t="shared" si="46"/>
        <v>1.5 Gt</v>
      </c>
      <c r="C47">
        <f t="shared" si="29"/>
        <v>1.5168971205588402</v>
      </c>
      <c r="D47">
        <f t="shared" si="30"/>
        <v>-1.0959771479748042</v>
      </c>
      <c r="E47">
        <f>C47</f>
        <v>1.5168971205588402</v>
      </c>
    </row>
    <row r="48" spans="1:9" x14ac:dyDescent="0.25">
      <c r="A48" t="str">
        <f t="shared" ref="A48:B48" si="47">A18</f>
        <v>Innovation-maintain</v>
      </c>
      <c r="B48" t="str">
        <f t="shared" si="47"/>
        <v>1.5 Gt</v>
      </c>
      <c r="C48">
        <f t="shared" si="29"/>
        <v>2.4135908453433994</v>
      </c>
      <c r="D48">
        <f t="shared" si="30"/>
        <v>-0.67455579376899111</v>
      </c>
      <c r="E48">
        <f t="shared" ref="E48:E51" si="48">C48</f>
        <v>2.4135908453433994</v>
      </c>
    </row>
    <row r="49" spans="1:9" x14ac:dyDescent="0.25">
      <c r="A49" t="str">
        <f t="shared" ref="A49:B49" si="49">A19</f>
        <v>Innovation-rhodium18b</v>
      </c>
      <c r="B49" t="str">
        <f t="shared" si="49"/>
        <v>1.5 Gt</v>
      </c>
      <c r="C49">
        <f t="shared" si="29"/>
        <v>0.84946898979441365</v>
      </c>
      <c r="D49">
        <f t="shared" si="30"/>
        <v>-4.6305696962614666</v>
      </c>
      <c r="E49">
        <f t="shared" si="48"/>
        <v>0.84946898979441365</v>
      </c>
    </row>
    <row r="50" spans="1:9" x14ac:dyDescent="0.25">
      <c r="A50" t="str">
        <f t="shared" ref="A50:B50" si="50">A20</f>
        <v>Innovation-rhodium6b</v>
      </c>
      <c r="B50" t="str">
        <f t="shared" si="50"/>
        <v>1.5 Gt</v>
      </c>
      <c r="C50">
        <f t="shared" si="29"/>
        <v>2.1835418404233824</v>
      </c>
      <c r="D50">
        <f t="shared" si="30"/>
        <v>-1.319407624914968</v>
      </c>
      <c r="E50">
        <f t="shared" si="48"/>
        <v>2.1835418404233824</v>
      </c>
    </row>
    <row r="51" spans="1:9" x14ac:dyDescent="0.25">
      <c r="A51" t="str">
        <f t="shared" ref="A51:B51" si="51">A21</f>
        <v>Innovation-triple</v>
      </c>
      <c r="B51" t="str">
        <f t="shared" si="51"/>
        <v>1.5 Gt</v>
      </c>
      <c r="C51">
        <f t="shared" si="29"/>
        <v>1.950927275789899</v>
      </c>
      <c r="D51">
        <f t="shared" si="30"/>
        <v>-1.897612583824104</v>
      </c>
      <c r="E51">
        <f t="shared" si="48"/>
        <v>1.950927275789899</v>
      </c>
    </row>
    <row r="52" spans="1:9" x14ac:dyDescent="0.25">
      <c r="A52" t="str">
        <f t="shared" ref="A52:B52" si="52">A22</f>
        <v>Procure3B</v>
      </c>
      <c r="B52" t="str">
        <f t="shared" si="52"/>
        <v>1.5 Gt</v>
      </c>
      <c r="C52">
        <f t="shared" si="29"/>
        <v>3.5884223603825314</v>
      </c>
      <c r="D52">
        <f t="shared" si="30"/>
        <v>1.0363250084620061</v>
      </c>
      <c r="G52">
        <f>C52</f>
        <v>3.5884223603825314</v>
      </c>
    </row>
    <row r="53" spans="1:9" x14ac:dyDescent="0.25">
      <c r="A53" t="str">
        <f t="shared" ref="A53:B53" si="53">A23</f>
        <v>ProcureRhodium</v>
      </c>
      <c r="B53" t="str">
        <f t="shared" si="53"/>
        <v>1.5 Gt</v>
      </c>
      <c r="C53">
        <f t="shared" si="29"/>
        <v>7.3663055742243611</v>
      </c>
      <c r="D53">
        <f t="shared" si="30"/>
        <v>2.923407082508354</v>
      </c>
      <c r="G53">
        <f>C53</f>
        <v>7.3663055742243611</v>
      </c>
    </row>
    <row r="54" spans="1:9" x14ac:dyDescent="0.25">
      <c r="A54" t="str">
        <f t="shared" ref="A54:B54" si="54">A24</f>
        <v>ProcureScaling</v>
      </c>
      <c r="B54" t="str">
        <f t="shared" si="54"/>
        <v>1.5 Gt</v>
      </c>
      <c r="C54">
        <f t="shared" si="29"/>
        <v>3.341043929529071</v>
      </c>
      <c r="D54">
        <f t="shared" si="30"/>
        <v>0.91897387304034173</v>
      </c>
      <c r="G54">
        <f>C54</f>
        <v>3.341043929529071</v>
      </c>
    </row>
    <row r="55" spans="1:9" x14ac:dyDescent="0.25">
      <c r="A55" t="str">
        <f t="shared" ref="A55:B55" si="55">A25</f>
        <v>2.4 Gt Baseline</v>
      </c>
      <c r="B55" t="str">
        <f t="shared" si="55"/>
        <v>2.4 Gt</v>
      </c>
      <c r="C55">
        <f t="shared" si="29"/>
        <v>3.3410490344405526</v>
      </c>
      <c r="D55">
        <f t="shared" si="30"/>
        <v>-3.8617004313604051</v>
      </c>
      <c r="I55">
        <f>C55</f>
        <v>3.3410490344405526</v>
      </c>
    </row>
    <row r="56" spans="1:9" x14ac:dyDescent="0.25">
      <c r="A56" t="str">
        <f t="shared" ref="A56:B56" si="56">A26</f>
        <v>4.1 Gt Baseline</v>
      </c>
      <c r="B56" t="str">
        <f t="shared" si="56"/>
        <v>4.1 Gt</v>
      </c>
      <c r="C56">
        <f t="shared" si="29"/>
        <v>4.778714292207316</v>
      </c>
      <c r="D56">
        <f t="shared" si="30"/>
        <v>23.306697574041493</v>
      </c>
      <c r="I56">
        <f>C56</f>
        <v>4.778714292207316</v>
      </c>
    </row>
    <row r="57" spans="1:9" x14ac:dyDescent="0.25">
      <c r="A57" t="str">
        <f>A27</f>
        <v>CDRIA-Rhodium18b</v>
      </c>
      <c r="B57" t="str">
        <f>B27</f>
        <v>500 Mt</v>
      </c>
      <c r="C57">
        <f>D27</f>
        <v>-2.1509758877512724</v>
      </c>
      <c r="D57">
        <f>I27</f>
        <v>-1.4445409002888128</v>
      </c>
      <c r="H57">
        <f>C57</f>
        <v>-2.1509758877512724</v>
      </c>
    </row>
    <row r="58" spans="1:9" x14ac:dyDescent="0.25">
      <c r="A58" t="str">
        <f t="shared" ref="A58:B58" si="57">A28</f>
        <v>CDRIA-Rhodium18b</v>
      </c>
      <c r="B58" t="str">
        <f t="shared" si="57"/>
        <v>1.5 Gt</v>
      </c>
      <c r="C58">
        <f t="shared" si="29"/>
        <v>2.4526831516616943</v>
      </c>
      <c r="D58">
        <f t="shared" ref="D58" si="58">I28</f>
        <v>-4.7728156685049763</v>
      </c>
      <c r="H58">
        <f>C58</f>
        <v>2.4526831516616943</v>
      </c>
    </row>
    <row r="60" spans="1:9" x14ac:dyDescent="0.25">
      <c r="A60" s="7">
        <v>0.12</v>
      </c>
      <c r="B60" s="7" t="str">
        <f t="shared" ref="B60:I61" si="59">B31</f>
        <v>Baseline</v>
      </c>
      <c r="C60" s="7" t="str">
        <f>F1</f>
        <v>Cost Decrease necessary in NPV of CDR market | 12.0% discount rate</v>
      </c>
      <c r="D60" s="7" t="str">
        <f t="shared" si="59"/>
        <v>Cost Decrease necessary in size of the CDR market in 2050</v>
      </c>
      <c r="E60" s="7" t="str">
        <f t="shared" si="59"/>
        <v>Innovation</v>
      </c>
      <c r="F60" s="7" t="str">
        <f t="shared" si="59"/>
        <v>Subsidy</v>
      </c>
      <c r="G60" s="7" t="str">
        <f t="shared" si="59"/>
        <v>Procurement</v>
      </c>
      <c r="H60" s="7" t="str">
        <f t="shared" si="59"/>
        <v>Optimal</v>
      </c>
      <c r="I60" s="7" t="str">
        <f t="shared" si="59"/>
        <v>Baseline</v>
      </c>
    </row>
    <row r="61" spans="1:9" x14ac:dyDescent="0.25">
      <c r="A61" s="7" t="str">
        <f>A32</f>
        <v>100 Mt Baseline</v>
      </c>
      <c r="B61" s="7" t="str">
        <f t="shared" si="59"/>
        <v>100 Mt</v>
      </c>
      <c r="C61" s="8">
        <f t="shared" ref="C61:C86" si="60">F2</f>
        <v>0</v>
      </c>
      <c r="D61">
        <f t="shared" si="59"/>
        <v>0</v>
      </c>
      <c r="I61" s="8">
        <f>C61</f>
        <v>0</v>
      </c>
    </row>
    <row r="62" spans="1:9" x14ac:dyDescent="0.25">
      <c r="A62" s="7" t="str">
        <f t="shared" ref="A62:I62" si="61">A33</f>
        <v>45Q-2040</v>
      </c>
      <c r="B62" s="7" t="str">
        <f t="shared" si="61"/>
        <v>500 Mt</v>
      </c>
      <c r="C62" s="8">
        <f t="shared" si="60"/>
        <v>0.98599472057171911</v>
      </c>
      <c r="D62">
        <f t="shared" si="61"/>
        <v>0.21249703186680166</v>
      </c>
      <c r="F62" s="8">
        <f>C62</f>
        <v>0.98599472057171911</v>
      </c>
    </row>
    <row r="63" spans="1:9" x14ac:dyDescent="0.25">
      <c r="A63" s="7" t="str">
        <f t="shared" ref="A63:I63" si="62">A34</f>
        <v>45Q-2050</v>
      </c>
      <c r="B63" s="7" t="str">
        <f t="shared" si="62"/>
        <v>500 Mt</v>
      </c>
      <c r="C63" s="8">
        <f t="shared" si="60"/>
        <v>0.44448412606722876</v>
      </c>
      <c r="D63">
        <f t="shared" si="62"/>
        <v>-1.3655573070193403</v>
      </c>
      <c r="F63" s="8">
        <f>C63</f>
        <v>0.44448412606722876</v>
      </c>
    </row>
    <row r="64" spans="1:9" x14ac:dyDescent="0.25">
      <c r="A64" s="7" t="str">
        <f t="shared" ref="A64:I64" si="63">A35</f>
        <v>Innovation-DACHubs</v>
      </c>
      <c r="B64" s="7" t="str">
        <f t="shared" si="63"/>
        <v>500 Mt</v>
      </c>
      <c r="C64" s="8">
        <f t="shared" si="60"/>
        <v>0.64724767761331869</v>
      </c>
      <c r="D64">
        <f t="shared" si="63"/>
        <v>-0.46376197004718345</v>
      </c>
      <c r="E64" s="8">
        <f>C64</f>
        <v>0.64724767761331869</v>
      </c>
    </row>
    <row r="65" spans="1:9" x14ac:dyDescent="0.25">
      <c r="A65" s="7" t="str">
        <f t="shared" ref="A65:I65" si="64">A36</f>
        <v>Innovation-maintain</v>
      </c>
      <c r="B65" s="7" t="str">
        <f t="shared" si="64"/>
        <v>500 Mt</v>
      </c>
      <c r="C65" s="8">
        <f t="shared" si="60"/>
        <v>1.3577275897072081</v>
      </c>
      <c r="D65">
        <f t="shared" si="64"/>
        <v>-0.15840906711694819</v>
      </c>
      <c r="E65" s="8">
        <f>C65</f>
        <v>1.3577275897072081</v>
      </c>
    </row>
    <row r="66" spans="1:9" x14ac:dyDescent="0.25">
      <c r="A66" s="7" t="str">
        <f t="shared" ref="A66:I66" si="65">A37</f>
        <v>Innovation-rhodium18b</v>
      </c>
      <c r="B66" s="7" t="str">
        <f t="shared" si="65"/>
        <v>500 Mt</v>
      </c>
      <c r="C66" s="8">
        <f t="shared" si="60"/>
        <v>2.3153381298881297</v>
      </c>
      <c r="D66">
        <f t="shared" si="65"/>
        <v>-1.4997785764247658</v>
      </c>
      <c r="E66" s="8">
        <f>C66</f>
        <v>2.3153381298881297</v>
      </c>
    </row>
    <row r="67" spans="1:9" x14ac:dyDescent="0.25">
      <c r="A67" s="7" t="str">
        <f t="shared" ref="A67:I67" si="66">A38</f>
        <v>Innovation-rhodium6b</v>
      </c>
      <c r="B67" s="7" t="str">
        <f t="shared" si="66"/>
        <v>500 Mt</v>
      </c>
      <c r="C67" s="8">
        <f t="shared" si="60"/>
        <v>1.6348546043849213</v>
      </c>
      <c r="D67">
        <f t="shared" si="66"/>
        <v>-0.39769251330281402</v>
      </c>
      <c r="E67" s="8">
        <f>C67</f>
        <v>1.6348546043849213</v>
      </c>
    </row>
    <row r="68" spans="1:9" x14ac:dyDescent="0.25">
      <c r="A68" s="7" t="str">
        <f t="shared" ref="A68:I68" si="67">A39</f>
        <v>Innovation-triple</v>
      </c>
      <c r="B68" s="7" t="str">
        <f t="shared" si="67"/>
        <v>500 Mt</v>
      </c>
      <c r="C68" s="8">
        <f t="shared" si="60"/>
        <v>1.6529080927729902</v>
      </c>
      <c r="D68">
        <f t="shared" si="67"/>
        <v>-0.52357713726908883</v>
      </c>
      <c r="E68" s="8">
        <f>C68</f>
        <v>1.6529080927729902</v>
      </c>
    </row>
    <row r="69" spans="1:9" x14ac:dyDescent="0.25">
      <c r="A69" s="7" t="str">
        <f t="shared" ref="A69:I69" si="68">A40</f>
        <v>Low Baseline</v>
      </c>
      <c r="B69" s="7" t="str">
        <f t="shared" si="68"/>
        <v>500 Mt</v>
      </c>
      <c r="C69" s="8">
        <f t="shared" si="60"/>
        <v>1.5453796931733457</v>
      </c>
      <c r="D69">
        <f t="shared" si="68"/>
        <v>1.0818447048699995</v>
      </c>
      <c r="I69" s="8">
        <f>C69</f>
        <v>1.5453796931733457</v>
      </c>
    </row>
    <row r="70" spans="1:9" x14ac:dyDescent="0.25">
      <c r="A70" s="7" t="str">
        <f t="shared" ref="A70:I70" si="69">A41</f>
        <v>Procure3B</v>
      </c>
      <c r="B70" s="7" t="str">
        <f t="shared" si="69"/>
        <v>500 Mt</v>
      </c>
      <c r="C70" s="8">
        <f t="shared" si="60"/>
        <v>2.5994756304123183</v>
      </c>
      <c r="D70">
        <f t="shared" si="69"/>
        <v>0.36638009527595833</v>
      </c>
      <c r="G70" s="8">
        <f>C70</f>
        <v>2.5994756304123183</v>
      </c>
    </row>
    <row r="71" spans="1:9" x14ac:dyDescent="0.25">
      <c r="A71" s="7" t="str">
        <f t="shared" ref="A71:I71" si="70">A42</f>
        <v>ProcureRhodium</v>
      </c>
      <c r="B71" s="7" t="str">
        <f t="shared" si="70"/>
        <v>500 Mt</v>
      </c>
      <c r="C71" s="8">
        <f t="shared" si="60"/>
        <v>8.3515011746760219</v>
      </c>
      <c r="D71">
        <f t="shared" si="70"/>
        <v>1.1959723569841303</v>
      </c>
      <c r="G71" s="8">
        <f>C71</f>
        <v>8.3515011746760219</v>
      </c>
    </row>
    <row r="72" spans="1:9" x14ac:dyDescent="0.25">
      <c r="A72" s="7" t="str">
        <f t="shared" ref="A72:I72" si="71">A43</f>
        <v>ProcureScaling</v>
      </c>
      <c r="B72" s="7" t="str">
        <f t="shared" si="71"/>
        <v>500 Mt</v>
      </c>
      <c r="C72" s="8">
        <f t="shared" si="60"/>
        <v>1.5468320344764317</v>
      </c>
      <c r="D72">
        <f t="shared" si="71"/>
        <v>0.36328086889841033</v>
      </c>
      <c r="G72" s="8">
        <f>C72</f>
        <v>1.5468320344764317</v>
      </c>
    </row>
    <row r="73" spans="1:9" x14ac:dyDescent="0.25">
      <c r="A73" s="7" t="str">
        <f t="shared" ref="A73:I73" si="72">A44</f>
        <v>45Q-2040</v>
      </c>
      <c r="B73" s="7" t="str">
        <f t="shared" si="72"/>
        <v>1.5 Gt</v>
      </c>
      <c r="C73" s="8">
        <f t="shared" si="60"/>
        <v>2.5637816421080228</v>
      </c>
      <c r="D73">
        <f t="shared" si="72"/>
        <v>1.0676371229122197</v>
      </c>
      <c r="F73" s="8">
        <f>C73</f>
        <v>2.5637816421080228</v>
      </c>
    </row>
    <row r="74" spans="1:9" x14ac:dyDescent="0.25">
      <c r="A74" s="7" t="str">
        <f t="shared" ref="A74:I74" si="73">A45</f>
        <v>45Q-2050</v>
      </c>
      <c r="B74" s="7" t="str">
        <f t="shared" si="73"/>
        <v>1.5 Gt</v>
      </c>
      <c r="C74" s="8">
        <f t="shared" si="60"/>
        <v>2.8356658504593448</v>
      </c>
      <c r="D74">
        <f t="shared" si="73"/>
        <v>0.46865683829263816</v>
      </c>
      <c r="F74" s="8">
        <f>C74</f>
        <v>2.8356658504593448</v>
      </c>
    </row>
    <row r="75" spans="1:9" x14ac:dyDescent="0.25">
      <c r="A75" s="7" t="str">
        <f t="shared" ref="A75:I75" si="74">A46</f>
        <v>High Baseline</v>
      </c>
      <c r="B75" s="7" t="str">
        <f t="shared" si="74"/>
        <v>1.5 Gt</v>
      </c>
      <c r="C75" s="8">
        <f t="shared" si="60"/>
        <v>4.0706852143436585</v>
      </c>
      <c r="D75">
        <f t="shared" si="74"/>
        <v>2.3727693973872075</v>
      </c>
      <c r="I75" s="8">
        <f>C75</f>
        <v>4.0706852143436585</v>
      </c>
    </row>
    <row r="76" spans="1:9" x14ac:dyDescent="0.25">
      <c r="A76" s="7" t="str">
        <f t="shared" ref="A76:I76" si="75">A47</f>
        <v>Innovation-DACHubs</v>
      </c>
      <c r="B76" s="7" t="str">
        <f t="shared" si="75"/>
        <v>1.5 Gt</v>
      </c>
      <c r="C76" s="8">
        <f t="shared" si="60"/>
        <v>2.1220956593986737</v>
      </c>
      <c r="D76">
        <f t="shared" si="75"/>
        <v>-1.0959771479748042</v>
      </c>
      <c r="E76" s="8">
        <f>C76</f>
        <v>2.1220956593986737</v>
      </c>
    </row>
    <row r="77" spans="1:9" x14ac:dyDescent="0.25">
      <c r="A77" s="7" t="str">
        <f t="shared" ref="A77:I77" si="76">A48</f>
        <v>Innovation-maintain</v>
      </c>
      <c r="B77" s="7" t="str">
        <f t="shared" si="76"/>
        <v>1.5 Gt</v>
      </c>
      <c r="C77" s="8">
        <f t="shared" si="60"/>
        <v>3.0824499174664326</v>
      </c>
      <c r="D77">
        <f t="shared" si="76"/>
        <v>-0.67455579376899111</v>
      </c>
      <c r="E77" s="8">
        <f>C77</f>
        <v>3.0824499174664326</v>
      </c>
    </row>
    <row r="78" spans="1:9" x14ac:dyDescent="0.25">
      <c r="A78" s="7" t="str">
        <f t="shared" ref="A78:I78" si="77">A49</f>
        <v>Innovation-rhodium18b</v>
      </c>
      <c r="B78" s="7" t="str">
        <f t="shared" si="77"/>
        <v>1.5 Gt</v>
      </c>
      <c r="C78" s="8">
        <f t="shared" si="60"/>
        <v>2.9048414488544982</v>
      </c>
      <c r="D78">
        <f t="shared" si="77"/>
        <v>-4.6305696962614666</v>
      </c>
      <c r="E78" s="8">
        <f>C78</f>
        <v>2.9048414488544982</v>
      </c>
    </row>
    <row r="79" spans="1:9" x14ac:dyDescent="0.25">
      <c r="A79" s="7" t="str">
        <f t="shared" ref="A79:I79" si="78">A50</f>
        <v>Innovation-rhodium6b</v>
      </c>
      <c r="B79" s="7" t="str">
        <f t="shared" si="78"/>
        <v>1.5 Gt</v>
      </c>
      <c r="C79" s="8">
        <f t="shared" si="60"/>
        <v>3.1400272434202559</v>
      </c>
      <c r="D79">
        <f t="shared" si="78"/>
        <v>-1.319407624914968</v>
      </c>
      <c r="E79" s="8">
        <f>C79</f>
        <v>3.1400272434202559</v>
      </c>
    </row>
    <row r="80" spans="1:9" x14ac:dyDescent="0.25">
      <c r="A80" s="7" t="str">
        <f t="shared" ref="A80:I80" si="79">A51</f>
        <v>Innovation-triple</v>
      </c>
      <c r="B80" s="7" t="str">
        <f t="shared" si="79"/>
        <v>1.5 Gt</v>
      </c>
      <c r="C80" s="8">
        <f t="shared" si="60"/>
        <v>3.0444641251640361</v>
      </c>
      <c r="D80">
        <f t="shared" si="79"/>
        <v>-1.897612583824104</v>
      </c>
      <c r="E80" s="8">
        <f>C80</f>
        <v>3.0444641251640361</v>
      </c>
    </row>
    <row r="81" spans="1:9" x14ac:dyDescent="0.25">
      <c r="A81" s="7" t="str">
        <f t="shared" ref="A81:I81" si="80">A52</f>
        <v>Procure3B</v>
      </c>
      <c r="B81" s="7" t="str">
        <f t="shared" si="80"/>
        <v>1.5 Gt</v>
      </c>
      <c r="C81" s="8">
        <f t="shared" si="60"/>
        <v>4.7171586472895424</v>
      </c>
      <c r="D81">
        <f t="shared" si="80"/>
        <v>1.0363250084620061</v>
      </c>
      <c r="G81" s="8">
        <f>C81</f>
        <v>4.7171586472895424</v>
      </c>
    </row>
    <row r="82" spans="1:9" x14ac:dyDescent="0.25">
      <c r="A82" s="7" t="str">
        <f t="shared" ref="A82:I82" si="81">A53</f>
        <v>ProcureRhodium</v>
      </c>
      <c r="B82" s="7" t="str">
        <f t="shared" si="81"/>
        <v>1.5 Gt</v>
      </c>
      <c r="C82" s="8">
        <f t="shared" si="60"/>
        <v>10.029059099755278</v>
      </c>
      <c r="D82">
        <f t="shared" si="81"/>
        <v>2.923407082508354</v>
      </c>
      <c r="G82" s="8">
        <f>C82</f>
        <v>10.029059099755278</v>
      </c>
    </row>
    <row r="83" spans="1:9" x14ac:dyDescent="0.25">
      <c r="A83" s="7" t="str">
        <f t="shared" ref="A83:I83" si="82">A54</f>
        <v>ProcureScaling</v>
      </c>
      <c r="B83" s="7" t="str">
        <f t="shared" si="82"/>
        <v>1.5 Gt</v>
      </c>
      <c r="C83" s="8">
        <f t="shared" si="60"/>
        <v>3.8789631751289115</v>
      </c>
      <c r="D83">
        <f t="shared" si="82"/>
        <v>0.91897387304034173</v>
      </c>
      <c r="G83" s="8">
        <f>C83</f>
        <v>3.8789631751289115</v>
      </c>
    </row>
    <row r="84" spans="1:9" x14ac:dyDescent="0.25">
      <c r="A84" s="7" t="str">
        <f t="shared" ref="A84:I84" si="83">A55</f>
        <v>2.4 Gt Baseline</v>
      </c>
      <c r="B84" s="7" t="str">
        <f t="shared" si="83"/>
        <v>2.4 Gt</v>
      </c>
      <c r="C84" s="8">
        <f t="shared" si="60"/>
        <v>4.3174474451754374</v>
      </c>
      <c r="D84">
        <f t="shared" si="83"/>
        <v>-3.8617004313604051</v>
      </c>
      <c r="I84" s="8">
        <f>C84</f>
        <v>4.3174474451754374</v>
      </c>
    </row>
    <row r="85" spans="1:9" x14ac:dyDescent="0.25">
      <c r="A85" s="7" t="str">
        <f t="shared" ref="A85:I85" si="84">A56</f>
        <v>4.1 Gt Baseline</v>
      </c>
      <c r="B85" s="7" t="str">
        <f t="shared" si="84"/>
        <v>4.1 Gt</v>
      </c>
      <c r="C85" s="8">
        <f t="shared" si="60"/>
        <v>5.0029688506972843</v>
      </c>
      <c r="D85">
        <f t="shared" si="84"/>
        <v>23.306697574041493</v>
      </c>
      <c r="I85" s="8">
        <f>C85</f>
        <v>5.0029688506972843</v>
      </c>
    </row>
    <row r="86" spans="1:9" x14ac:dyDescent="0.25">
      <c r="A86" s="7" t="str">
        <f t="shared" ref="A86:I87" si="85">A57</f>
        <v>CDRIA-Rhodium18b</v>
      </c>
      <c r="B86" s="7" t="str">
        <f t="shared" si="85"/>
        <v>500 Mt</v>
      </c>
      <c r="C86" s="8">
        <f t="shared" si="60"/>
        <v>-3.4159600524698353</v>
      </c>
      <c r="D86">
        <f t="shared" si="85"/>
        <v>-1.4445409002888128</v>
      </c>
      <c r="H86" s="8">
        <f>C86</f>
        <v>-3.4159600524698353</v>
      </c>
    </row>
    <row r="87" spans="1:9" x14ac:dyDescent="0.25">
      <c r="A87" s="7" t="str">
        <f t="shared" si="85"/>
        <v>CDRIA-Rhodium18b</v>
      </c>
      <c r="B87" s="7" t="str">
        <f t="shared" si="85"/>
        <v>1.5 Gt</v>
      </c>
      <c r="C87" s="8">
        <f t="shared" ref="C87" si="86">F28</f>
        <v>6.0516224069731308</v>
      </c>
      <c r="D87">
        <f t="shared" si="85"/>
        <v>-4.7728156685049763</v>
      </c>
      <c r="H87" s="8">
        <f>C87</f>
        <v>6.0516224069731308</v>
      </c>
    </row>
    <row r="89" spans="1:9" x14ac:dyDescent="0.25">
      <c r="A89" s="7">
        <v>0.2</v>
      </c>
      <c r="B89" t="str">
        <f>B1</f>
        <v>Baseline</v>
      </c>
      <c r="C89" t="str">
        <f>H1</f>
        <v>Cost Decrease necessary in NPV of CDR market | 20.0% discount rate</v>
      </c>
      <c r="D89" s="7" t="str">
        <f t="shared" ref="D89" si="87">D60</f>
        <v>Cost Decrease necessary in size of the CDR market in 2050</v>
      </c>
      <c r="E89" t="s">
        <v>56</v>
      </c>
      <c r="F89" t="s">
        <v>57</v>
      </c>
      <c r="G89" t="s">
        <v>58</v>
      </c>
      <c r="H89" t="s">
        <v>55</v>
      </c>
      <c r="I89" t="s">
        <v>28</v>
      </c>
    </row>
    <row r="90" spans="1:9" x14ac:dyDescent="0.25">
      <c r="A90" s="7" t="str">
        <f>A61</f>
        <v>100 Mt Baseline</v>
      </c>
      <c r="B90" s="7" t="str">
        <f>B61</f>
        <v>100 Mt</v>
      </c>
      <c r="C90">
        <f>H2</f>
        <v>0</v>
      </c>
      <c r="D90" s="8">
        <f>D61</f>
        <v>0</v>
      </c>
      <c r="I90" s="8">
        <f>C90</f>
        <v>0</v>
      </c>
    </row>
    <row r="91" spans="1:9" x14ac:dyDescent="0.25">
      <c r="A91" s="7" t="str">
        <f t="shared" ref="A91:B91" si="88">A62</f>
        <v>45Q-2040</v>
      </c>
      <c r="B91" s="7" t="str">
        <f t="shared" si="88"/>
        <v>500 Mt</v>
      </c>
      <c r="C91">
        <f t="shared" ref="C91:C116" si="89">H3</f>
        <v>1.3438885594409384</v>
      </c>
      <c r="D91" s="8">
        <f t="shared" ref="D91:D116" si="90">D62</f>
        <v>0.21249703186680166</v>
      </c>
      <c r="F91" s="8">
        <f>C91</f>
        <v>1.3438885594409384</v>
      </c>
    </row>
    <row r="92" spans="1:9" x14ac:dyDescent="0.25">
      <c r="A92" s="7" t="str">
        <f t="shared" ref="A92:B92" si="91">A63</f>
        <v>45Q-2050</v>
      </c>
      <c r="B92" s="7" t="str">
        <f t="shared" si="91"/>
        <v>500 Mt</v>
      </c>
      <c r="C92">
        <f t="shared" si="89"/>
        <v>0.84723170018844907</v>
      </c>
      <c r="D92" s="8">
        <f t="shared" si="90"/>
        <v>-1.3655573070193403</v>
      </c>
      <c r="F92" s="8">
        <f>C92</f>
        <v>0.84723170018844907</v>
      </c>
    </row>
    <row r="93" spans="1:9" x14ac:dyDescent="0.25">
      <c r="A93" s="7" t="str">
        <f t="shared" ref="A93:B93" si="92">A64</f>
        <v>Innovation-DACHubs</v>
      </c>
      <c r="B93" s="7" t="str">
        <f t="shared" si="92"/>
        <v>500 Mt</v>
      </c>
      <c r="C93">
        <f t="shared" si="89"/>
        <v>1.0932573496051559</v>
      </c>
      <c r="D93" s="8">
        <f t="shared" si="90"/>
        <v>-0.46376197004718345</v>
      </c>
      <c r="E93" s="8">
        <f>C93</f>
        <v>1.0932573496051559</v>
      </c>
    </row>
    <row r="94" spans="1:9" x14ac:dyDescent="0.25">
      <c r="A94" s="7" t="str">
        <f t="shared" ref="A94:B94" si="93">A65</f>
        <v>Innovation-maintain</v>
      </c>
      <c r="B94" s="7" t="str">
        <f t="shared" si="93"/>
        <v>500 Mt</v>
      </c>
      <c r="C94">
        <f t="shared" si="89"/>
        <v>1.6946076320487724</v>
      </c>
      <c r="D94" s="8">
        <f t="shared" si="90"/>
        <v>-0.15840906711694819</v>
      </c>
      <c r="E94" s="8">
        <f>C94</f>
        <v>1.6946076320487724</v>
      </c>
    </row>
    <row r="95" spans="1:9" x14ac:dyDescent="0.25">
      <c r="A95" s="7" t="str">
        <f t="shared" ref="A95:B95" si="94">A66</f>
        <v>Innovation-rhodium18b</v>
      </c>
      <c r="B95" s="7" t="str">
        <f t="shared" si="94"/>
        <v>500 Mt</v>
      </c>
      <c r="C95">
        <f t="shared" si="89"/>
        <v>3.2502144071938046</v>
      </c>
      <c r="D95" s="8">
        <f t="shared" si="90"/>
        <v>-1.4997785764247658</v>
      </c>
      <c r="E95" s="8">
        <f>C95</f>
        <v>3.2502144071938046</v>
      </c>
    </row>
    <row r="96" spans="1:9" x14ac:dyDescent="0.25">
      <c r="A96" s="7" t="str">
        <f t="shared" ref="A96:B96" si="95">A67</f>
        <v>Innovation-rhodium6b</v>
      </c>
      <c r="B96" s="7" t="str">
        <f t="shared" si="95"/>
        <v>500 Mt</v>
      </c>
      <c r="C96">
        <f t="shared" si="89"/>
        <v>2.1049050122513044</v>
      </c>
      <c r="D96" s="8">
        <f t="shared" si="90"/>
        <v>-0.39769251330281402</v>
      </c>
      <c r="E96" s="8">
        <f>C96</f>
        <v>2.1049050122513044</v>
      </c>
    </row>
    <row r="97" spans="1:9" x14ac:dyDescent="0.25">
      <c r="A97" s="7" t="str">
        <f t="shared" ref="A97:B97" si="96">A68</f>
        <v>Innovation-triple</v>
      </c>
      <c r="B97" s="7" t="str">
        <f t="shared" si="96"/>
        <v>500 Mt</v>
      </c>
      <c r="C97">
        <f t="shared" si="89"/>
        <v>2.2091624983315339</v>
      </c>
      <c r="D97" s="8">
        <f t="shared" si="90"/>
        <v>-0.52357713726908883</v>
      </c>
      <c r="E97" s="8">
        <f>C97</f>
        <v>2.2091624983315339</v>
      </c>
    </row>
    <row r="98" spans="1:9" x14ac:dyDescent="0.25">
      <c r="A98" s="7" t="str">
        <f t="shared" ref="A98:B98" si="97">A69</f>
        <v>Low Baseline</v>
      </c>
      <c r="B98" s="7" t="str">
        <f t="shared" si="97"/>
        <v>500 Mt</v>
      </c>
      <c r="C98">
        <f t="shared" si="89"/>
        <v>1.5827998282841693</v>
      </c>
      <c r="D98" s="8">
        <f t="shared" si="90"/>
        <v>1.0818447048699995</v>
      </c>
      <c r="I98" s="8">
        <f>C98</f>
        <v>1.5827998282841693</v>
      </c>
    </row>
    <row r="99" spans="1:9" x14ac:dyDescent="0.25">
      <c r="A99" s="7" t="str">
        <f t="shared" ref="A99:B99" si="98">A70</f>
        <v>Procure3B</v>
      </c>
      <c r="B99" s="7" t="str">
        <f t="shared" si="98"/>
        <v>500 Mt</v>
      </c>
      <c r="C99">
        <f t="shared" si="89"/>
        <v>4.0670809313292864</v>
      </c>
      <c r="D99" s="8">
        <f t="shared" si="90"/>
        <v>0.36638009527595833</v>
      </c>
      <c r="G99" s="8">
        <f>C99</f>
        <v>4.0670809313292864</v>
      </c>
    </row>
    <row r="100" spans="1:9" x14ac:dyDescent="0.25">
      <c r="A100" s="7" t="str">
        <f t="shared" ref="A100:B100" si="99">A71</f>
        <v>ProcureRhodium</v>
      </c>
      <c r="B100" s="7" t="str">
        <f t="shared" si="99"/>
        <v>500 Mt</v>
      </c>
      <c r="C100">
        <f t="shared" si="89"/>
        <v>10.956263412283258</v>
      </c>
      <c r="D100" s="8">
        <f t="shared" si="90"/>
        <v>1.1959723569841303</v>
      </c>
      <c r="G100" s="8">
        <f>C100</f>
        <v>10.956263412283258</v>
      </c>
    </row>
    <row r="101" spans="1:9" x14ac:dyDescent="0.25">
      <c r="A101" s="7" t="str">
        <f t="shared" ref="A101:B101" si="100">A72</f>
        <v>ProcureScaling</v>
      </c>
      <c r="B101" s="7" t="str">
        <f t="shared" si="100"/>
        <v>500 Mt</v>
      </c>
      <c r="C101">
        <f t="shared" si="89"/>
        <v>1.9108299722709272</v>
      </c>
      <c r="D101" s="8">
        <f t="shared" si="90"/>
        <v>0.36328086889841033</v>
      </c>
      <c r="G101" s="8">
        <f>C101</f>
        <v>1.9108299722709272</v>
      </c>
    </row>
    <row r="102" spans="1:9" x14ac:dyDescent="0.25">
      <c r="A102" s="7" t="str">
        <f t="shared" ref="A102:B102" si="101">A73</f>
        <v>45Q-2040</v>
      </c>
      <c r="B102" s="7" t="str">
        <f t="shared" si="101"/>
        <v>1.5 Gt</v>
      </c>
      <c r="C102">
        <f t="shared" si="89"/>
        <v>2.9242921759498324</v>
      </c>
      <c r="D102" s="8">
        <f t="shared" si="90"/>
        <v>1.0676371229122197</v>
      </c>
      <c r="F102" s="8">
        <f>C102</f>
        <v>2.9242921759498324</v>
      </c>
    </row>
    <row r="103" spans="1:9" x14ac:dyDescent="0.25">
      <c r="A103" s="7" t="str">
        <f t="shared" ref="A103:B103" si="102">A74</f>
        <v>45Q-2050</v>
      </c>
      <c r="B103" s="7" t="str">
        <f t="shared" si="102"/>
        <v>1.5 Gt</v>
      </c>
      <c r="C103">
        <f t="shared" si="89"/>
        <v>3.2080184026842988</v>
      </c>
      <c r="D103" s="8">
        <f t="shared" si="90"/>
        <v>0.46865683829263816</v>
      </c>
      <c r="F103" s="8">
        <f>C103</f>
        <v>3.2080184026842988</v>
      </c>
    </row>
    <row r="104" spans="1:9" x14ac:dyDescent="0.25">
      <c r="A104" s="7" t="str">
        <f t="shared" ref="A104:B104" si="103">A75</f>
        <v>High Baseline</v>
      </c>
      <c r="B104" s="7" t="str">
        <f t="shared" si="103"/>
        <v>1.5 Gt</v>
      </c>
      <c r="C104">
        <f t="shared" si="89"/>
        <v>4.0371470003985861</v>
      </c>
      <c r="D104" s="8">
        <f t="shared" si="90"/>
        <v>2.3727693973872075</v>
      </c>
      <c r="I104" s="8">
        <f>C104</f>
        <v>4.0371470003985861</v>
      </c>
    </row>
    <row r="105" spans="1:9" x14ac:dyDescent="0.25">
      <c r="A105" s="7" t="str">
        <f t="shared" ref="A105:B105" si="104">A76</f>
        <v>Innovation-DACHubs</v>
      </c>
      <c r="B105" s="7" t="str">
        <f t="shared" si="104"/>
        <v>1.5 Gt</v>
      </c>
      <c r="C105">
        <f t="shared" si="89"/>
        <v>2.693095733872942</v>
      </c>
      <c r="D105" s="8">
        <f t="shared" si="90"/>
        <v>-1.0959771479748042</v>
      </c>
      <c r="E105" s="8">
        <f>C105</f>
        <v>2.693095733872942</v>
      </c>
    </row>
    <row r="106" spans="1:9" x14ac:dyDescent="0.25">
      <c r="A106" s="7" t="str">
        <f t="shared" ref="A106:B106" si="105">A77</f>
        <v>Innovation-maintain</v>
      </c>
      <c r="B106" s="7" t="str">
        <f t="shared" si="105"/>
        <v>1.5 Gt</v>
      </c>
      <c r="C106">
        <f t="shared" si="89"/>
        <v>3.5163830940418412</v>
      </c>
      <c r="D106" s="8">
        <f t="shared" si="90"/>
        <v>-0.67455579376899111</v>
      </c>
      <c r="E106" s="8">
        <f>C106</f>
        <v>3.5163830940418412</v>
      </c>
    </row>
    <row r="107" spans="1:9" x14ac:dyDescent="0.25">
      <c r="A107" s="7" t="str">
        <f t="shared" ref="A107:B107" si="106">A78</f>
        <v>Innovation-rhodium18b</v>
      </c>
      <c r="B107" s="7" t="str">
        <f t="shared" si="106"/>
        <v>1.5 Gt</v>
      </c>
      <c r="C107">
        <f t="shared" si="89"/>
        <v>4.2476127361252409</v>
      </c>
      <c r="D107" s="8">
        <f t="shared" si="90"/>
        <v>-4.6305696962614666</v>
      </c>
      <c r="E107" s="8">
        <f>C107</f>
        <v>4.2476127361252409</v>
      </c>
    </row>
    <row r="108" spans="1:9" x14ac:dyDescent="0.25">
      <c r="A108" s="7" t="str">
        <f t="shared" ref="A108:B108" si="107">A79</f>
        <v>Innovation-rhodium6b</v>
      </c>
      <c r="B108" s="7" t="str">
        <f t="shared" si="107"/>
        <v>1.5 Gt</v>
      </c>
      <c r="C108">
        <f t="shared" si="89"/>
        <v>3.7562358691096911</v>
      </c>
      <c r="D108" s="8">
        <f t="shared" si="90"/>
        <v>-1.319407624914968</v>
      </c>
      <c r="E108" s="8">
        <f>C108</f>
        <v>3.7562358691096911</v>
      </c>
    </row>
    <row r="109" spans="1:9" x14ac:dyDescent="0.25">
      <c r="A109" s="7" t="str">
        <f t="shared" ref="A109:B109" si="108">A80</f>
        <v>Innovation-triple</v>
      </c>
      <c r="B109" s="7" t="str">
        <f t="shared" si="108"/>
        <v>1.5 Gt</v>
      </c>
      <c r="C109">
        <f t="shared" si="89"/>
        <v>3.7941739897941655</v>
      </c>
      <c r="D109" s="8">
        <f t="shared" si="90"/>
        <v>-1.897612583824104</v>
      </c>
      <c r="E109" s="8">
        <f>C109</f>
        <v>3.7941739897941655</v>
      </c>
    </row>
    <row r="110" spans="1:9" x14ac:dyDescent="0.25">
      <c r="A110" s="7" t="str">
        <f t="shared" ref="A110:B110" si="109">A81</f>
        <v>Procure3B</v>
      </c>
      <c r="B110" s="7" t="str">
        <f t="shared" si="109"/>
        <v>1.5 Gt</v>
      </c>
      <c r="C110">
        <f t="shared" si="89"/>
        <v>6.1482838611335504</v>
      </c>
      <c r="D110" s="8">
        <f t="shared" si="90"/>
        <v>1.0363250084620061</v>
      </c>
      <c r="G110" s="8">
        <f>C110</f>
        <v>6.1482838611335504</v>
      </c>
    </row>
    <row r="111" spans="1:9" x14ac:dyDescent="0.25">
      <c r="A111" s="7" t="str">
        <f t="shared" ref="A111:B111" si="110">A82</f>
        <v>ProcureRhodium</v>
      </c>
      <c r="B111" s="7" t="str">
        <f t="shared" si="110"/>
        <v>1.5 Gt</v>
      </c>
      <c r="C111">
        <f t="shared" si="89"/>
        <v>12.663601837356222</v>
      </c>
      <c r="D111" s="8">
        <f t="shared" si="90"/>
        <v>2.923407082508354</v>
      </c>
      <c r="G111" s="8">
        <f>C111</f>
        <v>12.663601837356222</v>
      </c>
    </row>
    <row r="112" spans="1:9" x14ac:dyDescent="0.25">
      <c r="A112" s="7" t="str">
        <f t="shared" ref="A112:B112" si="111">A83</f>
        <v>ProcureScaling</v>
      </c>
      <c r="B112" s="7" t="str">
        <f t="shared" si="111"/>
        <v>1.5 Gt</v>
      </c>
      <c r="C112">
        <f t="shared" si="89"/>
        <v>4.293953690244436</v>
      </c>
      <c r="D112" s="8">
        <f t="shared" si="90"/>
        <v>0.91897387304034173</v>
      </c>
      <c r="G112" s="8">
        <f>C112</f>
        <v>4.293953690244436</v>
      </c>
    </row>
    <row r="113" spans="1:9" x14ac:dyDescent="0.25">
      <c r="A113" s="7" t="str">
        <f t="shared" ref="A113:B113" si="112">A84</f>
        <v>2.4 Gt Baseline</v>
      </c>
      <c r="B113" s="7" t="str">
        <f t="shared" si="112"/>
        <v>2.4 Gt</v>
      </c>
      <c r="C113">
        <f t="shared" si="89"/>
        <v>4.7441533574965318</v>
      </c>
      <c r="D113" s="8">
        <f t="shared" si="90"/>
        <v>-3.8617004313604051</v>
      </c>
      <c r="I113" s="8">
        <f>C113</f>
        <v>4.7441533574965318</v>
      </c>
    </row>
    <row r="114" spans="1:9" x14ac:dyDescent="0.25">
      <c r="A114" s="7" t="str">
        <f t="shared" ref="A114:B114" si="113">A85</f>
        <v>4.1 Gt Baseline</v>
      </c>
      <c r="B114" s="7" t="str">
        <f t="shared" si="113"/>
        <v>4.1 Gt</v>
      </c>
      <c r="C114">
        <f t="shared" si="89"/>
        <v>5.4960134486937662</v>
      </c>
      <c r="D114" s="8">
        <f t="shared" si="90"/>
        <v>23.306697574041493</v>
      </c>
      <c r="I114" s="8">
        <f>C114</f>
        <v>5.4960134486937662</v>
      </c>
    </row>
    <row r="115" spans="1:9" x14ac:dyDescent="0.25">
      <c r="A115" s="7" t="str">
        <f t="shared" ref="A115:B115" si="114">A86</f>
        <v>CDRIA-Rhodium18b</v>
      </c>
      <c r="B115" s="7" t="str">
        <f t="shared" si="114"/>
        <v>500 Mt</v>
      </c>
      <c r="C115">
        <f t="shared" si="89"/>
        <v>-4.1388574181998177</v>
      </c>
      <c r="D115" s="8">
        <f t="shared" si="90"/>
        <v>-1.4445409002888128</v>
      </c>
      <c r="H115" s="8">
        <f>C115</f>
        <v>-4.1388574181998177</v>
      </c>
    </row>
    <row r="116" spans="1:9" x14ac:dyDescent="0.25">
      <c r="A116" s="7" t="str">
        <f t="shared" ref="A116:B116" si="115">A87</f>
        <v>CDRIA-Rhodium18b</v>
      </c>
      <c r="B116" s="7" t="str">
        <f t="shared" si="115"/>
        <v>1.5 Gt</v>
      </c>
      <c r="C116">
        <f t="shared" si="89"/>
        <v>7.6155443923701611</v>
      </c>
      <c r="D116" s="8">
        <f t="shared" si="90"/>
        <v>-4.7728156685049763</v>
      </c>
      <c r="H116">
        <f>C116</f>
        <v>7.6155443923701611</v>
      </c>
    </row>
  </sheetData>
  <autoFilter ref="A1:H26" xr:uid="{66EF8D6B-AAC7-4D47-8A22-E3B6AC50568B}">
    <sortState xmlns:xlrd2="http://schemas.microsoft.com/office/spreadsheetml/2017/richdata2" ref="A14:H24">
      <sortCondition ref="A1:A26"/>
    </sortState>
  </autoFilter>
  <phoneticPr fontId="3" type="noConversion"/>
  <conditionalFormatting sqref="D2:D28 F2:F28 H2:I28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35:Z35 E36:E39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pageMargins left="0.7" right="0.7" top="0.75" bottom="0.75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EDCC38-97F2-44B2-A211-84A041F26FA0}">
  <dimension ref="A1:O23"/>
  <sheetViews>
    <sheetView workbookViewId="0">
      <selection activeCell="G1" sqref="G1"/>
    </sheetView>
  </sheetViews>
  <sheetFormatPr defaultRowHeight="15" x14ac:dyDescent="0.25"/>
  <cols>
    <col min="1" max="1" width="22.28515625" bestFit="1" customWidth="1"/>
    <col min="2" max="2" width="10.85546875" bestFit="1" customWidth="1"/>
    <col min="3" max="3" width="12.7109375" bestFit="1" customWidth="1"/>
    <col min="4" max="4" width="13.85546875" bestFit="1" customWidth="1"/>
    <col min="5" max="5" width="17.7109375" bestFit="1" customWidth="1"/>
    <col min="6" max="6" width="25.5703125" bestFit="1" customWidth="1"/>
    <col min="7" max="7" width="20.85546875" bestFit="1" customWidth="1"/>
    <col min="8" max="8" width="28.7109375" bestFit="1" customWidth="1"/>
    <col min="11" max="11" width="22.85546875" bestFit="1" customWidth="1"/>
    <col min="14" max="14" width="26" bestFit="1" customWidth="1"/>
  </cols>
  <sheetData>
    <row r="1" spans="1:15" x14ac:dyDescent="0.25">
      <c r="A1" t="s">
        <v>0</v>
      </c>
      <c r="B1" t="s">
        <v>28</v>
      </c>
      <c r="C1" t="s">
        <v>36</v>
      </c>
      <c r="D1" t="s">
        <v>37</v>
      </c>
      <c r="E1" t="s">
        <v>48</v>
      </c>
      <c r="F1" t="s">
        <v>49</v>
      </c>
      <c r="G1" t="s">
        <v>46</v>
      </c>
      <c r="H1" t="s">
        <v>47</v>
      </c>
      <c r="K1" s="3" t="s">
        <v>44</v>
      </c>
      <c r="L1">
        <f>CORREL(D2:D23,F2:F23)</f>
        <v>0.67272727272727262</v>
      </c>
      <c r="N1" s="3" t="s">
        <v>45</v>
      </c>
      <c r="O1">
        <f>CORREL(C2:C23,H2:H23)</f>
        <v>3.8878507412835051E-2</v>
      </c>
    </row>
    <row r="2" spans="1:15" x14ac:dyDescent="0.25">
      <c r="A2" t="s">
        <v>2</v>
      </c>
      <c r="B2" t="s">
        <v>32</v>
      </c>
      <c r="C2">
        <v>-0.70390616075908496</v>
      </c>
      <c r="D2">
        <v>8</v>
      </c>
      <c r="E2">
        <v>18.574625943324801</v>
      </c>
      <c r="F2">
        <v>10</v>
      </c>
      <c r="G2">
        <v>7.3634914210611901</v>
      </c>
      <c r="H2">
        <v>1</v>
      </c>
    </row>
    <row r="3" spans="1:15" x14ac:dyDescent="0.25">
      <c r="A3" t="s">
        <v>14</v>
      </c>
      <c r="B3" t="s">
        <v>32</v>
      </c>
      <c r="C3">
        <v>0</v>
      </c>
      <c r="D3">
        <v>10</v>
      </c>
      <c r="E3">
        <v>17.3728711500404</v>
      </c>
      <c r="F3">
        <v>9</v>
      </c>
      <c r="G3">
        <v>7.9854624669163199</v>
      </c>
      <c r="H3">
        <v>2</v>
      </c>
    </row>
    <row r="4" spans="1:15" x14ac:dyDescent="0.25">
      <c r="A4" t="s">
        <v>1</v>
      </c>
      <c r="B4" t="s">
        <v>32</v>
      </c>
      <c r="C4">
        <v>-0.78055119327006905</v>
      </c>
      <c r="D4">
        <v>7</v>
      </c>
      <c r="E4">
        <v>10.5657233468163</v>
      </c>
      <c r="F4">
        <v>5</v>
      </c>
      <c r="G4">
        <v>12.943976807287701</v>
      </c>
      <c r="H4">
        <v>3</v>
      </c>
    </row>
    <row r="5" spans="1:15" x14ac:dyDescent="0.25">
      <c r="A5" t="s">
        <v>6</v>
      </c>
      <c r="B5" t="s">
        <v>32</v>
      </c>
      <c r="C5">
        <v>-3.7041148122252601</v>
      </c>
      <c r="D5">
        <v>5</v>
      </c>
      <c r="E5">
        <v>6.9142507501659596</v>
      </c>
      <c r="F5">
        <v>2</v>
      </c>
      <c r="G5">
        <v>16.816335761750899</v>
      </c>
      <c r="H5">
        <v>4</v>
      </c>
    </row>
    <row r="6" spans="1:15" x14ac:dyDescent="0.25">
      <c r="A6" t="s">
        <v>9</v>
      </c>
      <c r="B6" t="s">
        <v>32</v>
      </c>
      <c r="C6">
        <v>-4.6760340109967</v>
      </c>
      <c r="D6">
        <v>2</v>
      </c>
      <c r="E6">
        <v>9.1295821492606297</v>
      </c>
      <c r="F6">
        <v>3</v>
      </c>
      <c r="G6">
        <v>18.019593931069998</v>
      </c>
      <c r="H6">
        <v>5</v>
      </c>
    </row>
    <row r="7" spans="1:15" x14ac:dyDescent="0.25">
      <c r="A7" t="s">
        <v>12</v>
      </c>
      <c r="B7" t="s">
        <v>32</v>
      </c>
      <c r="C7">
        <v>-0.79606851539385404</v>
      </c>
      <c r="D7">
        <v>6</v>
      </c>
      <c r="E7">
        <v>14.5016716897262</v>
      </c>
      <c r="F7">
        <v>7</v>
      </c>
      <c r="G7">
        <v>18.068472816125901</v>
      </c>
      <c r="H7">
        <v>6</v>
      </c>
    </row>
    <row r="8" spans="1:15" x14ac:dyDescent="0.25">
      <c r="A8" t="s">
        <v>8</v>
      </c>
      <c r="B8" t="s">
        <v>32</v>
      </c>
      <c r="C8">
        <v>-6.2792075696240897</v>
      </c>
      <c r="D8">
        <v>1</v>
      </c>
      <c r="E8">
        <v>4.3055182785194903</v>
      </c>
      <c r="F8">
        <v>1</v>
      </c>
      <c r="G8">
        <v>20.904336245338801</v>
      </c>
      <c r="H8">
        <v>7</v>
      </c>
    </row>
    <row r="9" spans="1:15" x14ac:dyDescent="0.25">
      <c r="A9" t="s">
        <v>7</v>
      </c>
      <c r="B9" t="s">
        <v>32</v>
      </c>
      <c r="C9">
        <v>-4.5270896828626404</v>
      </c>
      <c r="D9">
        <v>3</v>
      </c>
      <c r="E9">
        <v>10.094129555691</v>
      </c>
      <c r="F9">
        <v>4</v>
      </c>
      <c r="G9">
        <v>21.4277299143567</v>
      </c>
      <c r="H9">
        <v>8</v>
      </c>
    </row>
    <row r="10" spans="1:15" x14ac:dyDescent="0.25">
      <c r="A10" t="s">
        <v>10</v>
      </c>
      <c r="B10" t="s">
        <v>32</v>
      </c>
      <c r="C10">
        <v>-0.43719754556903001</v>
      </c>
      <c r="D10">
        <v>9</v>
      </c>
      <c r="E10">
        <v>15.5568590322536</v>
      </c>
      <c r="F10">
        <v>8</v>
      </c>
      <c r="G10">
        <v>30.32001009859</v>
      </c>
      <c r="H10">
        <v>9</v>
      </c>
    </row>
    <row r="11" spans="1:15" x14ac:dyDescent="0.25">
      <c r="A11" t="s">
        <v>5</v>
      </c>
      <c r="B11" t="s">
        <v>32</v>
      </c>
      <c r="C11">
        <v>-3.9166135590809201</v>
      </c>
      <c r="D11">
        <v>4</v>
      </c>
      <c r="E11">
        <v>10.9377981211906</v>
      </c>
      <c r="F11">
        <v>6</v>
      </c>
      <c r="G11">
        <v>33.8032802979519</v>
      </c>
      <c r="H11">
        <v>10</v>
      </c>
    </row>
    <row r="12" spans="1:15" x14ac:dyDescent="0.25">
      <c r="A12" t="s">
        <v>11</v>
      </c>
      <c r="B12" t="s">
        <v>32</v>
      </c>
      <c r="C12">
        <v>3.6940786172137897E-2</v>
      </c>
      <c r="D12">
        <v>11</v>
      </c>
      <c r="E12">
        <v>30.603730057832198</v>
      </c>
      <c r="F12">
        <v>11</v>
      </c>
      <c r="G12">
        <v>93.382246268824602</v>
      </c>
      <c r="H12">
        <v>11</v>
      </c>
    </row>
    <row r="13" spans="1:15" x14ac:dyDescent="0.25">
      <c r="A13" t="s">
        <v>5</v>
      </c>
      <c r="B13" t="s">
        <v>30</v>
      </c>
      <c r="C13">
        <v>-1.7952663161307201</v>
      </c>
      <c r="D13">
        <v>4</v>
      </c>
      <c r="E13">
        <v>11.080702210154501</v>
      </c>
      <c r="F13">
        <v>4</v>
      </c>
      <c r="G13">
        <v>12.1687368263228</v>
      </c>
      <c r="H13">
        <v>1</v>
      </c>
    </row>
    <row r="14" spans="1:15" x14ac:dyDescent="0.25">
      <c r="A14" t="s">
        <v>1</v>
      </c>
      <c r="B14" t="s">
        <v>30</v>
      </c>
      <c r="C14">
        <v>-0.55420087336513202</v>
      </c>
      <c r="D14">
        <v>7</v>
      </c>
      <c r="E14">
        <v>7.9722193986204699</v>
      </c>
      <c r="F14">
        <v>3</v>
      </c>
      <c r="G14">
        <v>15.427706085558601</v>
      </c>
      <c r="H14">
        <v>2</v>
      </c>
    </row>
    <row r="15" spans="1:15" x14ac:dyDescent="0.25">
      <c r="A15" t="s">
        <v>8</v>
      </c>
      <c r="B15" t="s">
        <v>30</v>
      </c>
      <c r="C15">
        <v>-3.2383964853381602</v>
      </c>
      <c r="D15">
        <v>1</v>
      </c>
      <c r="E15">
        <v>13.3924163736789</v>
      </c>
      <c r="F15">
        <v>8</v>
      </c>
      <c r="G15">
        <v>17.572339232378901</v>
      </c>
      <c r="H15">
        <v>3</v>
      </c>
    </row>
    <row r="16" spans="1:15" x14ac:dyDescent="0.25">
      <c r="A16" t="s">
        <v>13</v>
      </c>
      <c r="B16" t="s">
        <v>30</v>
      </c>
      <c r="C16">
        <v>0</v>
      </c>
      <c r="D16">
        <v>10</v>
      </c>
      <c r="E16">
        <v>17.279164053851499</v>
      </c>
      <c r="F16">
        <v>10</v>
      </c>
      <c r="G16">
        <v>17.985190607705601</v>
      </c>
      <c r="H16">
        <v>4</v>
      </c>
    </row>
    <row r="17" spans="1:8" x14ac:dyDescent="0.25">
      <c r="A17" t="s">
        <v>9</v>
      </c>
      <c r="B17" t="s">
        <v>30</v>
      </c>
      <c r="C17">
        <v>-2.2891584853534401</v>
      </c>
      <c r="D17">
        <v>2</v>
      </c>
      <c r="E17">
        <v>11.804833462263</v>
      </c>
      <c r="F17">
        <v>5</v>
      </c>
      <c r="G17">
        <v>18.347595088783098</v>
      </c>
      <c r="H17">
        <v>5</v>
      </c>
    </row>
    <row r="18" spans="1:8" x14ac:dyDescent="0.25">
      <c r="A18" t="s">
        <v>7</v>
      </c>
      <c r="B18" t="s">
        <v>30</v>
      </c>
      <c r="C18">
        <v>-2.2172361920194099</v>
      </c>
      <c r="D18">
        <v>3</v>
      </c>
      <c r="E18">
        <v>12.090518117610101</v>
      </c>
      <c r="F18">
        <v>6</v>
      </c>
      <c r="G18">
        <v>18.844388223606401</v>
      </c>
      <c r="H18">
        <v>6</v>
      </c>
    </row>
    <row r="19" spans="1:8" x14ac:dyDescent="0.25">
      <c r="A19" t="s">
        <v>12</v>
      </c>
      <c r="B19" t="s">
        <v>30</v>
      </c>
      <c r="C19">
        <v>-0.10194222025196401</v>
      </c>
      <c r="D19">
        <v>8</v>
      </c>
      <c r="E19">
        <v>13.3113794026041</v>
      </c>
      <c r="F19">
        <v>7</v>
      </c>
      <c r="G19">
        <v>21.1134106483448</v>
      </c>
      <c r="H19">
        <v>7</v>
      </c>
    </row>
    <row r="20" spans="1:8" x14ac:dyDescent="0.25">
      <c r="A20" t="s">
        <v>6</v>
      </c>
      <c r="B20" t="s">
        <v>30</v>
      </c>
      <c r="C20">
        <v>-1.20099872998618</v>
      </c>
      <c r="D20">
        <v>5</v>
      </c>
      <c r="E20">
        <v>3.27434679522118</v>
      </c>
      <c r="F20">
        <v>2</v>
      </c>
      <c r="G20">
        <v>21.891315429941098</v>
      </c>
      <c r="H20">
        <v>8</v>
      </c>
    </row>
    <row r="21" spans="1:8" x14ac:dyDescent="0.25">
      <c r="A21" t="s">
        <v>2</v>
      </c>
      <c r="B21" t="s">
        <v>30</v>
      </c>
      <c r="C21">
        <v>-0.55690592949661299</v>
      </c>
      <c r="D21">
        <v>6</v>
      </c>
      <c r="E21">
        <v>4.18215697221197E-2</v>
      </c>
      <c r="F21">
        <v>1</v>
      </c>
      <c r="G21">
        <v>24.3236703991907</v>
      </c>
      <c r="H21">
        <v>9</v>
      </c>
    </row>
    <row r="22" spans="1:8" x14ac:dyDescent="0.25">
      <c r="A22" t="s">
        <v>10</v>
      </c>
      <c r="B22" t="s">
        <v>30</v>
      </c>
      <c r="C22">
        <v>-3.1121273134907899E-2</v>
      </c>
      <c r="D22">
        <v>9</v>
      </c>
      <c r="E22">
        <v>16.858636173362701</v>
      </c>
      <c r="F22">
        <v>9</v>
      </c>
      <c r="G22">
        <v>25.6581977557504</v>
      </c>
      <c r="H22">
        <v>10</v>
      </c>
    </row>
    <row r="23" spans="1:8" x14ac:dyDescent="0.25">
      <c r="A23" t="s">
        <v>11</v>
      </c>
      <c r="B23" t="s">
        <v>30</v>
      </c>
      <c r="C23">
        <v>4.9027927127704499E-2</v>
      </c>
      <c r="D23">
        <v>11</v>
      </c>
      <c r="E23">
        <v>58.794583510587898</v>
      </c>
      <c r="F23">
        <v>11</v>
      </c>
      <c r="G23">
        <v>52.730135299082299</v>
      </c>
      <c r="H23">
        <v>11</v>
      </c>
    </row>
  </sheetData>
  <autoFilter ref="A1:H23" xr:uid="{C6EDCC38-97F2-44B2-A211-84A041F26FA0}">
    <sortState xmlns:xlrd2="http://schemas.microsoft.com/office/spreadsheetml/2017/richdata2" ref="A2:H12">
      <sortCondition ref="G1:G23"/>
    </sortState>
  </autoFilter>
  <phoneticPr fontId="3" type="noConversion"/>
  <conditionalFormatting sqref="C2:C12">
    <cfRule type="colorScale" priority="5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C13:C23">
    <cfRule type="colorScale" priority="26">
      <colorScale>
        <cfvo type="min"/>
        <cfvo type="num" val="-1"/>
        <cfvo type="max"/>
        <color theme="6"/>
        <color theme="0"/>
        <color rgb="FFC00000"/>
      </colorScale>
    </cfRule>
  </conditionalFormatting>
  <conditionalFormatting sqref="E2:E12">
    <cfRule type="colorScale" priority="3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E13:E23">
    <cfRule type="colorScale" priority="4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2:G12">
    <cfRule type="colorScale" priority="2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G13:G23">
    <cfRule type="colorScale" priority="1">
      <colorScale>
        <cfvo type="min"/>
        <cfvo type="num" val="0"/>
        <cfvo type="max"/>
        <color rgb="FF00B050"/>
        <color theme="0"/>
        <color rgb="FFC00000"/>
      </colorScale>
    </cfRule>
  </conditionalFormatting>
  <conditionalFormatting sqref="J3:J13">
    <cfRule type="colorScale" priority="27">
      <colorScale>
        <cfvo type="min"/>
        <cfvo type="num" val="-1"/>
        <cfvo type="max"/>
        <color theme="6"/>
        <color theme="0"/>
        <color rgb="FFC00000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Low</vt:lpstr>
      <vt:lpstr>High</vt:lpstr>
      <vt:lpstr>Sheet1</vt:lpstr>
      <vt:lpstr>Net-Zero Mandate</vt:lpstr>
      <vt:lpstr>Counterproductive Intervention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Nathan Preuss</dc:creator>
  <cp:lastModifiedBy>Nathan Preuss</cp:lastModifiedBy>
  <dcterms:created xsi:type="dcterms:W3CDTF">2025-10-29T16:38:10Z</dcterms:created>
  <dcterms:modified xsi:type="dcterms:W3CDTF">2026-01-22T16:20:30Z</dcterms:modified>
</cp:coreProperties>
</file>