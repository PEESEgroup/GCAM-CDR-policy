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495C9E9C-FE16-46CD-B79C-53C37DFC3C52}" xr6:coauthVersionLast="47" xr6:coauthVersionMax="47" xr10:uidLastSave="{00000000-0000-0000-0000-000000000000}"/>
  <bookViews>
    <workbookView xWindow="-105" yWindow="0" windowWidth="14610" windowHeight="17385" activeTab="1" xr2:uid="{5B094011-67C9-461D-BBBF-A6D3FE50B4AB}"/>
  </bookViews>
  <sheets>
    <sheet name="Low" sheetId="1" r:id="rId1"/>
    <sheet name="High" sheetId="2" r:id="rId2"/>
    <sheet name="Plotting Marginal CostsBenefits" sheetId="5" r:id="rId3"/>
    <sheet name="Marginal C emissions" sheetId="6" r:id="rId4"/>
    <sheet name="Net-Zero Mandate" sheetId="3" r:id="rId5"/>
  </sheets>
  <definedNames>
    <definedName name="_xlnm._FilterDatabase" localSheetId="1" hidden="1">High!$A$1:$N$1</definedName>
    <definedName name="_xlnm._FilterDatabase" localSheetId="0" hidden="1">Low!$A$1:$N$1</definedName>
    <definedName name="_xlnm._FilterDatabase" localSheetId="4" hidden="1">'Net-Zero Mandate'!$A$1:$H$26</definedName>
    <definedName name="_xlchart.v1.0" hidden="1">'Net-Zero Mandate'!$A$2:$B$28</definedName>
    <definedName name="_xlchart.v1.1" hidden="1">'Net-Zero Mandate'!$D$1</definedName>
    <definedName name="_xlchart.v1.2" hidden="1">'Net-Zero Mandate'!$D$2:$D$28</definedName>
    <definedName name="_xlchart.v1.3" hidden="1">'Net-Zero Mandate'!$F$1</definedName>
    <definedName name="_xlchart.v1.4" hidden="1">'Net-Zero Mandate'!$F$2:$F$28</definedName>
    <definedName name="_xlchart.v1.5" hidden="1">'Net-Zero Mandate'!$H$1</definedName>
    <definedName name="_xlchart.v1.6" hidden="1">'Net-Zero Mandate'!$H$2:$H$28</definedName>
    <definedName name="_xlchart.v1.7" hidden="1">'Net-Zero Mandate'!$I$1</definedName>
    <definedName name="_xlchart.v1.8" hidden="1">'Net-Zero Mandate'!$I$2:$I$28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6" l="1"/>
  <c r="B11" i="6"/>
  <c r="B9" i="6"/>
  <c r="E12" i="6"/>
  <c r="M2" i="3"/>
  <c r="C81" i="5"/>
  <c r="D81" i="5"/>
  <c r="C82" i="5"/>
  <c r="J82" i="5" s="1"/>
  <c r="D82" i="5"/>
  <c r="C83" i="5"/>
  <c r="D83" i="5"/>
  <c r="C84" i="5"/>
  <c r="D84" i="5"/>
  <c r="C85" i="5"/>
  <c r="D85" i="5"/>
  <c r="C86" i="5"/>
  <c r="D86" i="5"/>
  <c r="C87" i="5"/>
  <c r="D87" i="5"/>
  <c r="C88" i="5"/>
  <c r="D88" i="5"/>
  <c r="C89" i="5"/>
  <c r="K89" i="5" s="1"/>
  <c r="D89" i="5"/>
  <c r="C90" i="5"/>
  <c r="K90" i="5" s="1"/>
  <c r="D90" i="5"/>
  <c r="C91" i="5"/>
  <c r="D91" i="5"/>
  <c r="D80" i="5"/>
  <c r="C80" i="5"/>
  <c r="J80" i="5" s="1"/>
  <c r="C68" i="5"/>
  <c r="F68" i="5" s="1"/>
  <c r="D68" i="5"/>
  <c r="C69" i="5"/>
  <c r="D69" i="5"/>
  <c r="C70" i="5"/>
  <c r="D70" i="5"/>
  <c r="C71" i="5"/>
  <c r="D71" i="5"/>
  <c r="C72" i="5"/>
  <c r="D72" i="5"/>
  <c r="C73" i="5"/>
  <c r="D73" i="5"/>
  <c r="C74" i="5"/>
  <c r="E74" i="5" s="1"/>
  <c r="D74" i="5"/>
  <c r="C75" i="5"/>
  <c r="E75" i="5" s="1"/>
  <c r="D75" i="5"/>
  <c r="C76" i="5"/>
  <c r="D76" i="5"/>
  <c r="C77" i="5"/>
  <c r="G77" i="5" s="1"/>
  <c r="D77" i="5"/>
  <c r="C78" i="5"/>
  <c r="G78" i="5" s="1"/>
  <c r="D78" i="5"/>
  <c r="C79" i="5"/>
  <c r="D79" i="5"/>
  <c r="D67" i="5"/>
  <c r="C67" i="5"/>
  <c r="F67" i="5" s="1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C46" i="5"/>
  <c r="D46" i="5"/>
  <c r="C47" i="5"/>
  <c r="J47" i="5" s="1"/>
  <c r="D47" i="5"/>
  <c r="C48" i="5"/>
  <c r="D48" i="5"/>
  <c r="C49" i="5"/>
  <c r="D49" i="5"/>
  <c r="C50" i="5"/>
  <c r="I50" i="5" s="1"/>
  <c r="D50" i="5"/>
  <c r="C51" i="5"/>
  <c r="I51" i="5" s="1"/>
  <c r="D51" i="5"/>
  <c r="C52" i="5"/>
  <c r="I52" i="5" s="1"/>
  <c r="D52" i="5"/>
  <c r="C53" i="5"/>
  <c r="I53" i="5" s="1"/>
  <c r="D53" i="5"/>
  <c r="C54" i="5"/>
  <c r="K54" i="5" s="1"/>
  <c r="D54" i="5"/>
  <c r="C55" i="5"/>
  <c r="K55" i="5" s="1"/>
  <c r="D55" i="5"/>
  <c r="C56" i="5"/>
  <c r="D56" i="5"/>
  <c r="D45" i="5"/>
  <c r="C45" i="5"/>
  <c r="C33" i="5"/>
  <c r="F33" i="5" s="1"/>
  <c r="D33" i="5"/>
  <c r="C34" i="5"/>
  <c r="F34" i="5" s="1"/>
  <c r="D34" i="5"/>
  <c r="C35" i="5"/>
  <c r="F35" i="5" s="1"/>
  <c r="D35" i="5"/>
  <c r="C36" i="5"/>
  <c r="E36" i="5" s="1"/>
  <c r="D36" i="5"/>
  <c r="C37" i="5"/>
  <c r="E37" i="5" s="1"/>
  <c r="D37" i="5"/>
  <c r="C38" i="5"/>
  <c r="E38" i="5" s="1"/>
  <c r="D38" i="5"/>
  <c r="C39" i="5"/>
  <c r="E39" i="5" s="1"/>
  <c r="D39" i="5"/>
  <c r="C40" i="5"/>
  <c r="E40" i="5" s="1"/>
  <c r="D40" i="5"/>
  <c r="C41" i="5"/>
  <c r="G41" i="5" s="1"/>
  <c r="D41" i="5"/>
  <c r="C42" i="5"/>
  <c r="D42" i="5"/>
  <c r="C43" i="5"/>
  <c r="G43" i="5" s="1"/>
  <c r="D43" i="5"/>
  <c r="C44" i="5"/>
  <c r="H44" i="5" s="1"/>
  <c r="D44" i="5"/>
  <c r="D32" i="5"/>
  <c r="C32" i="5"/>
  <c r="F32" i="5" s="1"/>
  <c r="A46" i="5"/>
  <c r="A51" i="5"/>
  <c r="A52" i="5"/>
  <c r="A53" i="5"/>
  <c r="A54" i="5"/>
  <c r="A55" i="5"/>
  <c r="A56" i="5"/>
  <c r="A57" i="5"/>
  <c r="A32" i="5"/>
  <c r="A67" i="5" s="1"/>
  <c r="C16" i="5"/>
  <c r="D16" i="5"/>
  <c r="C17" i="5"/>
  <c r="D17" i="5"/>
  <c r="C18" i="5"/>
  <c r="D18" i="5"/>
  <c r="C19" i="5"/>
  <c r="D19" i="5"/>
  <c r="C20" i="5"/>
  <c r="D20" i="5"/>
  <c r="C21" i="5"/>
  <c r="D21" i="5"/>
  <c r="C22" i="5"/>
  <c r="D22" i="5"/>
  <c r="C23" i="5"/>
  <c r="D23" i="5"/>
  <c r="C24" i="5"/>
  <c r="D24" i="5"/>
  <c r="C25" i="5"/>
  <c r="D25" i="5"/>
  <c r="C26" i="5"/>
  <c r="D26" i="5"/>
  <c r="D15" i="5"/>
  <c r="C15" i="5"/>
  <c r="A16" i="5"/>
  <c r="A17" i="5"/>
  <c r="A47" i="5" s="1"/>
  <c r="A18" i="5"/>
  <c r="A48" i="5" s="1"/>
  <c r="A19" i="5"/>
  <c r="A49" i="5" s="1"/>
  <c r="A20" i="5"/>
  <c r="A50" i="5" s="1"/>
  <c r="A21" i="5"/>
  <c r="A22" i="5"/>
  <c r="A23" i="5"/>
  <c r="A24" i="5"/>
  <c r="A25" i="5"/>
  <c r="A26" i="5"/>
  <c r="A27" i="5"/>
  <c r="A15" i="5"/>
  <c r="A45" i="5" s="1"/>
  <c r="C3" i="5"/>
  <c r="D3" i="5"/>
  <c r="C4" i="5"/>
  <c r="D4" i="5"/>
  <c r="C5" i="5"/>
  <c r="D5" i="5"/>
  <c r="C6" i="5"/>
  <c r="D6" i="5"/>
  <c r="C7" i="5"/>
  <c r="D7" i="5"/>
  <c r="C8" i="5"/>
  <c r="D8" i="5"/>
  <c r="C9" i="5"/>
  <c r="D9" i="5"/>
  <c r="C10" i="5"/>
  <c r="D10" i="5"/>
  <c r="C11" i="5"/>
  <c r="D11" i="5"/>
  <c r="C12" i="5"/>
  <c r="D12" i="5"/>
  <c r="C13" i="5"/>
  <c r="D13" i="5"/>
  <c r="C14" i="5"/>
  <c r="D14" i="5"/>
  <c r="A3" i="5"/>
  <c r="A33" i="5" s="1"/>
  <c r="A4" i="5"/>
  <c r="A34" i="5" s="1"/>
  <c r="A5" i="5"/>
  <c r="A35" i="5" s="1"/>
  <c r="A6" i="5"/>
  <c r="A36" i="5" s="1"/>
  <c r="A7" i="5"/>
  <c r="A37" i="5" s="1"/>
  <c r="A8" i="5"/>
  <c r="A38" i="5" s="1"/>
  <c r="A9" i="5"/>
  <c r="A39" i="5" s="1"/>
  <c r="A10" i="5"/>
  <c r="A40" i="5" s="1"/>
  <c r="A11" i="5"/>
  <c r="A41" i="5" s="1"/>
  <c r="A12" i="5"/>
  <c r="A42" i="5" s="1"/>
  <c r="A13" i="5"/>
  <c r="A43" i="5" s="1"/>
  <c r="A14" i="5"/>
  <c r="A44" i="5" s="1"/>
  <c r="A2" i="5"/>
  <c r="D2" i="5"/>
  <c r="C2" i="5"/>
  <c r="F2" i="5" s="1"/>
  <c r="I88" i="5"/>
  <c r="I87" i="5"/>
  <c r="I86" i="5"/>
  <c r="I85" i="5"/>
  <c r="I84" i="5"/>
  <c r="H79" i="5"/>
  <c r="G76" i="5"/>
  <c r="E73" i="5"/>
  <c r="E72" i="5"/>
  <c r="E71" i="5"/>
  <c r="F70" i="5"/>
  <c r="K91" i="5"/>
  <c r="J83" i="5"/>
  <c r="J81" i="5"/>
  <c r="F69" i="5"/>
  <c r="A66" i="5"/>
  <c r="Q2" i="3"/>
  <c r="P2" i="3"/>
  <c r="N2" i="3"/>
  <c r="O2" i="3"/>
  <c r="O7" i="3"/>
  <c r="O6" i="3"/>
  <c r="K56" i="5"/>
  <c r="I49" i="5"/>
  <c r="J48" i="5"/>
  <c r="J46" i="5"/>
  <c r="J45" i="5"/>
  <c r="G42" i="5"/>
  <c r="A31" i="5"/>
  <c r="D13" i="6"/>
  <c r="D12" i="6"/>
  <c r="D11" i="6"/>
  <c r="D10" i="6"/>
  <c r="D9" i="6"/>
  <c r="D8" i="6"/>
  <c r="D7" i="6"/>
  <c r="C3" i="6"/>
  <c r="D3" i="6" s="1"/>
  <c r="C2" i="6"/>
  <c r="D2" i="6" s="1"/>
  <c r="A87" i="3"/>
  <c r="B87" i="3"/>
  <c r="C87" i="3"/>
  <c r="D87" i="3"/>
  <c r="H87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90" i="3"/>
  <c r="A91" i="3"/>
  <c r="B91" i="3"/>
  <c r="C91" i="3"/>
  <c r="A92" i="3"/>
  <c r="B92" i="3"/>
  <c r="C92" i="3"/>
  <c r="F92" i="3" s="1"/>
  <c r="A93" i="3"/>
  <c r="B93" i="3"/>
  <c r="C93" i="3"/>
  <c r="A94" i="3"/>
  <c r="B94" i="3"/>
  <c r="C94" i="3"/>
  <c r="A95" i="3"/>
  <c r="B95" i="3"/>
  <c r="C95" i="3"/>
  <c r="E95" i="3" s="1"/>
  <c r="A96" i="3"/>
  <c r="B96" i="3"/>
  <c r="C96" i="3"/>
  <c r="A97" i="3"/>
  <c r="B97" i="3"/>
  <c r="C97" i="3"/>
  <c r="A98" i="3"/>
  <c r="B98" i="3"/>
  <c r="C98" i="3"/>
  <c r="I98" i="3" s="1"/>
  <c r="A99" i="3"/>
  <c r="B99" i="3"/>
  <c r="C99" i="3"/>
  <c r="G99" i="3" s="1"/>
  <c r="A100" i="3"/>
  <c r="B100" i="3"/>
  <c r="C100" i="3"/>
  <c r="G100" i="3" s="1"/>
  <c r="A101" i="3"/>
  <c r="B101" i="3"/>
  <c r="C101" i="3"/>
  <c r="A102" i="3"/>
  <c r="B102" i="3"/>
  <c r="C102" i="3"/>
  <c r="F102" i="3" s="1"/>
  <c r="A103" i="3"/>
  <c r="B103" i="3"/>
  <c r="C103" i="3"/>
  <c r="A104" i="3"/>
  <c r="B104" i="3"/>
  <c r="C104" i="3"/>
  <c r="A105" i="3"/>
  <c r="B105" i="3"/>
  <c r="C105" i="3"/>
  <c r="A106" i="3"/>
  <c r="B106" i="3"/>
  <c r="C106" i="3"/>
  <c r="A107" i="3"/>
  <c r="B107" i="3"/>
  <c r="C107" i="3"/>
  <c r="A108" i="3"/>
  <c r="B108" i="3"/>
  <c r="C108" i="3"/>
  <c r="A109" i="3"/>
  <c r="B109" i="3"/>
  <c r="C109" i="3"/>
  <c r="A110" i="3"/>
  <c r="B110" i="3"/>
  <c r="C110" i="3"/>
  <c r="G110" i="3" s="1"/>
  <c r="A111" i="3"/>
  <c r="B111" i="3"/>
  <c r="C111" i="3"/>
  <c r="A112" i="3"/>
  <c r="B112" i="3"/>
  <c r="C112" i="3"/>
  <c r="G112" i="3" s="1"/>
  <c r="A113" i="3"/>
  <c r="B113" i="3"/>
  <c r="C113" i="3"/>
  <c r="A114" i="3"/>
  <c r="B114" i="3"/>
  <c r="C114" i="3"/>
  <c r="A115" i="3"/>
  <c r="B115" i="3"/>
  <c r="C115" i="3"/>
  <c r="H115" i="3" s="1"/>
  <c r="A116" i="3"/>
  <c r="B116" i="3"/>
  <c r="C116" i="3"/>
  <c r="B90" i="3"/>
  <c r="A90" i="3"/>
  <c r="C90" i="3"/>
  <c r="I114" i="3"/>
  <c r="I113" i="3"/>
  <c r="G111" i="3"/>
  <c r="E109" i="3"/>
  <c r="E108" i="3"/>
  <c r="E107" i="3"/>
  <c r="E106" i="3"/>
  <c r="E105" i="3"/>
  <c r="I104" i="3"/>
  <c r="F103" i="3"/>
  <c r="G101" i="3"/>
  <c r="E97" i="3"/>
  <c r="E96" i="3"/>
  <c r="E94" i="3"/>
  <c r="E93" i="3"/>
  <c r="F91" i="3"/>
  <c r="C89" i="3"/>
  <c r="B89" i="3"/>
  <c r="H86" i="3"/>
  <c r="I85" i="3"/>
  <c r="I84" i="3"/>
  <c r="G83" i="3"/>
  <c r="G82" i="3"/>
  <c r="G81" i="3"/>
  <c r="E80" i="3"/>
  <c r="E79" i="3"/>
  <c r="E78" i="3"/>
  <c r="E77" i="3"/>
  <c r="E76" i="3"/>
  <c r="I75" i="3"/>
  <c r="F74" i="3"/>
  <c r="F73" i="3"/>
  <c r="G72" i="3"/>
  <c r="G71" i="3"/>
  <c r="G70" i="3"/>
  <c r="I69" i="3"/>
  <c r="E68" i="3"/>
  <c r="E67" i="3"/>
  <c r="E66" i="3"/>
  <c r="E65" i="3"/>
  <c r="E64" i="3"/>
  <c r="F63" i="3"/>
  <c r="F62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60" i="3"/>
  <c r="A62" i="3"/>
  <c r="B62" i="3"/>
  <c r="D62" i="3"/>
  <c r="A63" i="3"/>
  <c r="B63" i="3"/>
  <c r="D63" i="3"/>
  <c r="A64" i="3"/>
  <c r="B64" i="3"/>
  <c r="D64" i="3"/>
  <c r="A65" i="3"/>
  <c r="B65" i="3"/>
  <c r="D65" i="3"/>
  <c r="A66" i="3"/>
  <c r="B66" i="3"/>
  <c r="D66" i="3"/>
  <c r="A67" i="3"/>
  <c r="B67" i="3"/>
  <c r="D67" i="3"/>
  <c r="A68" i="3"/>
  <c r="B68" i="3"/>
  <c r="D68" i="3"/>
  <c r="A69" i="3"/>
  <c r="B69" i="3"/>
  <c r="D69" i="3"/>
  <c r="A70" i="3"/>
  <c r="B70" i="3"/>
  <c r="D70" i="3"/>
  <c r="A71" i="3"/>
  <c r="B71" i="3"/>
  <c r="D71" i="3"/>
  <c r="A72" i="3"/>
  <c r="B72" i="3"/>
  <c r="D72" i="3"/>
  <c r="A73" i="3"/>
  <c r="B73" i="3"/>
  <c r="D73" i="3"/>
  <c r="A74" i="3"/>
  <c r="B74" i="3"/>
  <c r="D74" i="3"/>
  <c r="A75" i="3"/>
  <c r="B75" i="3"/>
  <c r="D75" i="3"/>
  <c r="A76" i="3"/>
  <c r="B76" i="3"/>
  <c r="D76" i="3"/>
  <c r="A77" i="3"/>
  <c r="B77" i="3"/>
  <c r="D77" i="3"/>
  <c r="A78" i="3"/>
  <c r="B78" i="3"/>
  <c r="D78" i="3"/>
  <c r="A79" i="3"/>
  <c r="B79" i="3"/>
  <c r="D79" i="3"/>
  <c r="A80" i="3"/>
  <c r="B80" i="3"/>
  <c r="D80" i="3"/>
  <c r="A81" i="3"/>
  <c r="B81" i="3"/>
  <c r="D81" i="3"/>
  <c r="A82" i="3"/>
  <c r="B82" i="3"/>
  <c r="D82" i="3"/>
  <c r="A83" i="3"/>
  <c r="B83" i="3"/>
  <c r="D83" i="3"/>
  <c r="A84" i="3"/>
  <c r="B84" i="3"/>
  <c r="D84" i="3"/>
  <c r="A85" i="3"/>
  <c r="B85" i="3"/>
  <c r="D85" i="3"/>
  <c r="A86" i="3"/>
  <c r="B86" i="3"/>
  <c r="D86" i="3"/>
  <c r="H116" i="3" s="1"/>
  <c r="B60" i="3"/>
  <c r="B61" i="3"/>
  <c r="D61" i="3"/>
  <c r="A6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" i="3"/>
  <c r="K30" i="2"/>
  <c r="D92" i="5" s="1"/>
  <c r="J30" i="2"/>
  <c r="C92" i="5" s="1"/>
  <c r="L92" i="5" s="1"/>
  <c r="G30" i="2"/>
  <c r="D27" i="5" s="1"/>
  <c r="F30" i="2"/>
  <c r="C27" i="5" s="1"/>
  <c r="C30" i="2"/>
  <c r="D57" i="5" s="1"/>
  <c r="B30" i="2"/>
  <c r="E30" i="2" s="1"/>
  <c r="K29" i="2"/>
  <c r="J29" i="2"/>
  <c r="M29" i="2" s="1"/>
  <c r="G29" i="2"/>
  <c r="F29" i="2"/>
  <c r="I29" i="2" s="1"/>
  <c r="C29" i="2"/>
  <c r="B29" i="2"/>
  <c r="K28" i="2"/>
  <c r="J28" i="2"/>
  <c r="G28" i="2"/>
  <c r="F28" i="2"/>
  <c r="C28" i="2"/>
  <c r="B28" i="2"/>
  <c r="E28" i="2" s="1"/>
  <c r="K27" i="2"/>
  <c r="J27" i="2"/>
  <c r="M27" i="2" s="1"/>
  <c r="G27" i="2"/>
  <c r="F27" i="2"/>
  <c r="C27" i="2"/>
  <c r="B27" i="2"/>
  <c r="K26" i="2"/>
  <c r="J26" i="2"/>
  <c r="M26" i="2" s="1"/>
  <c r="G26" i="2"/>
  <c r="F26" i="2"/>
  <c r="C26" i="2"/>
  <c r="B26" i="2"/>
  <c r="K25" i="2"/>
  <c r="J25" i="2"/>
  <c r="G25" i="2"/>
  <c r="F25" i="2"/>
  <c r="C25" i="2"/>
  <c r="B25" i="2"/>
  <c r="K24" i="2"/>
  <c r="J24" i="2"/>
  <c r="M24" i="2" s="1"/>
  <c r="G24" i="2"/>
  <c r="F24" i="2"/>
  <c r="C24" i="2"/>
  <c r="B24" i="2"/>
  <c r="K23" i="2"/>
  <c r="J23" i="2"/>
  <c r="M23" i="2" s="1"/>
  <c r="G23" i="2"/>
  <c r="F23" i="2"/>
  <c r="C23" i="2"/>
  <c r="B23" i="2"/>
  <c r="E23" i="2" s="1"/>
  <c r="K22" i="2"/>
  <c r="J22" i="2"/>
  <c r="G22" i="2"/>
  <c r="F22" i="2"/>
  <c r="C22" i="2"/>
  <c r="B22" i="2"/>
  <c r="K21" i="2"/>
  <c r="J21" i="2"/>
  <c r="G21" i="2"/>
  <c r="F21" i="2"/>
  <c r="I21" i="2" s="1"/>
  <c r="C21" i="2"/>
  <c r="B21" i="2"/>
  <c r="E21" i="2" s="1"/>
  <c r="K20" i="2"/>
  <c r="J20" i="2"/>
  <c r="G20" i="2"/>
  <c r="F20" i="2"/>
  <c r="I20" i="2" s="1"/>
  <c r="C20" i="2"/>
  <c r="B20" i="2"/>
  <c r="K19" i="2"/>
  <c r="J19" i="2"/>
  <c r="M19" i="2" s="1"/>
  <c r="G19" i="2"/>
  <c r="F19" i="2"/>
  <c r="C19" i="2"/>
  <c r="B19" i="2"/>
  <c r="E19" i="2" s="1"/>
  <c r="K18" i="2"/>
  <c r="J18" i="2"/>
  <c r="M18" i="2" s="1"/>
  <c r="G18" i="2"/>
  <c r="F18" i="2"/>
  <c r="C18" i="2"/>
  <c r="B18" i="2"/>
  <c r="J19" i="1"/>
  <c r="K19" i="1"/>
  <c r="J20" i="1"/>
  <c r="K20" i="1"/>
  <c r="J21" i="1"/>
  <c r="K21" i="1"/>
  <c r="J22" i="1"/>
  <c r="K22" i="1"/>
  <c r="J23" i="1"/>
  <c r="K23" i="1"/>
  <c r="J24" i="1"/>
  <c r="L24" i="1" s="1"/>
  <c r="K24" i="1"/>
  <c r="J25" i="1"/>
  <c r="K25" i="1"/>
  <c r="J26" i="1"/>
  <c r="K26" i="1"/>
  <c r="M26" i="1" s="1"/>
  <c r="J27" i="1"/>
  <c r="K27" i="1"/>
  <c r="J28" i="1"/>
  <c r="K28" i="1"/>
  <c r="J29" i="1"/>
  <c r="K29" i="1"/>
  <c r="J30" i="1"/>
  <c r="K30" i="1"/>
  <c r="F19" i="1"/>
  <c r="G19" i="1"/>
  <c r="F20" i="1"/>
  <c r="G20" i="1"/>
  <c r="H20" i="1" s="1"/>
  <c r="F21" i="1"/>
  <c r="G21" i="1"/>
  <c r="F22" i="1"/>
  <c r="G22" i="1"/>
  <c r="F23" i="1"/>
  <c r="G23" i="1"/>
  <c r="I23" i="1" s="1"/>
  <c r="F24" i="1"/>
  <c r="G24" i="1"/>
  <c r="F25" i="1"/>
  <c r="G25" i="1"/>
  <c r="I25" i="1" s="1"/>
  <c r="F26" i="1"/>
  <c r="G26" i="1"/>
  <c r="I26" i="1" s="1"/>
  <c r="F27" i="1"/>
  <c r="G27" i="1"/>
  <c r="F28" i="1"/>
  <c r="G28" i="1"/>
  <c r="F29" i="1"/>
  <c r="G29" i="1"/>
  <c r="F30" i="1"/>
  <c r="G30" i="1"/>
  <c r="K18" i="1"/>
  <c r="J18" i="1"/>
  <c r="L18" i="1" s="1"/>
  <c r="G18" i="1"/>
  <c r="F18" i="1"/>
  <c r="I18" i="1" s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C18" i="1"/>
  <c r="B18" i="1"/>
  <c r="C57" i="5" l="1"/>
  <c r="L57" i="5" s="1"/>
  <c r="E13" i="6"/>
  <c r="E8" i="6"/>
  <c r="E9" i="6"/>
  <c r="E10" i="6"/>
  <c r="E11" i="6"/>
  <c r="M28" i="2"/>
  <c r="E26" i="2"/>
  <c r="I23" i="2"/>
  <c r="I30" i="2"/>
  <c r="E22" i="2"/>
  <c r="I25" i="2"/>
  <c r="M20" i="2"/>
  <c r="M22" i="2"/>
  <c r="I19" i="2"/>
  <c r="E25" i="2"/>
  <c r="I28" i="2"/>
  <c r="M24" i="1"/>
  <c r="D23" i="1"/>
  <c r="I27" i="1"/>
  <c r="M29" i="1"/>
  <c r="E24" i="1"/>
  <c r="D29" i="1"/>
  <c r="D24" i="1"/>
  <c r="H26" i="1"/>
  <c r="E20" i="1"/>
  <c r="L28" i="1"/>
  <c r="D30" i="1"/>
  <c r="H19" i="1"/>
  <c r="M21" i="1"/>
  <c r="L20" i="1"/>
  <c r="H25" i="1"/>
  <c r="E23" i="1"/>
  <c r="D18" i="1"/>
  <c r="I28" i="1"/>
  <c r="M30" i="1"/>
  <c r="D28" i="1"/>
  <c r="D27" i="1"/>
  <c r="E27" i="1"/>
  <c r="D22" i="1"/>
  <c r="I19" i="1"/>
  <c r="E30" i="1"/>
  <c r="E19" i="1"/>
  <c r="L27" i="1"/>
  <c r="L30" i="1"/>
  <c r="E28" i="1"/>
  <c r="L25" i="1"/>
  <c r="E29" i="1"/>
  <c r="D20" i="1"/>
  <c r="I30" i="1"/>
  <c r="H21" i="1"/>
  <c r="I29" i="1"/>
  <c r="L21" i="1"/>
  <c r="M20" i="1"/>
  <c r="E22" i="1"/>
  <c r="L22" i="1"/>
  <c r="H27" i="1"/>
  <c r="L23" i="1"/>
  <c r="D19" i="1"/>
  <c r="M28" i="1"/>
  <c r="M19" i="1"/>
  <c r="I20" i="1"/>
  <c r="E21" i="1"/>
  <c r="H28" i="1"/>
  <c r="D21" i="1"/>
  <c r="L29" i="1"/>
  <c r="M27" i="1"/>
  <c r="E26" i="1"/>
  <c r="E25" i="1"/>
  <c r="D25" i="1"/>
  <c r="D26" i="1"/>
  <c r="H22" i="1"/>
  <c r="H23" i="1"/>
  <c r="I24" i="1"/>
  <c r="L26" i="1"/>
  <c r="M21" i="2"/>
  <c r="M30" i="2"/>
  <c r="M25" i="2"/>
  <c r="I18" i="2"/>
  <c r="I24" i="2"/>
  <c r="I22" i="2"/>
  <c r="I26" i="2"/>
  <c r="I27" i="2"/>
  <c r="E24" i="2"/>
  <c r="E20" i="2"/>
  <c r="E29" i="2"/>
  <c r="E18" i="2"/>
  <c r="E27" i="2"/>
  <c r="H18" i="2"/>
  <c r="D20" i="2"/>
  <c r="L21" i="2"/>
  <c r="H22" i="2"/>
  <c r="D24" i="2"/>
  <c r="L25" i="2"/>
  <c r="H27" i="2"/>
  <c r="D29" i="2"/>
  <c r="L30" i="2"/>
  <c r="L18" i="2"/>
  <c r="H20" i="2"/>
  <c r="L22" i="2"/>
  <c r="H24" i="2"/>
  <c r="D26" i="2"/>
  <c r="L27" i="2"/>
  <c r="H29" i="2"/>
  <c r="D19" i="2"/>
  <c r="L20" i="2"/>
  <c r="D23" i="2"/>
  <c r="L24" i="2"/>
  <c r="H26" i="2"/>
  <c r="D28" i="2"/>
  <c r="L29" i="2"/>
  <c r="H19" i="2"/>
  <c r="D21" i="2"/>
  <c r="H23" i="2"/>
  <c r="D25" i="2"/>
  <c r="L26" i="2"/>
  <c r="H28" i="2"/>
  <c r="D30" i="2"/>
  <c r="D18" i="2"/>
  <c r="L19" i="2"/>
  <c r="H21" i="2"/>
  <c r="D22" i="2"/>
  <c r="L23" i="2"/>
  <c r="H25" i="2"/>
  <c r="D27" i="2"/>
  <c r="L28" i="2"/>
  <c r="H30" i="2"/>
  <c r="M22" i="1"/>
  <c r="L19" i="1"/>
  <c r="M23" i="1"/>
  <c r="M25" i="1"/>
  <c r="H24" i="1"/>
  <c r="H29" i="1"/>
  <c r="H30" i="1"/>
  <c r="I21" i="1"/>
  <c r="I22" i="1"/>
  <c r="M18" i="1"/>
  <c r="H18" i="1"/>
  <c r="E18" i="1"/>
  <c r="K25" i="5"/>
  <c r="K26" i="5"/>
  <c r="K24" i="5"/>
  <c r="L27" i="5"/>
  <c r="J18" i="5"/>
  <c r="J17" i="5"/>
  <c r="J16" i="5"/>
  <c r="J15" i="5"/>
  <c r="I20" i="5"/>
  <c r="I21" i="5"/>
  <c r="I22" i="5"/>
  <c r="I23" i="5"/>
  <c r="I19" i="5"/>
  <c r="E10" i="5"/>
  <c r="E6" i="5"/>
  <c r="F3" i="5"/>
  <c r="F4" i="5"/>
  <c r="F5" i="5"/>
  <c r="E7" i="5"/>
  <c r="E8" i="5"/>
  <c r="E9" i="5"/>
  <c r="G11" i="5"/>
  <c r="G12" i="5"/>
  <c r="G13" i="5"/>
  <c r="H14" i="5"/>
  <c r="A1" i="5"/>
  <c r="G54" i="3"/>
  <c r="G53" i="3"/>
  <c r="G43" i="3"/>
  <c r="F45" i="3"/>
  <c r="F44" i="3"/>
  <c r="F34" i="3"/>
  <c r="E48" i="3"/>
  <c r="E49" i="3"/>
  <c r="E50" i="3"/>
  <c r="E51" i="3"/>
  <c r="E38" i="3"/>
  <c r="C31" i="3"/>
  <c r="A57" i="3"/>
  <c r="B57" i="3"/>
  <c r="C57" i="3"/>
  <c r="H57" i="3" s="1"/>
  <c r="D57" i="3"/>
  <c r="A58" i="3"/>
  <c r="B58" i="3"/>
  <c r="C58" i="3"/>
  <c r="H58" i="3" s="1"/>
  <c r="D58" i="3"/>
  <c r="A32" i="3"/>
  <c r="B32" i="3"/>
  <c r="C32" i="3"/>
  <c r="D32" i="3"/>
  <c r="A33" i="3"/>
  <c r="B33" i="3"/>
  <c r="C33" i="3"/>
  <c r="F33" i="3" s="1"/>
  <c r="D33" i="3"/>
  <c r="A34" i="3"/>
  <c r="B34" i="3"/>
  <c r="C34" i="3"/>
  <c r="D34" i="3"/>
  <c r="A35" i="3"/>
  <c r="B35" i="3"/>
  <c r="C35" i="3"/>
  <c r="E35" i="3" s="1"/>
  <c r="D35" i="3"/>
  <c r="A36" i="3"/>
  <c r="B36" i="3"/>
  <c r="C36" i="3"/>
  <c r="E36" i="3" s="1"/>
  <c r="D36" i="3"/>
  <c r="A37" i="3"/>
  <c r="B37" i="3"/>
  <c r="C37" i="3"/>
  <c r="E37" i="3" s="1"/>
  <c r="D37" i="3"/>
  <c r="A38" i="3"/>
  <c r="B38" i="3"/>
  <c r="C38" i="3"/>
  <c r="D38" i="3"/>
  <c r="A39" i="3"/>
  <c r="B39" i="3"/>
  <c r="C39" i="3"/>
  <c r="E39" i="3" s="1"/>
  <c r="D39" i="3"/>
  <c r="A40" i="3"/>
  <c r="B40" i="3"/>
  <c r="C40" i="3"/>
  <c r="I40" i="3" s="1"/>
  <c r="D40" i="3"/>
  <c r="A41" i="3"/>
  <c r="B41" i="3"/>
  <c r="C41" i="3"/>
  <c r="G41" i="3" s="1"/>
  <c r="D41" i="3"/>
  <c r="A42" i="3"/>
  <c r="B42" i="3"/>
  <c r="C42" i="3"/>
  <c r="G42" i="3" s="1"/>
  <c r="D42" i="3"/>
  <c r="A43" i="3"/>
  <c r="B43" i="3"/>
  <c r="C43" i="3"/>
  <c r="D43" i="3"/>
  <c r="A44" i="3"/>
  <c r="B44" i="3"/>
  <c r="C44" i="3"/>
  <c r="D44" i="3"/>
  <c r="A45" i="3"/>
  <c r="B45" i="3"/>
  <c r="C45" i="3"/>
  <c r="D45" i="3"/>
  <c r="A46" i="3"/>
  <c r="B46" i="3"/>
  <c r="C46" i="3"/>
  <c r="I46" i="3" s="1"/>
  <c r="D46" i="3"/>
  <c r="A47" i="3"/>
  <c r="B47" i="3"/>
  <c r="C47" i="3"/>
  <c r="E47" i="3" s="1"/>
  <c r="D47" i="3"/>
  <c r="A48" i="3"/>
  <c r="B48" i="3"/>
  <c r="C48" i="3"/>
  <c r="D48" i="3"/>
  <c r="A49" i="3"/>
  <c r="B49" i="3"/>
  <c r="C49" i="3"/>
  <c r="D49" i="3"/>
  <c r="A50" i="3"/>
  <c r="B50" i="3"/>
  <c r="C50" i="3"/>
  <c r="D50" i="3"/>
  <c r="A51" i="3"/>
  <c r="B51" i="3"/>
  <c r="C51" i="3"/>
  <c r="D51" i="3"/>
  <c r="A52" i="3"/>
  <c r="B52" i="3"/>
  <c r="C52" i="3"/>
  <c r="G52" i="3" s="1"/>
  <c r="D52" i="3"/>
  <c r="A53" i="3"/>
  <c r="B53" i="3"/>
  <c r="C53" i="3"/>
  <c r="D53" i="3"/>
  <c r="A54" i="3"/>
  <c r="B54" i="3"/>
  <c r="C54" i="3"/>
  <c r="D54" i="3"/>
  <c r="A55" i="3"/>
  <c r="B55" i="3"/>
  <c r="C55" i="3"/>
  <c r="I55" i="3" s="1"/>
  <c r="D55" i="3"/>
  <c r="A56" i="3"/>
  <c r="B56" i="3"/>
  <c r="C56" i="3"/>
  <c r="I56" i="3" s="1"/>
  <c r="D56" i="3"/>
  <c r="D31" i="3"/>
  <c r="D60" i="3" s="1"/>
  <c r="D89" i="3" s="1"/>
  <c r="B31" i="3"/>
</calcChain>
</file>

<file path=xl/sharedStrings.xml><?xml version="1.0" encoding="utf-8"?>
<sst xmlns="http://schemas.openxmlformats.org/spreadsheetml/2006/main" count="400" uniqueCount="92">
  <si>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</si>
  <si>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</si>
  <si>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</si>
  <si>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</si>
  <si>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</si>
  <si>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</si>
  <si>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</si>
  <si>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</si>
  <si>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</si>
  <si>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</si>
  <si>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</si>
  <si>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</si>
  <si>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</si>
  <si>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</si>
  <si>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</si>
  <si>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</si>
  <si>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</si>
  <si>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</si>
  <si>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</si>
  <si>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</si>
  <si>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</si>
  <si>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</si>
  <si>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</si>
  <si>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</si>
  <si>
    <t>Million $USD or unitless</t>
  </si>
  <si>
    <t>2.4 Gt Baseline</t>
  </si>
  <si>
    <t>4.1 Gt Baseline</t>
  </si>
  <si>
    <t>100 Mt Baseline</t>
  </si>
  <si>
    <t>Baseline</t>
  </si>
  <si>
    <t>100 Mt</t>
  </si>
  <si>
    <t>500 Mt</t>
  </si>
  <si>
    <t>2.4 Gt</t>
  </si>
  <si>
    <t>1.5 Gt</t>
  </si>
  <si>
    <t>4.1 Gt</t>
  </si>
  <si>
    <t>NPV of Net Zero Mandate | 12.0% | Trillion $USD</t>
  </si>
  <si>
    <t>NPV of Net Zero Mandate | 20.0% | Trillion $USD</t>
  </si>
  <si>
    <t>Benefits | 2.0%</t>
  </si>
  <si>
    <t>Costs | 2.0%</t>
  </si>
  <si>
    <t>Benefits/Costs | 2.0%</t>
  </si>
  <si>
    <t>Benefits-Costs | 2.0%</t>
  </si>
  <si>
    <t>NPV of Net Zero Mandate | 2.0% | Trillion $USD</t>
  </si>
  <si>
    <t>Abatement size in 2050</t>
  </si>
  <si>
    <t>CDRIA-Rhodium18b</t>
  </si>
  <si>
    <t>Optimal</t>
  </si>
  <si>
    <t>Marginal</t>
  </si>
  <si>
    <t>2% Benefits</t>
  </si>
  <si>
    <t>2% Costs</t>
  </si>
  <si>
    <t>12% Benefits</t>
  </si>
  <si>
    <t>12% Costs</t>
  </si>
  <si>
    <t>20% Benefits</t>
  </si>
  <si>
    <t>20% Costs</t>
  </si>
  <si>
    <t>Effectiveness of CDR</t>
  </si>
  <si>
    <t>CDR (Mt)</t>
  </si>
  <si>
    <t>nzn baseline</t>
  </si>
  <si>
    <t>low baseline</t>
  </si>
  <si>
    <t>rhodium100b low</t>
  </si>
  <si>
    <t>high baseline</t>
  </si>
  <si>
    <t>rhodium100b high</t>
  </si>
  <si>
    <t>excess</t>
  </si>
  <si>
    <t>4gt</t>
  </si>
  <si>
    <t>C emissions (Mt C)</t>
  </si>
  <si>
    <t>C emission (Mt CO2-eq)</t>
  </si>
  <si>
    <t>N/A</t>
  </si>
  <si>
    <t>Additionality of CDR</t>
  </si>
  <si>
    <t>12% discount rate</t>
  </si>
  <si>
    <t>2% discount rate</t>
  </si>
  <si>
    <t>20% discount rate</t>
  </si>
  <si>
    <t>As snapshot of CDR prices in 2050</t>
  </si>
  <si>
    <t>Innovation Scenarios</t>
  </si>
  <si>
    <t>Subsidy Scenarios</t>
  </si>
  <si>
    <t>Procurement Scenarios</t>
  </si>
  <si>
    <t>Optimal Scenarios</t>
  </si>
  <si>
    <t>Baseline Pathways</t>
  </si>
  <si>
    <t>Efficient Pathway</t>
  </si>
  <si>
    <t>Innovation - 500 Mt</t>
  </si>
  <si>
    <t>Subsidy - 500 Mt</t>
  </si>
  <si>
    <t>Procurement - 500 Mt</t>
  </si>
  <si>
    <t>Optimal - 500 Mt</t>
  </si>
  <si>
    <t>Innovation - 1.5 Gt</t>
  </si>
  <si>
    <t>Subsidy - 1.5 Gt</t>
  </si>
  <si>
    <t>Procurement - 1.5 Gt</t>
  </si>
  <si>
    <t>Optimal - 1.5 Gt</t>
  </si>
  <si>
    <t>Negative Benefits are Bad</t>
  </si>
  <si>
    <t>Median Under 12%</t>
  </si>
  <si>
    <t>CI</t>
  </si>
  <si>
    <t>Lower Range</t>
  </si>
  <si>
    <t>Upper Range</t>
  </si>
  <si>
    <t>Mean under 12%</t>
  </si>
  <si>
    <t>500 Mt Baseline</t>
  </si>
  <si>
    <t>1500 Mt Baseline</t>
  </si>
  <si>
    <t>Benefits have sign changed compared to Supplementary Tables 19-30</t>
  </si>
  <si>
    <t>From CO2-CDR Social Costs 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</si>
</sst>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&quot;$&quot;#,##0.00"/>
    <numFmt numFmtId="165" formatCode="0.000"/>
    <numFmt numFmtId="166" formatCode="&quot;$&quot;#,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8" fontId="0" fillId="0" borderId="0" xfId="0" applyNumberFormat="1"/>
    <xf numFmtId="0" fontId="2" fillId="0" borderId="0" xfId="0" applyFont="1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102A"/>
      <color rgb="FF004E60"/>
      <color rgb="FF005041"/>
      <color rgb="FF3A1235"/>
      <color rgb="FF00809E"/>
      <color rgb="FF002B70"/>
      <color rgb="FF0047BB"/>
      <color rgb="FF00B5E2"/>
      <color rgb="FF75246C"/>
      <color rgb="FF00AE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0447783721691276"/>
          <c:y val="3.5891588464031364E-2"/>
          <c:w val="0.72421603788076117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CostsBenefits'!$E$2:$E$27</c:f>
              <c:numCache>
                <c:formatCode>General</c:formatCode>
                <c:ptCount val="26"/>
                <c:pt idx="4" formatCode="&quot;$&quot;#,##0.00_);[Red]\(&quot;$&quot;#,##0.00\)">
                  <c:v>0.41248126069827401</c:v>
                </c:pt>
                <c:pt idx="5" formatCode="&quot;$&quot;#,##0.00_);[Red]\(&quot;$&quot;#,##0.00\)">
                  <c:v>5.0253693987003301</c:v>
                </c:pt>
                <c:pt idx="6" formatCode="&quot;$&quot;#,##0.00_);[Red]\(&quot;$&quot;#,##0.00\)">
                  <c:v>12.921435586799699</c:v>
                </c:pt>
                <c:pt idx="7" formatCode="&quot;$&quot;#,##0.00_);[Red]\(&quot;$&quot;#,##0.00\)">
                  <c:v>8.0272493380455501</c:v>
                </c:pt>
                <c:pt idx="8" formatCode="&quot;$&quot;#,##0.00_);[Red]\(&quot;$&quot;#,##0.00\)">
                  <c:v>9.3501536406274504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2-4BEA-8473-035688DC5CEE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CostsBenefits'!$F$2:$F$27</c:f>
              <c:numCache>
                <c:formatCode>"$"#,##0.00_);[Red]\("$"#,##0.00\)</c:formatCode>
                <c:ptCount val="26"/>
                <c:pt idx="0">
                  <c:v>24.009774422884199</c:v>
                </c:pt>
                <c:pt idx="1">
                  <c:v>48.914657028755293</c:v>
                </c:pt>
                <c:pt idx="2">
                  <c:v>18.6341071918974</c:v>
                </c:pt>
                <c:pt idx="3">
                  <c:v>107.357135510147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02-4BEA-8473-035688DC5CEE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CostsBenefits'!$G$2:$G$27</c:f>
              <c:numCache>
                <c:formatCode>General</c:formatCode>
                <c:ptCount val="26"/>
                <c:pt idx="9" formatCode="&quot;$&quot;#,##0.00_);[Red]\(&quot;$&quot;#,##0.00\)">
                  <c:v>10.7175437780061</c:v>
                </c:pt>
                <c:pt idx="10" formatCode="&quot;$&quot;#,##0.00_);[Red]\(&quot;$&quot;#,##0.00\)">
                  <c:v>43.6877465457071</c:v>
                </c:pt>
                <c:pt idx="11" formatCode="&quot;$&quot;#,##0.00_);[Red]\(&quot;$&quot;#,##0.00\)">
                  <c:v>6.6404507534377402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02-4BEA-8473-035688DC5CEE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CostsBenefits'!$H$2:$H$27</c:f>
              <c:numCache>
                <c:formatCode>General</c:formatCode>
                <c:ptCount val="26"/>
                <c:pt idx="12" formatCode="&quot;$&quot;#,##0.00_);[Red]\(&quot;$&quot;#,##0.00\)">
                  <c:v>29.063628096181301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02-4BEA-8473-035688DC5CEE}"/>
            </c:ext>
          </c:extLst>
        </c:ser>
        <c:ser>
          <c:idx val="5"/>
          <c:order val="4"/>
          <c:tx>
            <c:strRef>
              <c:f>'Plotting Marginal CostsBenefits'!$I$1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CostsBenefits'!$I$2:$I$27</c:f>
              <c:numCache>
                <c:formatCode>General</c:formatCode>
                <c:ptCount val="26"/>
                <c:pt idx="17" formatCode="&quot;$&quot;#,##0.00_);[Red]\(&quot;$&quot;#,##0.00\)">
                  <c:v>0.8791931619102249</c:v>
                </c:pt>
                <c:pt idx="18" formatCode="&quot;$&quot;#,##0.00_);[Red]\(&quot;$&quot;#,##0.00\)">
                  <c:v>8.6747509489999999</c:v>
                </c:pt>
                <c:pt idx="19" formatCode="&quot;$&quot;#,##0.00_);[Red]\(&quot;$&quot;#,##0.00\)">
                  <c:v>21.894339179999999</c:v>
                </c:pt>
                <c:pt idx="20" formatCode="&quot;$&quot;#,##0.00_);[Red]\(&quot;$&quot;#,##0.00\)">
                  <c:v>13.872357640000001</c:v>
                </c:pt>
                <c:pt idx="21" formatCode="&quot;$&quot;#,##0.00_);[Red]\(&quot;$&quot;#,##0.00\)">
                  <c:v>15.910768729999999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02-4BEA-8473-035688DC5CEE}"/>
            </c:ext>
          </c:extLst>
        </c:ser>
        <c:ser>
          <c:idx val="6"/>
          <c:order val="5"/>
          <c:tx>
            <c:strRef>
              <c:f>'Plotting Marginal CostsBenefits'!$J$1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CostsBenefits'!$J$2:$J$27</c:f>
              <c:numCache>
                <c:formatCode>General</c:formatCode>
                <c:ptCount val="26"/>
                <c:pt idx="13" formatCode="&quot;$&quot;#,##0.00_);[Red]\(&quot;$&quot;#,##0.00\)">
                  <c:v>44.358724472512797</c:v>
                </c:pt>
                <c:pt idx="14" formatCode="&quot;$&quot;#,##0.00_);[Red]\(&quot;$&quot;#,##0.00\)">
                  <c:v>118.63645174144401</c:v>
                </c:pt>
                <c:pt idx="15" formatCode="&quot;$&quot;#,##0.00_);[Red]\(&quot;$&quot;#,##0.00\)">
                  <c:v>26.414789086624101</c:v>
                </c:pt>
                <c:pt idx="16" formatCode="&quot;$&quot;#,##0.00_);[Red]\(&quot;$&quot;#,##0.00\)">
                  <c:v>244.02110904411501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02-4BEA-8473-035688DC5CEE}"/>
            </c:ext>
          </c:extLst>
        </c:ser>
        <c:ser>
          <c:idx val="7"/>
          <c:order val="6"/>
          <c:tx>
            <c:strRef>
              <c:f>'Plotting Marginal CostsBenefits'!$K$1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CostsBenefits'!$K$2:$K$27</c:f>
              <c:numCache>
                <c:formatCode>General</c:formatCode>
                <c:ptCount val="26"/>
                <c:pt idx="22" formatCode="&quot;$&quot;#,##0.00_);[Red]\(&quot;$&quot;#,##0.00\)">
                  <c:v>16.549278579999999</c:v>
                </c:pt>
                <c:pt idx="23" formatCode="&quot;$&quot;#,##0.00_);[Red]\(&quot;$&quot;#,##0.00\)">
                  <c:v>50.271576977978299</c:v>
                </c:pt>
                <c:pt idx="24" formatCode="&quot;$&quot;#,##0.00_);[Red]\(&quot;$&quot;#,##0.00\)">
                  <c:v>11.192743119999999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F02-4BEA-8473-035688DC5CEE}"/>
            </c:ext>
          </c:extLst>
        </c:ser>
        <c:ser>
          <c:idx val="8"/>
          <c:order val="7"/>
          <c:tx>
            <c:strRef>
              <c:f>'Plotting Marginal CostsBenefits'!$L$1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CostsBenefits'!$D$2:$D$27</c:f>
              <c:numCache>
                <c:formatCode>"$"#,##0.00_);[Red]\("$"#,##0.00\)</c:formatCode>
                <c:ptCount val="26"/>
                <c:pt idx="0">
                  <c:v>19.507666627389298</c:v>
                </c:pt>
                <c:pt idx="1">
                  <c:v>49.024106181054101</c:v>
                </c:pt>
                <c:pt idx="2">
                  <c:v>30.778911794356603</c:v>
                </c:pt>
                <c:pt idx="3">
                  <c:v>123.20310413121541</c:v>
                </c:pt>
                <c:pt idx="4">
                  <c:v>3.4180807765760002</c:v>
                </c:pt>
                <c:pt idx="5">
                  <c:v>0.97928706998899906</c:v>
                </c:pt>
                <c:pt idx="6">
                  <c:v>6.2991855513266</c:v>
                </c:pt>
                <c:pt idx="7">
                  <c:v>2.0690140113137985</c:v>
                </c:pt>
                <c:pt idx="8">
                  <c:v>2.9827319463466995</c:v>
                </c:pt>
                <c:pt idx="9">
                  <c:v>16.321083694048699</c:v>
                </c:pt>
                <c:pt idx="10">
                  <c:v>297.38680981420038</c:v>
                </c:pt>
                <c:pt idx="11">
                  <c:v>6.3563921801898999</c:v>
                </c:pt>
                <c:pt idx="12">
                  <c:v>20.2996698744101</c:v>
                </c:pt>
                <c:pt idx="13">
                  <c:v>32.373756119478799</c:v>
                </c:pt>
                <c:pt idx="14">
                  <c:v>118.44825738800961</c:v>
                </c:pt>
                <c:pt idx="15">
                  <c:v>43.7023472377834</c:v>
                </c:pt>
                <c:pt idx="16">
                  <c:v>258.09705269067859</c:v>
                </c:pt>
                <c:pt idx="17">
                  <c:v>3.4782184226562003</c:v>
                </c:pt>
                <c:pt idx="18">
                  <c:v>0.97127899051760136</c:v>
                </c:pt>
                <c:pt idx="19">
                  <c:v>6.2458449505176015</c:v>
                </c:pt>
                <c:pt idx="20">
                  <c:v>2.0450444705176016</c:v>
                </c:pt>
                <c:pt idx="21">
                  <c:v>2.9637267405176009</c:v>
                </c:pt>
                <c:pt idx="22">
                  <c:v>16.349541010517601</c:v>
                </c:pt>
                <c:pt idx="23">
                  <c:v>302.97254611755056</c:v>
                </c:pt>
                <c:pt idx="24">
                  <c:v>6.3875267705175993</c:v>
                </c:pt>
                <c:pt idx="25">
                  <c:v>7.4631232878893004</c:v>
                </c:pt>
              </c:numCache>
            </c:numRef>
          </c:xVal>
          <c:yVal>
            <c:numRef>
              <c:f>'Plotting Marginal CostsBenefits'!$L$2:$L$27</c:f>
              <c:numCache>
                <c:formatCode>General</c:formatCode>
                <c:ptCount val="26"/>
                <c:pt idx="25" formatCode="&quot;$&quot;#,##0.00_);[Red]\(&quot;$&quot;#,##0.00\)">
                  <c:v>20.872627605884098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F02-4BEA-8473-035688DC5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50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256135921941052"/>
          <c:y val="0.15835430783364748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2657268053416094"/>
          <c:y val="3.5891588464031364E-2"/>
          <c:w val="0.68818205548579736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CostsBenefits'!$E$32:$E$57</c:f>
              <c:numCache>
                <c:formatCode>General</c:formatCode>
                <c:ptCount val="26"/>
                <c:pt idx="4" formatCode="&quot;$&quot;#,##0.00_);[Red]\(&quot;$&quot;#,##0.00\)">
                  <c:v>0.62911242305952997</c:v>
                </c:pt>
                <c:pt idx="5" formatCode="&quot;$&quot;#,##0.00_);[Red]\(&quot;$&quot;#,##0.00\)">
                  <c:v>24.1876785360786</c:v>
                </c:pt>
                <c:pt idx="6" formatCode="&quot;$&quot;#,##0.00_);[Red]\(&quot;$&quot;#,##0.00\)">
                  <c:v>58.217953069988795</c:v>
                </c:pt>
                <c:pt idx="7" formatCode="&quot;$&quot;#,##0.00_);[Red]\(&quot;$&quot;#,##0.00\)">
                  <c:v>36.532335702793603</c:v>
                </c:pt>
                <c:pt idx="8" formatCode="&quot;$&quot;#,##0.00_);[Red]\(&quot;$&quot;#,##0.00\)">
                  <c:v>43.040120277630102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0B-4289-9AA8-700F5A538146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CostsBenefits'!$F$32:$F$57</c:f>
              <c:numCache>
                <c:formatCode>"$"#,##0.00_);[Red]\("$"#,##0.00\)</c:formatCode>
                <c:ptCount val="26"/>
                <c:pt idx="0">
                  <c:v>87.041623714157296</c:v>
                </c:pt>
                <c:pt idx="1">
                  <c:v>277.18941464709002</c:v>
                </c:pt>
                <c:pt idx="2">
                  <c:v>52.7127567252818</c:v>
                </c:pt>
                <c:pt idx="3">
                  <c:v>568.35747058677691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0B-4289-9AA8-700F5A538146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CostsBenefits'!$G$32:$G$57</c:f>
              <c:numCache>
                <c:formatCode>General</c:formatCode>
                <c:ptCount val="26"/>
                <c:pt idx="9" formatCode="&quot;$&quot;#,##0.00_);[Red]\(&quot;$&quot;#,##0.00\)">
                  <c:v>38.255645925858296</c:v>
                </c:pt>
                <c:pt idx="10" formatCode="&quot;$&quot;#,##0.00_);[Red]\(&quot;$&quot;#,##0.00\)">
                  <c:v>118.894246448717</c:v>
                </c:pt>
                <c:pt idx="11" formatCode="&quot;$&quot;#,##0.00_);[Red]\(&quot;$&quot;#,##0.00\)">
                  <c:v>27.8477754083363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F0B-4289-9AA8-700F5A538146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CostsBenefits'!$H$32:$H$57</c:f>
              <c:numCache>
                <c:formatCode>General</c:formatCode>
                <c:ptCount val="26"/>
                <c:pt idx="12" formatCode="&quot;$&quot;#,##0.00_);[Red]\(&quot;$&quot;#,##0.00\)">
                  <c:v>110.89849631853801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F0B-4289-9AA8-700F5A538146}"/>
            </c:ext>
          </c:extLst>
        </c:ser>
        <c:ser>
          <c:idx val="5"/>
          <c:order val="4"/>
          <c:tx>
            <c:strRef>
              <c:f>'Plotting Marginal CostsBenefits'!$I$1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CostsBenefits'!$I$32:$I$57</c:f>
              <c:numCache>
                <c:formatCode>General</c:formatCode>
                <c:ptCount val="26"/>
                <c:pt idx="17" formatCode="&quot;$&quot;#,##0.00_);[Red]\(&quot;$&quot;#,##0.00\)">
                  <c:v>3.7271947617020902</c:v>
                </c:pt>
                <c:pt idx="18" formatCode="&quot;$&quot;#,##0.00_);[Red]\(&quot;$&quot;#,##0.00\)">
                  <c:v>45.921597500000004</c:v>
                </c:pt>
                <c:pt idx="19" formatCode="&quot;$&quot;#,##0.00_);[Red]\(&quot;$&quot;#,##0.00\)">
                  <c:v>107.0726366</c:v>
                </c:pt>
                <c:pt idx="20" formatCode="&quot;$&quot;#,##0.00_);[Red]\(&quot;$&quot;#,##0.00\)">
                  <c:v>69.242862210000013</c:v>
                </c:pt>
                <c:pt idx="21" formatCode="&quot;$&quot;#,##0.00_);[Red]\(&quot;$&quot;#,##0.00\)">
                  <c:v>81.117731169999999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F0B-4289-9AA8-700F5A538146}"/>
            </c:ext>
          </c:extLst>
        </c:ser>
        <c:ser>
          <c:idx val="6"/>
          <c:order val="5"/>
          <c:tx>
            <c:strRef>
              <c:f>'Plotting Marginal CostsBenefits'!$J$1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CostsBenefits'!$J$32:$J$57</c:f>
              <c:numCache>
                <c:formatCode>General</c:formatCode>
                <c:ptCount val="26"/>
                <c:pt idx="13" formatCode="&quot;$&quot;#,##0.00_);[Red]\(&quot;$&quot;#,##0.00\)">
                  <c:v>169.78338393730101</c:v>
                </c:pt>
                <c:pt idx="14" formatCode="&quot;$&quot;#,##0.00_);[Red]\(&quot;$&quot;#,##0.00\)">
                  <c:v>754.77402503940107</c:v>
                </c:pt>
                <c:pt idx="15" formatCode="&quot;$&quot;#,##0.00_);[Red]\(&quot;$&quot;#,##0.00\)">
                  <c:v>85.029801215989494</c:v>
                </c:pt>
                <c:pt idx="16" formatCode="&quot;$&quot;#,##0.00_);[Red]\(&quot;$&quot;#,##0.00\)">
                  <c:v>1464.9897871615401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F0B-4289-9AA8-700F5A538146}"/>
            </c:ext>
          </c:extLst>
        </c:ser>
        <c:ser>
          <c:idx val="7"/>
          <c:order val="6"/>
          <c:tx>
            <c:strRef>
              <c:f>'Plotting Marginal CostsBenefits'!$K$1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CostsBenefits'!$K$32:$K$57</c:f>
              <c:numCache>
                <c:formatCode>General</c:formatCode>
                <c:ptCount val="26"/>
                <c:pt idx="22" formatCode="&quot;$&quot;#,##0.00_);[Red]\(&quot;$&quot;#,##0.00\)">
                  <c:v>70.006101200000003</c:v>
                </c:pt>
                <c:pt idx="23" formatCode="&quot;$&quot;#,##0.00_);[Red]\(&quot;$&quot;#,##0.00\)">
                  <c:v>185.02690859979998</c:v>
                </c:pt>
                <c:pt idx="24" formatCode="&quot;$&quot;#,##0.00_);[Red]\(&quot;$&quot;#,##0.00\)">
                  <c:v>52.677846719999998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F0B-4289-9AA8-700F5A538146}"/>
            </c:ext>
          </c:extLst>
        </c:ser>
        <c:ser>
          <c:idx val="8"/>
          <c:order val="7"/>
          <c:tx>
            <c:strRef>
              <c:f>'Plotting Marginal CostsBenefits'!$L$1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CostsBenefits'!$D$32:$D$57</c:f>
              <c:numCache>
                <c:formatCode>"$"#,##0.00_);[Red]\("$"#,##0.00\)</c:formatCode>
                <c:ptCount val="26"/>
                <c:pt idx="0">
                  <c:v>55.215053146678599</c:v>
                </c:pt>
                <c:pt idx="1">
                  <c:v>272.17378966586114</c:v>
                </c:pt>
                <c:pt idx="2">
                  <c:v>60.824649079375007</c:v>
                </c:pt>
                <c:pt idx="3">
                  <c:v>630.34279779581107</c:v>
                </c:pt>
                <c:pt idx="4">
                  <c:v>4.1262415688571004</c:v>
                </c:pt>
                <c:pt idx="5">
                  <c:v>2.3370840578976004</c:v>
                </c:pt>
                <c:pt idx="6">
                  <c:v>14.708132878070801</c:v>
                </c:pt>
                <c:pt idx="7">
                  <c:v>4.8598610157378985</c:v>
                </c:pt>
                <c:pt idx="8">
                  <c:v>7.0714240773678014</c:v>
                </c:pt>
                <c:pt idx="9">
                  <c:v>27.844316551196702</c:v>
                </c:pt>
                <c:pt idx="10">
                  <c:v>1176.2483637984021</c:v>
                </c:pt>
                <c:pt idx="11">
                  <c:v>11.354460030213499</c:v>
                </c:pt>
                <c:pt idx="12">
                  <c:v>56.978455524179303</c:v>
                </c:pt>
                <c:pt idx="13">
                  <c:v>94.455205551250813</c:v>
                </c:pt>
                <c:pt idx="14">
                  <c:v>749.14981794569087</c:v>
                </c:pt>
                <c:pt idx="15">
                  <c:v>87.081623661185802</c:v>
                </c:pt>
                <c:pt idx="16">
                  <c:v>1470.3129361080937</c:v>
                </c:pt>
                <c:pt idx="17">
                  <c:v>4.2101375662191982</c:v>
                </c:pt>
                <c:pt idx="18">
                  <c:v>2.325912385023801</c:v>
                </c:pt>
                <c:pt idx="19">
                  <c:v>14.633717565023801</c:v>
                </c:pt>
                <c:pt idx="20">
                  <c:v>4.8264201050237991</c:v>
                </c:pt>
                <c:pt idx="21">
                  <c:v>7.0449094950238011</c:v>
                </c:pt>
                <c:pt idx="22">
                  <c:v>27.911243325023797</c:v>
                </c:pt>
                <c:pt idx="23">
                  <c:v>1207.1386077176137</c:v>
                </c:pt>
                <c:pt idx="24">
                  <c:v>11.419991415023802</c:v>
                </c:pt>
                <c:pt idx="25">
                  <c:v>13.903174194054902</c:v>
                </c:pt>
              </c:numCache>
            </c:numRef>
          </c:xVal>
          <c:yVal>
            <c:numRef>
              <c:f>'Plotting Marginal CostsBenefits'!$L$32:$L$57</c:f>
              <c:numCache>
                <c:formatCode>General</c:formatCode>
                <c:ptCount val="26"/>
                <c:pt idx="25" formatCode="&quot;$&quot;#,##0.00_);[Red]\(&quot;$&quot;#,##0.00\)">
                  <c:v>107.282405397856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F0B-4289-9AA8-700F5A538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1600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  <c:max val="160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583712073923281"/>
          <c:y val="9.361730826614241E-2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38144138436951"/>
          <c:y val="3.5891588464031364E-2"/>
          <c:w val="0.72094032217626325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CostsBenefits'!$E$67:$E$92</c:f>
              <c:numCache>
                <c:formatCode>General</c:formatCode>
                <c:ptCount val="26"/>
                <c:pt idx="4" formatCode="&quot;$&quot;#,##0.00_);[Red]\(&quot;$&quot;#,##0.00\)">
                  <c:v>0.33561574049935</c:v>
                </c:pt>
                <c:pt idx="5" formatCode="&quot;$&quot;#,##0.00_);[Red]\(&quot;$&quot;#,##0.00\)">
                  <c:v>2.03674772368365</c:v>
                </c:pt>
                <c:pt idx="6" formatCode="&quot;$&quot;#,##0.00_);[Red]\(&quot;$&quot;#,##0.00\)">
                  <c:v>5.3638813822450304</c:v>
                </c:pt>
                <c:pt idx="7" formatCode="&quot;$&quot;#,##0.00_);[Red]\(&quot;$&quot;#,##0.00\)">
                  <c:v>3.2927796969207503</c:v>
                </c:pt>
                <c:pt idx="8" formatCode="&quot;$&quot;#,##0.00_);[Red]\(&quot;$&quot;#,##0.00\)">
                  <c:v>3.94821129977616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5-4451-BD4A-48C7DB21EC86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CostsBenefits'!$F$67:$F$92</c:f>
              <c:numCache>
                <c:formatCode>"$"#,##0.00_);[Red]\("$"#,##0.00\)</c:formatCode>
                <c:ptCount val="26"/>
                <c:pt idx="0">
                  <c:v>10.209740402372299</c:v>
                </c:pt>
                <c:pt idx="1">
                  <c:v>15.9803982211468</c:v>
                </c:pt>
                <c:pt idx="2">
                  <c:v>10.131117210587</c:v>
                </c:pt>
                <c:pt idx="3">
                  <c:v>37.918655503970797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F5-4451-BD4A-48C7DB21EC86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CostsBenefits'!$G$67:$G$92</c:f>
              <c:numCache>
                <c:formatCode>General</c:formatCode>
                <c:ptCount val="26"/>
                <c:pt idx="9" formatCode="&quot;$&quot;#,##0.00_);[Red]\(&quot;$&quot;#,##0.00\)">
                  <c:v>5.7158742587877693</c:v>
                </c:pt>
                <c:pt idx="10" formatCode="&quot;$&quot;#,##0.00_);[Red]\(&quot;$&quot;#,##0.00\)">
                  <c:v>25.574064566239599</c:v>
                </c:pt>
                <c:pt idx="11" formatCode="&quot;$&quot;#,##0.00_);[Red]\(&quot;$&quot;#,##0.00\)">
                  <c:v>3.0937558246702901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F5-4451-BD4A-48C7DB21EC86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CostsBenefits'!$H$67:$H$92</c:f>
              <c:numCache>
                <c:formatCode>General</c:formatCode>
                <c:ptCount val="26"/>
                <c:pt idx="12" formatCode="&quot;$&quot;#,##0.00_);[Red]\(&quot;$&quot;#,##0.00\)">
                  <c:v>12.2700831571496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F5-4451-BD4A-48C7DB21EC86}"/>
            </c:ext>
          </c:extLst>
        </c:ser>
        <c:ser>
          <c:idx val="5"/>
          <c:order val="4"/>
          <c:tx>
            <c:strRef>
              <c:f>'Plotting Marginal CostsBenefits'!$I$1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CostsBenefits'!$I$67:$I$92</c:f>
              <c:numCache>
                <c:formatCode>General</c:formatCode>
                <c:ptCount val="26"/>
                <c:pt idx="17" formatCode="&quot;$&quot;#,##0.00_);[Red]\(&quot;$&quot;#,##0.00\)">
                  <c:v>0.49459745807002703</c:v>
                </c:pt>
                <c:pt idx="18" formatCode="&quot;$&quot;#,##0.00_);[Red]\(&quot;$&quot;#,##0.00\)">
                  <c:v>3.1989574539999999</c:v>
                </c:pt>
                <c:pt idx="19" formatCode="&quot;$&quot;#,##0.00_);[Red]\(&quot;$&quot;#,##0.00\)">
                  <c:v>8.5145423079999993</c:v>
                </c:pt>
                <c:pt idx="20" formatCode="&quot;$&quot;#,##0.00_);[Red]\(&quot;$&quot;#,##0.00\)">
                  <c:v>5.2839158260000003</c:v>
                </c:pt>
                <c:pt idx="21" formatCode="&quot;$&quot;#,##0.00_);[Red]\(&quot;$&quot;#,##0.00\)">
                  <c:v>6.1108874349999995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F5-4451-BD4A-48C7DB21EC86}"/>
            </c:ext>
          </c:extLst>
        </c:ser>
        <c:ser>
          <c:idx val="6"/>
          <c:order val="5"/>
          <c:tx>
            <c:strRef>
              <c:f>'Plotting Marginal CostsBenefits'!$J$1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CostsBenefits'!$J$67:$J$92</c:f>
              <c:numCache>
                <c:formatCode>General</c:formatCode>
                <c:ptCount val="26"/>
                <c:pt idx="13" formatCode="&quot;$&quot;#,##0.00_);[Red]\(&quot;$&quot;#,##0.00\)">
                  <c:v>18.237934782227903</c:v>
                </c:pt>
                <c:pt idx="14" formatCode="&quot;$&quot;#,##0.00_);[Red]\(&quot;$&quot;#,##0.00\)">
                  <c:v>35.032953427482198</c:v>
                </c:pt>
                <c:pt idx="15" formatCode="&quot;$&quot;#,##0.00_);[Red]\(&quot;$&quot;#,##0.00\)">
                  <c:v>13.6691705387663</c:v>
                </c:pt>
                <c:pt idx="16" formatCode="&quot;$&quot;#,##0.00_);[Red]\(&quot;$&quot;#,##0.00\)">
                  <c:v>77.084450851909907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5F5-4451-BD4A-48C7DB21EC86}"/>
            </c:ext>
          </c:extLst>
        </c:ser>
        <c:ser>
          <c:idx val="7"/>
          <c:order val="6"/>
          <c:tx>
            <c:strRef>
              <c:f>'Plotting Marginal CostsBenefits'!$K$1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CostsBenefits'!$K$67:$K$92</c:f>
              <c:numCache>
                <c:formatCode>General</c:formatCode>
                <c:ptCount val="26"/>
                <c:pt idx="22" formatCode="&quot;$&quot;#,##0.00_);[Red]\(&quot;$&quot;#,##0.00\)">
                  <c:v>7.7739790500000003</c:v>
                </c:pt>
                <c:pt idx="23" formatCode="&quot;$&quot;#,##0.00_);[Red]\(&quot;$&quot;#,##0.00\)">
                  <c:v>26.217887908184199</c:v>
                </c:pt>
                <c:pt idx="24" formatCode="&quot;$&quot;#,##0.00_);[Red]\(&quot;$&quot;#,##0.00\)">
                  <c:v>4.6815642999999998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5F5-4451-BD4A-48C7DB21EC86}"/>
            </c:ext>
          </c:extLst>
        </c:ser>
        <c:ser>
          <c:idx val="8"/>
          <c:order val="7"/>
          <c:tx>
            <c:strRef>
              <c:f>'Plotting Marginal CostsBenefits'!$L$1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5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'Plotting Marginal CostsBenefits'!$D$67:$D$92</c:f>
              <c:numCache>
                <c:formatCode>"$"#,##0.00_);[Red]\("$"#,##0.00\)</c:formatCode>
                <c:ptCount val="26"/>
                <c:pt idx="0">
                  <c:v>9.476218021083989</c:v>
                </c:pt>
                <c:pt idx="1">
                  <c:v>16.568117338946593</c:v>
                </c:pt>
                <c:pt idx="2">
                  <c:v>19.137170013317693</c:v>
                </c:pt>
                <c:pt idx="3">
                  <c:v>45.651924713912997</c:v>
                </c:pt>
                <c:pt idx="4">
                  <c:v>3.0119272354747899</c:v>
                </c:pt>
                <c:pt idx="5">
                  <c:v>0.64868348327826975</c:v>
                </c:pt>
                <c:pt idx="6">
                  <c:v>3.5095880533935908</c:v>
                </c:pt>
                <c:pt idx="7">
                  <c:v>1.1456123160236911</c:v>
                </c:pt>
                <c:pt idx="8">
                  <c:v>1.9826901417550908</c:v>
                </c:pt>
                <c:pt idx="9">
                  <c:v>11.417559116321593</c:v>
                </c:pt>
                <c:pt idx="10">
                  <c:v>138.93530596719577</c:v>
                </c:pt>
                <c:pt idx="11">
                  <c:v>4.3122304298988912</c:v>
                </c:pt>
                <c:pt idx="12">
                  <c:v>10.039370991663089</c:v>
                </c:pt>
                <c:pt idx="13">
                  <c:v>15.35711737145612</c:v>
                </c:pt>
                <c:pt idx="14">
                  <c:v>35.469894501100818</c:v>
                </c:pt>
                <c:pt idx="15">
                  <c:v>26.98339696665612</c:v>
                </c:pt>
                <c:pt idx="16">
                  <c:v>86.588878581692811</c:v>
                </c:pt>
                <c:pt idx="17">
                  <c:v>3.059409534844721</c:v>
                </c:pt>
                <c:pt idx="18">
                  <c:v>0.6423605549173208</c:v>
                </c:pt>
                <c:pt idx="19">
                  <c:v>3.4674732449173207</c:v>
                </c:pt>
                <c:pt idx="20">
                  <c:v>1.1266878249173204</c:v>
                </c:pt>
                <c:pt idx="21">
                  <c:v>1.9676849149173194</c:v>
                </c:pt>
                <c:pt idx="22">
                  <c:v>11.432142664917318</c:v>
                </c:pt>
                <c:pt idx="23">
                  <c:v>140.55513866259832</c:v>
                </c:pt>
                <c:pt idx="24">
                  <c:v>4.3304415549173205</c:v>
                </c:pt>
                <c:pt idx="25">
                  <c:v>5.0522583347774201</c:v>
                </c:pt>
              </c:numCache>
            </c:numRef>
          </c:xVal>
          <c:yVal>
            <c:numRef>
              <c:f>'Plotting Marginal CostsBenefits'!$L$67:$L$92</c:f>
              <c:numCache>
                <c:formatCode>General</c:formatCode>
                <c:ptCount val="26"/>
                <c:pt idx="25" formatCode="&quot;$&quot;#,##0.00_);[Red]\(&quot;$&quot;#,##0.00\)">
                  <c:v>8.1740890987246004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5F5-4451-BD4A-48C7DB21E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2957181115719314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 val="autoZero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4.4969831580597853E-3"/>
              <c:y val="0.310426264322227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911294740827941"/>
          <c:y val="0.14341500024114631"/>
          <c:w val="0.71286676951640582"/>
          <c:h val="0.1182577552063094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5-412D-B7FE-A27E6D86BF6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0.64785695536394483</c:v>
                </c:pt>
                <c:pt idx="2">
                  <c:v>2.2459408657409443E-3</c:v>
                </c:pt>
                <c:pt idx="12">
                  <c:v>2.2923311819484971</c:v>
                </c:pt>
                <c:pt idx="13">
                  <c:v>2.3877980534629502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5-412D-B7FE-A27E6D86BF6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EB5-412D-B7FE-A27E6D86BF6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-2.1509758877512724</c:v>
                </c:pt>
                <c:pt idx="26">
                  <c:v>2.4526831516616943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B5-412D-B7FE-A27E6D86BF6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8">
                  <c:v>1.5349199946093965</c:v>
                </c:pt>
                <c:pt idx="14">
                  <c:v>4.073413175736218</c:v>
                </c:pt>
                <c:pt idx="23">
                  <c:v>3.3410490344405526</c:v>
                </c:pt>
                <c:pt idx="24">
                  <c:v>4.778714292207316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EB5-412D-B7FE-A27E6D86BF66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Mandate'!$J$32:$J$58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36-407F-94DA-4FE9742D9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0312921934495736"/>
          <c:y val="2.1410654902386739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69-4630-A422-526D25E52A1C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0.64785695536394483</c:v>
                </c:pt>
                <c:pt idx="2">
                  <c:v>2.2459408657409443E-3</c:v>
                </c:pt>
                <c:pt idx="12">
                  <c:v>2.2923311819484971</c:v>
                </c:pt>
                <c:pt idx="13">
                  <c:v>2.3877980534629502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69-4630-A422-526D25E52A1C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69-4630-A422-526D25E52A1C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-2.1509758877512724</c:v>
                </c:pt>
                <c:pt idx="26">
                  <c:v>2.4526831516616943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69-4630-A422-526D25E52A1C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8">
                  <c:v>1.5349199946093965</c:v>
                </c:pt>
                <c:pt idx="14">
                  <c:v>4.073413175736218</c:v>
                </c:pt>
                <c:pt idx="23">
                  <c:v>3.3410490344405526</c:v>
                </c:pt>
                <c:pt idx="24">
                  <c:v>4.778714292207316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B69-4630-A422-526D25E52A1C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Mandate'!$J$32:$J$58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B69-4630-A422-526D25E52A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2"/>
          <c:min val="-6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</c:valAx>
      <c:valAx>
        <c:axId val="688359152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Mandate'!$E$61:$E$87</c:f>
              <c:numCache>
                <c:formatCode>General</c:formatCode>
                <c:ptCount val="27"/>
                <c:pt idx="3" formatCode="0.00">
                  <c:v>0.64724767761331869</c:v>
                </c:pt>
                <c:pt idx="4" formatCode="0.00">
                  <c:v>1.3577275897072081</c:v>
                </c:pt>
                <c:pt idx="5" formatCode="0.00">
                  <c:v>2.3153381298881297</c:v>
                </c:pt>
                <c:pt idx="6" formatCode="0.00">
                  <c:v>1.6348546043849213</c:v>
                </c:pt>
                <c:pt idx="7" formatCode="0.00">
                  <c:v>1.6529080927729902</c:v>
                </c:pt>
                <c:pt idx="15" formatCode="0.00">
                  <c:v>2.1220956593986737</c:v>
                </c:pt>
                <c:pt idx="16" formatCode="0.00">
                  <c:v>3.0824499174664326</c:v>
                </c:pt>
                <c:pt idx="17" formatCode="0.00">
                  <c:v>2.9048414488544982</c:v>
                </c:pt>
                <c:pt idx="18" formatCode="0.00">
                  <c:v>3.1400272434202559</c:v>
                </c:pt>
                <c:pt idx="19" formatCode="0.00">
                  <c:v>3.0444641251640361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63-4DD8-ABE7-3D78BE972182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Mandate'!$F$61:$F$87</c:f>
              <c:numCache>
                <c:formatCode>0.00</c:formatCode>
                <c:ptCount val="27"/>
                <c:pt idx="1">
                  <c:v>0.98599472057171911</c:v>
                </c:pt>
                <c:pt idx="2">
                  <c:v>0.44448412606722876</c:v>
                </c:pt>
                <c:pt idx="12">
                  <c:v>2.5637816421080228</c:v>
                </c:pt>
                <c:pt idx="13">
                  <c:v>2.8356658504593448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63-4DD8-ABE7-3D78BE972182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Mandate'!$G$61:$G$87</c:f>
              <c:numCache>
                <c:formatCode>General</c:formatCode>
                <c:ptCount val="27"/>
                <c:pt idx="9" formatCode="0.00">
                  <c:v>2.5994756304123183</c:v>
                </c:pt>
                <c:pt idx="10" formatCode="0.00">
                  <c:v>8.3515011746760219</c:v>
                </c:pt>
                <c:pt idx="11" formatCode="0.00">
                  <c:v>1.5468320344764317</c:v>
                </c:pt>
                <c:pt idx="20" formatCode="0.00">
                  <c:v>4.7171586472895424</c:v>
                </c:pt>
                <c:pt idx="21" formatCode="0.00">
                  <c:v>10.029059099755278</c:v>
                </c:pt>
                <c:pt idx="22" formatCode="0.00">
                  <c:v>3.8789631751289115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63-4DD8-ABE7-3D78BE972182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Mandate'!$H$61:$H$87</c:f>
              <c:numCache>
                <c:formatCode>General</c:formatCode>
                <c:ptCount val="27"/>
                <c:pt idx="25" formatCode="0.00">
                  <c:v>-3.4159600524698353</c:v>
                </c:pt>
                <c:pt idx="26" formatCode="0.00">
                  <c:v>6.0516224069731308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63-4DD8-ABE7-3D78BE972182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Mandate'!$I$61:$I$87</c:f>
              <c:numCache>
                <c:formatCode>General</c:formatCode>
                <c:ptCount val="27"/>
                <c:pt idx="8" formatCode="0.00">
                  <c:v>1.5453796931733457</c:v>
                </c:pt>
                <c:pt idx="14" formatCode="0.00">
                  <c:v>4.0706852143436585</c:v>
                </c:pt>
                <c:pt idx="23" formatCode="0.00">
                  <c:v>4.3174474451754374</c:v>
                </c:pt>
                <c:pt idx="24" formatCode="0.00">
                  <c:v>5.0029688506972843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63-4DD8-ABE7-3D78BE972182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Mandate'!$J$61:$J$87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63-4DD8-ABE7-3D78BE972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1909728178313508"/>
          <c:y val="3.6349962494887894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644283478551695E-2"/>
          <c:y val="3.5891588464031364E-2"/>
          <c:w val="0.88326466228266431"/>
          <c:h val="0.90894903735571908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Mandate'!$E$61:$E$87</c:f>
              <c:numCache>
                <c:formatCode>General</c:formatCode>
                <c:ptCount val="27"/>
                <c:pt idx="3" formatCode="0.00">
                  <c:v>0.64724767761331869</c:v>
                </c:pt>
                <c:pt idx="4" formatCode="0.00">
                  <c:v>1.3577275897072081</c:v>
                </c:pt>
                <c:pt idx="5" formatCode="0.00">
                  <c:v>2.3153381298881297</c:v>
                </c:pt>
                <c:pt idx="6" formatCode="0.00">
                  <c:v>1.6348546043849213</c:v>
                </c:pt>
                <c:pt idx="7" formatCode="0.00">
                  <c:v>1.6529080927729902</c:v>
                </c:pt>
                <c:pt idx="15" formatCode="0.00">
                  <c:v>2.1220956593986737</c:v>
                </c:pt>
                <c:pt idx="16" formatCode="0.00">
                  <c:v>3.0824499174664326</c:v>
                </c:pt>
                <c:pt idx="17" formatCode="0.00">
                  <c:v>2.9048414488544982</c:v>
                </c:pt>
                <c:pt idx="18" formatCode="0.00">
                  <c:v>3.1400272434202559</c:v>
                </c:pt>
                <c:pt idx="19" formatCode="0.00">
                  <c:v>3.0444641251640361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A8-4728-8741-439E240FC25B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Mandate'!$F$61:$F$87</c:f>
              <c:numCache>
                <c:formatCode>0.00</c:formatCode>
                <c:ptCount val="27"/>
                <c:pt idx="1">
                  <c:v>0.98599472057171911</c:v>
                </c:pt>
                <c:pt idx="2">
                  <c:v>0.44448412606722876</c:v>
                </c:pt>
                <c:pt idx="12">
                  <c:v>2.5637816421080228</c:v>
                </c:pt>
                <c:pt idx="13">
                  <c:v>2.8356658504593448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A8-4728-8741-439E240FC25B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Mandate'!$G$61:$G$87</c:f>
              <c:numCache>
                <c:formatCode>General</c:formatCode>
                <c:ptCount val="27"/>
                <c:pt idx="9" formatCode="0.00">
                  <c:v>2.5994756304123183</c:v>
                </c:pt>
                <c:pt idx="10" formatCode="0.00">
                  <c:v>8.3515011746760219</c:v>
                </c:pt>
                <c:pt idx="11" formatCode="0.00">
                  <c:v>1.5468320344764317</c:v>
                </c:pt>
                <c:pt idx="20" formatCode="0.00">
                  <c:v>4.7171586472895424</c:v>
                </c:pt>
                <c:pt idx="21" formatCode="0.00">
                  <c:v>10.029059099755278</c:v>
                </c:pt>
                <c:pt idx="22" formatCode="0.00">
                  <c:v>3.8789631751289115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A8-4728-8741-439E240FC25B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Mandate'!$H$61:$H$87</c:f>
              <c:numCache>
                <c:formatCode>General</c:formatCode>
                <c:ptCount val="27"/>
                <c:pt idx="25" formatCode="0.00">
                  <c:v>-3.4159600524698353</c:v>
                </c:pt>
                <c:pt idx="26" formatCode="0.00">
                  <c:v>6.0516224069731308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A8-4728-8741-439E240FC25B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Mandate'!$I$61:$I$87</c:f>
              <c:numCache>
                <c:formatCode>General</c:formatCode>
                <c:ptCount val="27"/>
                <c:pt idx="8" formatCode="0.00">
                  <c:v>1.5453796931733457</c:v>
                </c:pt>
                <c:pt idx="14" formatCode="0.00">
                  <c:v>4.0706852143436585</c:v>
                </c:pt>
                <c:pt idx="23" formatCode="0.00">
                  <c:v>4.3174474451754374</c:v>
                </c:pt>
                <c:pt idx="24" formatCode="0.00">
                  <c:v>5.0029688506972843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A8-4728-8741-439E240FC25B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Mandate'!$J$61:$J$87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6A8-4728-8741-439E240FC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"/>
          <c:min val="-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Mandate'!$E$90:$E$116</c:f>
              <c:numCache>
                <c:formatCode>General</c:formatCode>
                <c:ptCount val="27"/>
                <c:pt idx="3" formatCode="0.00">
                  <c:v>1.0932573496051559</c:v>
                </c:pt>
                <c:pt idx="4" formatCode="0.00">
                  <c:v>1.6946076320487724</c:v>
                </c:pt>
                <c:pt idx="5" formatCode="0.00">
                  <c:v>3.2502144071938046</c:v>
                </c:pt>
                <c:pt idx="6" formatCode="0.00">
                  <c:v>2.1049050122513044</c:v>
                </c:pt>
                <c:pt idx="7" formatCode="0.00">
                  <c:v>2.2091624983315339</c:v>
                </c:pt>
                <c:pt idx="15" formatCode="0.00">
                  <c:v>2.693095733872942</c:v>
                </c:pt>
                <c:pt idx="16" formatCode="0.00">
                  <c:v>3.5163830940418412</c:v>
                </c:pt>
                <c:pt idx="17" formatCode="0.00">
                  <c:v>4.2476127361252409</c:v>
                </c:pt>
                <c:pt idx="18" formatCode="0.00">
                  <c:v>3.7562358691096911</c:v>
                </c:pt>
                <c:pt idx="19" formatCode="0.00">
                  <c:v>3.7941739897941655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2F-4014-A1E1-C3D25F69425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Mandate'!$F$90:$F$116</c:f>
              <c:numCache>
                <c:formatCode>0.00</c:formatCode>
                <c:ptCount val="27"/>
                <c:pt idx="1">
                  <c:v>1.3438885594409384</c:v>
                </c:pt>
                <c:pt idx="2">
                  <c:v>0.84723170018844907</c:v>
                </c:pt>
                <c:pt idx="12">
                  <c:v>2.9242921759498324</c:v>
                </c:pt>
                <c:pt idx="13">
                  <c:v>3.2080184026842988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2F-4014-A1E1-C3D25F69425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Mandate'!$G$90:$G$116</c:f>
              <c:numCache>
                <c:formatCode>General</c:formatCode>
                <c:ptCount val="27"/>
                <c:pt idx="9" formatCode="0.00">
                  <c:v>4.0670809313292864</c:v>
                </c:pt>
                <c:pt idx="10" formatCode="0.00">
                  <c:v>10.956263412283258</c:v>
                </c:pt>
                <c:pt idx="11" formatCode="0.00">
                  <c:v>1.9108299722709272</c:v>
                </c:pt>
                <c:pt idx="20" formatCode="0.00">
                  <c:v>6.1482838611335504</c:v>
                </c:pt>
                <c:pt idx="21" formatCode="0.00">
                  <c:v>12.663601837356222</c:v>
                </c:pt>
                <c:pt idx="22" formatCode="0.00">
                  <c:v>4.293953690244436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2F-4014-A1E1-C3D25F69425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Mandate'!$H$90:$H$116</c:f>
              <c:numCache>
                <c:formatCode>General</c:formatCode>
                <c:ptCount val="27"/>
                <c:pt idx="25" formatCode="0.00">
                  <c:v>-4.1388574181998177</c:v>
                </c:pt>
                <c:pt idx="26">
                  <c:v>7.6155443923701611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2F-4014-A1E1-C3D25F69425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Mandate'!$I$90:$I$116</c:f>
              <c:numCache>
                <c:formatCode>General</c:formatCode>
                <c:ptCount val="27"/>
                <c:pt idx="8" formatCode="0.00">
                  <c:v>1.5827998282841693</c:v>
                </c:pt>
                <c:pt idx="14" formatCode="0.00">
                  <c:v>4.0371470003985861</c:v>
                </c:pt>
                <c:pt idx="23" formatCode="0.00">
                  <c:v>4.7441533574965318</c:v>
                </c:pt>
                <c:pt idx="24" formatCode="0.00">
                  <c:v>5.4960134486937662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32F-4014-A1E1-C3D25F694256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Mandate'!$J$90:$J$116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32F-4014-A1E1-C3D25F694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1909728178313508"/>
          <c:y val="3.6349962494887894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6081979924786658E-2"/>
          <c:y val="3.5891588464031364E-2"/>
          <c:w val="0.88782696583642939"/>
          <c:h val="0.89914732235457606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Mandate'!$E$90:$E$116</c:f>
              <c:numCache>
                <c:formatCode>General</c:formatCode>
                <c:ptCount val="27"/>
                <c:pt idx="3" formatCode="0.00">
                  <c:v>1.0932573496051559</c:v>
                </c:pt>
                <c:pt idx="4" formatCode="0.00">
                  <c:v>1.6946076320487724</c:v>
                </c:pt>
                <c:pt idx="5" formatCode="0.00">
                  <c:v>3.2502144071938046</c:v>
                </c:pt>
                <c:pt idx="6" formatCode="0.00">
                  <c:v>2.1049050122513044</c:v>
                </c:pt>
                <c:pt idx="7" formatCode="0.00">
                  <c:v>2.2091624983315339</c:v>
                </c:pt>
                <c:pt idx="15" formatCode="0.00">
                  <c:v>2.693095733872942</c:v>
                </c:pt>
                <c:pt idx="16" formatCode="0.00">
                  <c:v>3.5163830940418412</c:v>
                </c:pt>
                <c:pt idx="17" formatCode="0.00">
                  <c:v>4.2476127361252409</c:v>
                </c:pt>
                <c:pt idx="18" formatCode="0.00">
                  <c:v>3.7562358691096911</c:v>
                </c:pt>
                <c:pt idx="19" formatCode="0.00">
                  <c:v>3.7941739897941655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F8-4E1A-A795-4BF49B2488CA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Mandate'!$F$90:$F$116</c:f>
              <c:numCache>
                <c:formatCode>0.00</c:formatCode>
                <c:ptCount val="27"/>
                <c:pt idx="1">
                  <c:v>1.3438885594409384</c:v>
                </c:pt>
                <c:pt idx="2">
                  <c:v>0.84723170018844907</c:v>
                </c:pt>
                <c:pt idx="12">
                  <c:v>2.9242921759498324</c:v>
                </c:pt>
                <c:pt idx="13">
                  <c:v>3.2080184026842988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F8-4E1A-A795-4BF49B2488CA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Mandate'!$G$90:$G$116</c:f>
              <c:numCache>
                <c:formatCode>General</c:formatCode>
                <c:ptCount val="27"/>
                <c:pt idx="9" formatCode="0.00">
                  <c:v>4.0670809313292864</c:v>
                </c:pt>
                <c:pt idx="10" formatCode="0.00">
                  <c:v>10.956263412283258</c:v>
                </c:pt>
                <c:pt idx="11" formatCode="0.00">
                  <c:v>1.9108299722709272</c:v>
                </c:pt>
                <c:pt idx="20" formatCode="0.00">
                  <c:v>6.1482838611335504</c:v>
                </c:pt>
                <c:pt idx="21" formatCode="0.00">
                  <c:v>12.663601837356222</c:v>
                </c:pt>
                <c:pt idx="22" formatCode="0.00">
                  <c:v>4.293953690244436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F8-4E1A-A795-4BF49B2488CA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Mandate'!$H$90:$H$116</c:f>
              <c:numCache>
                <c:formatCode>General</c:formatCode>
                <c:ptCount val="27"/>
                <c:pt idx="25" formatCode="0.00">
                  <c:v>-4.1388574181998177</c:v>
                </c:pt>
                <c:pt idx="26">
                  <c:v>7.6155443923701611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F8-4E1A-A795-4BF49B2488CA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Mandate'!$I$90:$I$116</c:f>
              <c:numCache>
                <c:formatCode>General</c:formatCode>
                <c:ptCount val="27"/>
                <c:pt idx="8" formatCode="0.00">
                  <c:v>1.5827998282841693</c:v>
                </c:pt>
                <c:pt idx="14" formatCode="0.00">
                  <c:v>4.0371470003985861</c:v>
                </c:pt>
                <c:pt idx="23" formatCode="0.00">
                  <c:v>4.7441533574965318</c:v>
                </c:pt>
                <c:pt idx="24" formatCode="0.00">
                  <c:v>5.4960134486937662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0F8-4E1A-A795-4BF49B2488CA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Mandate'!$J$90:$J$116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0F8-4E1A-A795-4BF49B248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"/>
          <c:min val="-3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</cx:chartData>
  <cx:chart>
    <cx:plotArea>
      <cx:plotAreaRegion>
        <cx:series layoutId="boxWhisker" uniqueId="{D7DDA11E-BB64-49A4-92FD-2B8AA1488A96}">
          <cx:tx>
            <cx:txData>
              <cx:f>_xlchart.v1.1</cx:f>
              <cx:v>2% discount rate</cx:v>
            </cx:txData>
          </cx:tx>
          <cx:spPr>
            <a:solidFill>
              <a:srgbClr val="0047BB"/>
            </a:solidFill>
            <a:ln>
              <a:solidFill>
                <a:srgbClr val="00102A"/>
              </a:solidFill>
            </a:ln>
          </cx:spPr>
          <cx:dataId val="0"/>
          <cx:layoutPr>
            <cx:statistics quartileMethod="exclusive"/>
          </cx:layoutPr>
        </cx:series>
        <cx:series layoutId="boxWhisker" uniqueId="{BB2DC20C-048A-490D-AB65-11229C93ACF2}">
          <cx:tx>
            <cx:txData>
              <cx:f>_xlchart.v1.3</cx:f>
              <cx:v>12% discount rate</cx:v>
            </cx:txData>
          </cx:tx>
          <cx:spPr>
            <a:solidFill>
              <a:srgbClr val="00B5E2"/>
            </a:solidFill>
            <a:ln>
              <a:solidFill>
                <a:srgbClr val="004E60"/>
              </a:solidFill>
            </a:ln>
          </cx:spPr>
          <cx:dataId val="1"/>
          <cx:layoutPr>
            <cx:statistics quartileMethod="exclusive"/>
          </cx:layoutPr>
        </cx:series>
        <cx:series layoutId="boxWhisker" uniqueId="{14FA6E2F-A765-43AD-9556-AF6C2D89BCF9}">
          <cx:tx>
            <cx:txData>
              <cx:f>_xlchart.v1.5</cx:f>
              <cx:v>20% discount rate</cx:v>
            </cx:txData>
          </cx:tx>
          <cx:spPr>
            <a:solidFill>
              <a:srgbClr val="75246C"/>
            </a:solidFill>
            <a:ln>
              <a:solidFill>
                <a:srgbClr val="3A1235"/>
              </a:solidFill>
            </a:ln>
          </cx:spPr>
          <cx:dataId val="2"/>
          <cx:layoutPr>
            <cx:statistics quartileMethod="exclusive"/>
          </cx:layoutPr>
        </cx:series>
        <cx:series layoutId="boxWhisker" uniqueId="{4D230C2F-DE91-4B48-8F0B-69AF37FBC6D6}">
          <cx:tx>
            <cx:txData>
              <cx:f>_xlchart.v1.7</cx:f>
              <cx:v>As snapshot of CDR prices in 2050</cx:v>
            </cx:txData>
          </cx:tx>
          <cx:spPr>
            <a:solidFill>
              <a:srgbClr val="00AE8D"/>
            </a:solidFill>
            <a:ln>
              <a:solidFill>
                <a:srgbClr val="005041"/>
              </a:solidFill>
            </a:ln>
          </cx:spPr>
          <cx:dataId val="3"/>
          <cx:layoutPr>
            <cx:statistics quartileMethod="exclusive"/>
          </cx:layoutPr>
        </cx:series>
      </cx:plotAreaRegion>
      <cx:axis id="0">
        <cx:catScaling gapWidth="0.349999994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ea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6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CDR Supply in 2050</a:t>
                </a:r>
                <a:endParaRPr lang="en-US" sz="14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x:rich>
          </cx:tx>
        </cx:title>
        <cx:majorTickMarks type="in"/>
        <cx:tickLabels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 min="-5"/>
        <cx:title>
          <cx:tx>
            <cx:txData>
              <cx:v>NPV Ratio to Most Efficient Pathway (%)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50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ea typeface="Arial" panose="020B0604020202020204" pitchFamily="34" charset="0"/>
                  <a:cs typeface="Arial" panose="020B0604020202020204" pitchFamily="34" charset="0"/>
                </a:defRPr>
              </a:pPr>
              <a:r>
                <a:rPr lang="en-US" sz="15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NPV Ratio to Most Efficient Pathway (%)</a:t>
              </a:r>
            </a:p>
          </cx:txPr>
        </cx:title>
        <cx:majorGridlines>
          <cx:spPr>
            <a:ln>
              <a:noFill/>
            </a:ln>
          </cx:spPr>
        </cx:majorGridlines>
        <cx:majorTickMarks type="in"/>
        <cx:tickLabels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  <cx:legend pos="t" align="ctr" overlay="1">
      <cx:spPr>
        <a:ln>
          <a:solidFill>
            <a:schemeClr val="bg2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endParaRPr lang="en-US" sz="1200" b="0" i="0" u="none" strike="noStrike" baseline="0">
            <a:solidFill>
              <a:schemeClr val="tx1">
                <a:lumMod val="85000"/>
                <a:lumOff val="15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x:txPr>
    </cx:legend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microsoft.com/office/2014/relationships/chartEx" Target="../charts/chartEx1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152400</xdr:colOff>
      <xdr:row>4</xdr:row>
      <xdr:rowOff>142875</xdr:rowOff>
    </xdr:from>
    <xdr:to>
      <xdr:col>15</xdr:col>
      <xdr:colOff>238125</xdr:colOff>
      <xdr:row>29</xdr:row>
      <xdr:rowOff>100013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90213B-0A6F-407F-B98B-2CFEF45206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273051</xdr:colOff>
      <xdr:row>19</xdr:row>
      <xdr:rowOff>152400</xdr:rowOff>
    </xdr:from>
    <xdr:to>
      <xdr:col>11</xdr:col>
      <xdr:colOff>561975</xdr:colOff>
      <xdr:row>23</xdr:row>
      <xdr:rowOff>88900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B12183F5-6FCC-493B-8F23-6404C755CE5A}"/>
            </a:ext>
          </a:extLst>
        </xdr:cNvPr>
        <xdr:cNvSpPr/>
      </xdr:nvSpPr>
      <xdr:spPr>
        <a:xfrm>
          <a:off x="9864726" y="4152900"/>
          <a:ext cx="288924" cy="698500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285750</xdr:colOff>
      <xdr:row>12</xdr:row>
      <xdr:rowOff>47625</xdr:rowOff>
    </xdr:from>
    <xdr:to>
      <xdr:col>12</xdr:col>
      <xdr:colOff>381000</xdr:colOff>
      <xdr:row>19</xdr:row>
      <xdr:rowOff>152400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79FCDF6-E576-49A3-A8D8-01E70741D384}"/>
            </a:ext>
          </a:extLst>
        </xdr:cNvPr>
        <xdr:cNvCxnSpPr/>
      </xdr:nvCxnSpPr>
      <xdr:spPr>
        <a:xfrm flipV="1">
          <a:off x="9877425" y="2524125"/>
          <a:ext cx="1314450" cy="162877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581025</xdr:colOff>
      <xdr:row>22</xdr:row>
      <xdr:rowOff>47625</xdr:rowOff>
    </xdr:from>
    <xdr:to>
      <xdr:col>15</xdr:col>
      <xdr:colOff>228600</xdr:colOff>
      <xdr:row>23</xdr:row>
      <xdr:rowOff>85725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7378C693-7BA7-49EE-8892-35B191A54B32}"/>
            </a:ext>
          </a:extLst>
        </xdr:cNvPr>
        <xdr:cNvCxnSpPr/>
      </xdr:nvCxnSpPr>
      <xdr:spPr>
        <a:xfrm flipV="1">
          <a:off x="10172700" y="4619625"/>
          <a:ext cx="2695575" cy="228600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200025</xdr:colOff>
      <xdr:row>52</xdr:row>
      <xdr:rowOff>85724</xdr:rowOff>
    </xdr:from>
    <xdr:to>
      <xdr:col>15</xdr:col>
      <xdr:colOff>352425</xdr:colOff>
      <xdr:row>54</xdr:row>
      <xdr:rowOff>88899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34BAEF0D-6E87-4702-BDFB-748D3DB48D27}"/>
            </a:ext>
          </a:extLst>
        </xdr:cNvPr>
        <xdr:cNvSpPr/>
      </xdr:nvSpPr>
      <xdr:spPr>
        <a:xfrm>
          <a:off x="12839700" y="10753724"/>
          <a:ext cx="152400" cy="384175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190500</xdr:colOff>
      <xdr:row>41</xdr:row>
      <xdr:rowOff>107156</xdr:rowOff>
    </xdr:from>
    <xdr:to>
      <xdr:col>17</xdr:col>
      <xdr:colOff>529828</xdr:colOff>
      <xdr:row>52</xdr:row>
      <xdr:rowOff>77391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9430A3B3-6D57-4A8A-B720-FAEBEBF8849D}"/>
            </a:ext>
          </a:extLst>
        </xdr:cNvPr>
        <xdr:cNvCxnSpPr/>
      </xdr:nvCxnSpPr>
      <xdr:spPr>
        <a:xfrm flipV="1">
          <a:off x="12823031" y="8489156"/>
          <a:ext cx="1553766" cy="225623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352425</xdr:colOff>
      <xdr:row>52</xdr:row>
      <xdr:rowOff>9525</xdr:rowOff>
    </xdr:from>
    <xdr:to>
      <xdr:col>20</xdr:col>
      <xdr:colOff>28575</xdr:colOff>
      <xdr:row>54</xdr:row>
      <xdr:rowOff>95250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06FD42DC-7275-4956-83A1-5D19D8B8F4E3}"/>
            </a:ext>
          </a:extLst>
        </xdr:cNvPr>
        <xdr:cNvCxnSpPr/>
      </xdr:nvCxnSpPr>
      <xdr:spPr>
        <a:xfrm flipV="1">
          <a:off x="12992100" y="10677525"/>
          <a:ext cx="2724150" cy="466725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90</xdr:row>
      <xdr:rowOff>57150</xdr:rowOff>
    </xdr:from>
    <xdr:to>
      <xdr:col>12</xdr:col>
      <xdr:colOff>133350</xdr:colOff>
      <xdr:row>92</xdr:row>
      <xdr:rowOff>165100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C81A950B-2894-4924-B123-2F1C5999A02B}"/>
            </a:ext>
          </a:extLst>
        </xdr:cNvPr>
        <xdr:cNvSpPr/>
      </xdr:nvSpPr>
      <xdr:spPr>
        <a:xfrm>
          <a:off x="10607675" y="11296650"/>
          <a:ext cx="336550" cy="488950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0</xdr:colOff>
      <xdr:row>34</xdr:row>
      <xdr:rowOff>0</xdr:rowOff>
    </xdr:from>
    <xdr:to>
      <xdr:col>21</xdr:col>
      <xdr:colOff>202955</xdr:colOff>
      <xdr:row>58</xdr:row>
      <xdr:rowOff>147638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D9B858B9-986A-44DA-9C6B-CED8E957C5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204107</xdr:colOff>
      <xdr:row>51</xdr:row>
      <xdr:rowOff>68036</xdr:rowOff>
    </xdr:from>
    <xdr:to>
      <xdr:col>16</xdr:col>
      <xdr:colOff>353786</xdr:colOff>
      <xdr:row>53</xdr:row>
      <xdr:rowOff>122918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40316EAC-847A-415A-A25F-49BAC988ABCA}"/>
            </a:ext>
          </a:extLst>
        </xdr:cNvPr>
        <xdr:cNvSpPr/>
      </xdr:nvSpPr>
      <xdr:spPr>
        <a:xfrm>
          <a:off x="13811250" y="10545536"/>
          <a:ext cx="149679" cy="435882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190500</xdr:colOff>
      <xdr:row>43</xdr:row>
      <xdr:rowOff>122464</xdr:rowOff>
    </xdr:from>
    <xdr:to>
      <xdr:col>18</xdr:col>
      <xdr:colOff>503464</xdr:colOff>
      <xdr:row>51</xdr:row>
      <xdr:rowOff>81643</xdr:rowOff>
    </xdr:to>
    <xdr:cxnSp macro="">
      <xdr:nvCxnSpPr>
        <xdr:cNvPr id="39" name="Straight Connector 38">
          <a:extLst>
            <a:ext uri="{FF2B5EF4-FFF2-40B4-BE49-F238E27FC236}">
              <a16:creationId xmlns:a16="http://schemas.microsoft.com/office/drawing/2014/main" id="{3E0D71B4-82F2-46F5-B6CE-69ED0EBA4D6F}"/>
            </a:ext>
          </a:extLst>
        </xdr:cNvPr>
        <xdr:cNvCxnSpPr/>
      </xdr:nvCxnSpPr>
      <xdr:spPr>
        <a:xfrm flipV="1">
          <a:off x="13797643" y="8885464"/>
          <a:ext cx="1537607" cy="1673679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326571</xdr:colOff>
      <xdr:row>53</xdr:row>
      <xdr:rowOff>13607</xdr:rowOff>
    </xdr:from>
    <xdr:to>
      <xdr:col>21</xdr:col>
      <xdr:colOff>136071</xdr:colOff>
      <xdr:row>53</xdr:row>
      <xdr:rowOff>136071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2AB2B8B4-34B9-4187-8768-E9F46156ED64}"/>
            </a:ext>
          </a:extLst>
        </xdr:cNvPr>
        <xdr:cNvCxnSpPr/>
      </xdr:nvCxnSpPr>
      <xdr:spPr>
        <a:xfrm flipV="1">
          <a:off x="13933714" y="10872107"/>
          <a:ext cx="2871107" cy="122464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66</xdr:row>
      <xdr:rowOff>0</xdr:rowOff>
    </xdr:from>
    <xdr:to>
      <xdr:col>22</xdr:col>
      <xdr:colOff>202956</xdr:colOff>
      <xdr:row>90</xdr:row>
      <xdr:rowOff>147638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2B376FE9-EAA7-43C3-BBA5-989DEEB73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97972</xdr:colOff>
      <xdr:row>85</xdr:row>
      <xdr:rowOff>54429</xdr:rowOff>
    </xdr:from>
    <xdr:to>
      <xdr:col>17</xdr:col>
      <xdr:colOff>557893</xdr:colOff>
      <xdr:row>87</xdr:row>
      <xdr:rowOff>152854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349856-FA0F-4B8D-A0C4-93BA4D382DE3}"/>
            </a:ext>
          </a:extLst>
        </xdr:cNvPr>
        <xdr:cNvSpPr/>
      </xdr:nvSpPr>
      <xdr:spPr>
        <a:xfrm>
          <a:off x="14317436" y="17389929"/>
          <a:ext cx="459921" cy="479425"/>
        </a:xfrm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122465</xdr:colOff>
      <xdr:row>75</xdr:row>
      <xdr:rowOff>0</xdr:rowOff>
    </xdr:from>
    <xdr:to>
      <xdr:col>18</xdr:col>
      <xdr:colOff>571500</xdr:colOff>
      <xdr:row>85</xdr:row>
      <xdr:rowOff>54429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E1CAFB71-88DE-499B-A2D2-379C567FFBAB}"/>
            </a:ext>
          </a:extLst>
        </xdr:cNvPr>
        <xdr:cNvCxnSpPr/>
      </xdr:nvCxnSpPr>
      <xdr:spPr>
        <a:xfrm flipV="1">
          <a:off x="14341929" y="15063107"/>
          <a:ext cx="1061357" cy="2326822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557893</xdr:colOff>
      <xdr:row>86</xdr:row>
      <xdr:rowOff>54429</xdr:rowOff>
    </xdr:from>
    <xdr:to>
      <xdr:col>22</xdr:col>
      <xdr:colOff>68036</xdr:colOff>
      <xdr:row>87</xdr:row>
      <xdr:rowOff>149679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5857976B-07D0-4BA5-A2DD-7CF8EDC10C28}"/>
            </a:ext>
          </a:extLst>
        </xdr:cNvPr>
        <xdr:cNvCxnSpPr/>
      </xdr:nvCxnSpPr>
      <xdr:spPr>
        <a:xfrm flipV="1">
          <a:off x="14777357" y="17580429"/>
          <a:ext cx="2571750" cy="285750"/>
        </a:xfrm>
        <a:prstGeom prst="line">
          <a:avLst/>
        </a:prstGeom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495300</xdr:colOff>
      <xdr:row>20</xdr:row>
      <xdr:rowOff>47094</xdr:rowOff>
    </xdr:from>
    <xdr:to>
      <xdr:col>28</xdr:col>
      <xdr:colOff>582083</xdr:colOff>
      <xdr:row>47</xdr:row>
      <xdr:rowOff>42333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8AEC7E0-D0A5-1096-0DCB-A2DB2DA062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83575" y="3857094"/>
              <a:ext cx="5573183" cy="51387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204786</xdr:colOff>
      <xdr:row>31</xdr:row>
      <xdr:rowOff>42862</xdr:rowOff>
    </xdr:from>
    <xdr:to>
      <xdr:col>18</xdr:col>
      <xdr:colOff>247649</xdr:colOff>
      <xdr:row>58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D9ACEC-3FD7-7289-6819-79EF3D17B1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476250</xdr:colOff>
      <xdr:row>41</xdr:row>
      <xdr:rowOff>10583</xdr:rowOff>
    </xdr:from>
    <xdr:to>
      <xdr:col>18</xdr:col>
      <xdr:colOff>31751</xdr:colOff>
      <xdr:row>54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A4F01B-9784-46C6-810D-201E64F05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179917</xdr:colOff>
      <xdr:row>40</xdr:row>
      <xdr:rowOff>31750</xdr:rowOff>
    </xdr:from>
    <xdr:to>
      <xdr:col>13</xdr:col>
      <xdr:colOff>0</xdr:colOff>
      <xdr:row>47</xdr:row>
      <xdr:rowOff>158750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5BB506B7-834F-F352-0FDC-BC3237071A4B}"/>
            </a:ext>
          </a:extLst>
        </xdr:cNvPr>
        <xdr:cNvSpPr/>
      </xdr:nvSpPr>
      <xdr:spPr>
        <a:xfrm>
          <a:off x="15811500" y="7651750"/>
          <a:ext cx="1047750" cy="1460500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10583</xdr:colOff>
      <xdr:row>40</xdr:row>
      <xdr:rowOff>31750</xdr:rowOff>
    </xdr:from>
    <xdr:to>
      <xdr:col>18</xdr:col>
      <xdr:colOff>31750</xdr:colOff>
      <xdr:row>41</xdr:row>
      <xdr:rowOff>10583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2DA94ACC-BD50-587B-9E76-ED4043D005CD}"/>
            </a:ext>
          </a:extLst>
        </xdr:cNvPr>
        <xdr:cNvCxnSpPr/>
      </xdr:nvCxnSpPr>
      <xdr:spPr>
        <a:xfrm>
          <a:off x="16869833" y="7651750"/>
          <a:ext cx="3090334" cy="169333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47</xdr:row>
      <xdr:rowOff>158750</xdr:rowOff>
    </xdr:from>
    <xdr:to>
      <xdr:col>13</xdr:col>
      <xdr:colOff>486833</xdr:colOff>
      <xdr:row>54</xdr:row>
      <xdr:rowOff>0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E09AAA52-6562-4915-AC84-D7872AEAEB9C}"/>
            </a:ext>
          </a:extLst>
        </xdr:cNvPr>
        <xdr:cNvCxnSpPr/>
      </xdr:nvCxnSpPr>
      <xdr:spPr>
        <a:xfrm>
          <a:off x="15822083" y="9112250"/>
          <a:ext cx="1524000" cy="11747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63</xdr:row>
      <xdr:rowOff>0</xdr:rowOff>
    </xdr:from>
    <xdr:to>
      <xdr:col>23</xdr:col>
      <xdr:colOff>42863</xdr:colOff>
      <xdr:row>89</xdr:row>
      <xdr:rowOff>147638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31269C7-99C6-4FE5-9808-FFD3E90AB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264582</xdr:colOff>
      <xdr:row>74</xdr:row>
      <xdr:rowOff>169333</xdr:rowOff>
    </xdr:from>
    <xdr:to>
      <xdr:col>22</xdr:col>
      <xdr:colOff>497416</xdr:colOff>
      <xdr:row>86</xdr:row>
      <xdr:rowOff>31221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0642DC2-3796-4314-9A70-833AD3506F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120650</xdr:colOff>
      <xdr:row>73</xdr:row>
      <xdr:rowOff>14816</xdr:rowOff>
    </xdr:from>
    <xdr:to>
      <xdr:col>17</xdr:col>
      <xdr:colOff>554567</xdr:colOff>
      <xdr:row>79</xdr:row>
      <xdr:rowOff>127000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C81D1C6-39F0-4DB8-AF77-764EB5C223DA}"/>
            </a:ext>
          </a:extLst>
        </xdr:cNvPr>
        <xdr:cNvSpPr/>
      </xdr:nvSpPr>
      <xdr:spPr>
        <a:xfrm>
          <a:off x="18821400" y="13921316"/>
          <a:ext cx="1047750" cy="1255184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565150</xdr:colOff>
      <xdr:row>73</xdr:row>
      <xdr:rowOff>14816</xdr:rowOff>
    </xdr:from>
    <xdr:to>
      <xdr:col>22</xdr:col>
      <xdr:colOff>486833</xdr:colOff>
      <xdr:row>74</xdr:row>
      <xdr:rowOff>179917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8C3F2A69-8D80-4528-B297-906CB3E8F706}"/>
            </a:ext>
          </a:extLst>
        </xdr:cNvPr>
        <xdr:cNvCxnSpPr/>
      </xdr:nvCxnSpPr>
      <xdr:spPr>
        <a:xfrm>
          <a:off x="19879733" y="13921316"/>
          <a:ext cx="2990850" cy="355601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127000</xdr:colOff>
      <xdr:row>79</xdr:row>
      <xdr:rowOff>116417</xdr:rowOff>
    </xdr:from>
    <xdr:to>
      <xdr:col>18</xdr:col>
      <xdr:colOff>264583</xdr:colOff>
      <xdr:row>86</xdr:row>
      <xdr:rowOff>31750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742F93A0-3EA9-4A86-A815-559F9B8B86DD}"/>
            </a:ext>
          </a:extLst>
        </xdr:cNvPr>
        <xdr:cNvCxnSpPr/>
      </xdr:nvCxnSpPr>
      <xdr:spPr>
        <a:xfrm>
          <a:off x="18827750" y="15165917"/>
          <a:ext cx="1365250" cy="1248833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232833</xdr:colOff>
      <xdr:row>90</xdr:row>
      <xdr:rowOff>74083</xdr:rowOff>
    </xdr:from>
    <xdr:to>
      <xdr:col>22</xdr:col>
      <xdr:colOff>275696</xdr:colOff>
      <xdr:row>117</xdr:row>
      <xdr:rowOff>31221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1155679-B632-483C-81DD-7DB228A5CA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603250</xdr:colOff>
      <xdr:row>102</xdr:row>
      <xdr:rowOff>137583</xdr:rowOff>
    </xdr:from>
    <xdr:to>
      <xdr:col>22</xdr:col>
      <xdr:colOff>64031</xdr:colOff>
      <xdr:row>113</xdr:row>
      <xdr:rowOff>41804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511A368-0FBC-4D8D-A8BB-068496D76F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31749</xdr:colOff>
      <xdr:row>102</xdr:row>
      <xdr:rowOff>0</xdr:rowOff>
    </xdr:from>
    <xdr:to>
      <xdr:col>17</xdr:col>
      <xdr:colOff>222249</xdr:colOff>
      <xdr:row>107</xdr:row>
      <xdr:rowOff>169333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D6CD52E-B70B-44A5-AB3A-AFD6FB698977}"/>
            </a:ext>
          </a:extLst>
        </xdr:cNvPr>
        <xdr:cNvSpPr/>
      </xdr:nvSpPr>
      <xdr:spPr>
        <a:xfrm>
          <a:off x="18732499" y="19431000"/>
          <a:ext cx="804333" cy="1121833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201084</xdr:colOff>
      <xdr:row>101</xdr:row>
      <xdr:rowOff>179917</xdr:rowOff>
    </xdr:from>
    <xdr:to>
      <xdr:col>22</xdr:col>
      <xdr:colOff>21167</xdr:colOff>
      <xdr:row>102</xdr:row>
      <xdr:rowOff>148167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8F5A5B05-C8FA-46AF-89C0-FAB3EAE9E8A0}"/>
            </a:ext>
          </a:extLst>
        </xdr:cNvPr>
        <xdr:cNvCxnSpPr/>
      </xdr:nvCxnSpPr>
      <xdr:spPr>
        <a:xfrm>
          <a:off x="19515667" y="19420417"/>
          <a:ext cx="2889250" cy="1587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42333</xdr:colOff>
      <xdr:row>107</xdr:row>
      <xdr:rowOff>169333</xdr:rowOff>
    </xdr:from>
    <xdr:to>
      <xdr:col>17</xdr:col>
      <xdr:colOff>592667</xdr:colOff>
      <xdr:row>113</xdr:row>
      <xdr:rowOff>31750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954F8AB6-D2A5-43DD-AEA5-8CF8067683A4}"/>
            </a:ext>
          </a:extLst>
        </xdr:cNvPr>
        <xdr:cNvCxnSpPr/>
      </xdr:nvCxnSpPr>
      <xdr:spPr>
        <a:xfrm>
          <a:off x="18743083" y="20552833"/>
          <a:ext cx="1164167" cy="1005417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2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C16861"/>
      </a:accent1>
      <a:accent2>
        <a:srgbClr val="74A751"/>
      </a:accent2>
      <a:accent3>
        <a:srgbClr val="698FC6"/>
      </a:accent3>
      <a:accent4>
        <a:srgbClr val="DD9452"/>
      </a:accent4>
      <a:accent5>
        <a:srgbClr val="BFBE43"/>
      </a:accent5>
      <a:accent6>
        <a:srgbClr val="A577A8"/>
      </a:accent6>
      <a:hlink>
        <a:srgbClr val="72B1B4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33"/>
  <sheetViews>
    <sheetView zoomScaleNormal="100" workbookViewId="0">
      <selection activeCell="H39" sqref="H39"/>
    </sheetView>
  </sheetViews>
  <sheetFormatPr defaultRowHeight="15" x14ac:dyDescent="0.25"/>
  <cols>
    <col min="1" max="1" width="22.28515625" bestFit="1" customWidth="1"/>
    <col min="2" max="2" width="14.28515625" customWidth="1"/>
    <col min="3" max="3" width="12.85546875" customWidth="1"/>
    <col min="4" max="4" width="20" style="5" customWidth="1"/>
    <col min="5" max="5" width="20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  <col min="14" max="14" width="22.28515625" bestFit="1" customWidth="1"/>
  </cols>
  <sheetData>
    <row r="1" spans="1:42" x14ac:dyDescent="0.25">
      <c r="A1" s="3" t="s">
        <v>0</v>
      </c>
      <c r="B1" t="s">
        <v>36</v>
      </c>
      <c r="C1" t="s">
        <v>37</v>
      </c>
      <c r="D1" s="5" t="s">
        <v>38</v>
      </c>
      <c r="E1" t="s">
        <v>39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5">
      <c r="A2" t="s">
        <v>1</v>
      </c>
      <c r="B2" s="6">
        <v>-87041.623714157293</v>
      </c>
      <c r="C2" s="6">
        <v>68266.070870226496</v>
      </c>
      <c r="D2" s="5">
        <v>-1.27503491272587</v>
      </c>
      <c r="E2" s="6">
        <v>-18775.5528439308</v>
      </c>
      <c r="F2" s="6">
        <v>-24009.774422884198</v>
      </c>
      <c r="G2" s="6">
        <v>29691.982373295901</v>
      </c>
      <c r="H2" s="5">
        <v>-0.80862820545380198</v>
      </c>
      <c r="I2" s="6">
        <v>5682.20795041171</v>
      </c>
      <c r="J2" s="6">
        <v>-10209.740402372299</v>
      </c>
      <c r="K2" s="6">
        <v>18095.102337061198</v>
      </c>
      <c r="L2" s="5">
        <v>-0.56422672898961301</v>
      </c>
      <c r="M2" s="6">
        <v>7885.3619346888499</v>
      </c>
      <c r="N2" t="s">
        <v>24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 x14ac:dyDescent="0.25">
      <c r="A3" t="s">
        <v>2</v>
      </c>
      <c r="B3" s="6">
        <v>-277189.41464709002</v>
      </c>
      <c r="C3" s="6">
        <v>285224.80738940899</v>
      </c>
      <c r="D3" s="5">
        <v>-0.97182786162303203</v>
      </c>
      <c r="E3" s="6">
        <v>8035.3927423182704</v>
      </c>
      <c r="F3" s="6">
        <v>-48914.657028755297</v>
      </c>
      <c r="G3" s="6">
        <v>59208.421926960698</v>
      </c>
      <c r="H3" s="5">
        <v>-0.82614356939112998</v>
      </c>
      <c r="I3" s="6">
        <v>10293.7648982053</v>
      </c>
      <c r="J3" s="6">
        <v>-15980.398221146799</v>
      </c>
      <c r="K3" s="6">
        <v>25187.001654923799</v>
      </c>
      <c r="L3" s="5">
        <v>-0.63447005086541497</v>
      </c>
      <c r="M3" s="6">
        <v>9206.6034337769906</v>
      </c>
      <c r="N3" t="s">
        <v>24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5">
      <c r="A4" t="s">
        <v>3</v>
      </c>
      <c r="B4" s="6">
        <v>-52712.756725281797</v>
      </c>
      <c r="C4" s="6">
        <v>73875.666802922904</v>
      </c>
      <c r="D4" s="5">
        <v>-0.71353341372745804</v>
      </c>
      <c r="E4" s="6">
        <v>21162.910077641001</v>
      </c>
      <c r="F4" s="6">
        <v>-18634.107191897401</v>
      </c>
      <c r="G4" s="6">
        <v>40963.2275402632</v>
      </c>
      <c r="H4" s="5">
        <v>-0.45489841281627003</v>
      </c>
      <c r="I4" s="6">
        <v>22329.120348365701</v>
      </c>
      <c r="J4" s="6">
        <v>-10131.117210586999</v>
      </c>
      <c r="K4" s="6">
        <v>27756.054329294901</v>
      </c>
      <c r="L4" s="5">
        <v>-0.365005670128489</v>
      </c>
      <c r="M4" s="6">
        <v>17624.9371187078</v>
      </c>
      <c r="N4" t="s">
        <v>24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t="s">
        <v>4</v>
      </c>
      <c r="B5" s="6">
        <v>-568357.47058677697</v>
      </c>
      <c r="C5" s="6">
        <v>643393.81551935896</v>
      </c>
      <c r="D5" s="5">
        <v>-0.88337415883923098</v>
      </c>
      <c r="E5" s="6">
        <v>75036.344932581502</v>
      </c>
      <c r="F5" s="6">
        <v>-107357.135510147</v>
      </c>
      <c r="G5" s="6">
        <v>133387.41987712201</v>
      </c>
      <c r="H5" s="5">
        <v>-0.80485202884234297</v>
      </c>
      <c r="I5" s="6">
        <v>26030.2843669748</v>
      </c>
      <c r="J5" s="6">
        <v>-37918.655503970796</v>
      </c>
      <c r="K5" s="6">
        <v>54270.809029890203</v>
      </c>
      <c r="L5" s="5">
        <v>-0.69869338935203096</v>
      </c>
      <c r="M5" s="6">
        <v>16352.153525919401</v>
      </c>
      <c r="N5" t="s">
        <v>24</v>
      </c>
    </row>
    <row r="6" spans="1:42" x14ac:dyDescent="0.25">
      <c r="A6" t="s">
        <v>6</v>
      </c>
      <c r="B6" s="6">
        <v>-629.11242305952999</v>
      </c>
      <c r="C6" s="6">
        <v>17177.259292405</v>
      </c>
      <c r="D6" s="5">
        <v>-3.6624726468307597E-2</v>
      </c>
      <c r="E6" s="6">
        <v>16548.146869345499</v>
      </c>
      <c r="F6" s="6">
        <v>-412.48126069827401</v>
      </c>
      <c r="G6" s="6">
        <v>13602.396522482601</v>
      </c>
      <c r="H6" s="5">
        <v>-3.0324160894479601E-2</v>
      </c>
      <c r="I6" s="6">
        <v>13189.915261784299</v>
      </c>
      <c r="J6" s="6">
        <v>-335.61574049935001</v>
      </c>
      <c r="K6" s="6">
        <v>11630.811551452</v>
      </c>
      <c r="L6" s="5">
        <v>-2.88557457073964E-2</v>
      </c>
      <c r="M6" s="6">
        <v>11295.1958109527</v>
      </c>
      <c r="N6" t="s">
        <v>24</v>
      </c>
    </row>
    <row r="7" spans="1:42" x14ac:dyDescent="0.25">
      <c r="A7" t="s">
        <v>5</v>
      </c>
      <c r="B7" s="6">
        <v>-24187.678536078602</v>
      </c>
      <c r="C7" s="6">
        <v>15388.101781445501</v>
      </c>
      <c r="D7" s="5">
        <v>-1.5718429004182399</v>
      </c>
      <c r="E7" s="6">
        <v>-8799.5767546330299</v>
      </c>
      <c r="F7" s="6">
        <v>-5025.3693987003298</v>
      </c>
      <c r="G7" s="6">
        <v>11163.6028158956</v>
      </c>
      <c r="H7" s="5">
        <v>-0.45015659205868702</v>
      </c>
      <c r="I7" s="6">
        <v>6138.2334171952698</v>
      </c>
      <c r="J7" s="6">
        <v>-2036.7477236836501</v>
      </c>
      <c r="K7" s="6">
        <v>9267.5677992554793</v>
      </c>
      <c r="L7" s="5">
        <v>-0.21977154824238501</v>
      </c>
      <c r="M7" s="6">
        <v>7230.8200755718199</v>
      </c>
      <c r="N7" t="s">
        <v>24</v>
      </c>
    </row>
    <row r="8" spans="1:42" x14ac:dyDescent="0.25">
      <c r="A8" t="s">
        <v>8</v>
      </c>
      <c r="B8" s="6">
        <v>-58217.953069988798</v>
      </c>
      <c r="C8" s="6">
        <v>27759.150601618701</v>
      </c>
      <c r="D8" s="5">
        <v>-2.0972526827457698</v>
      </c>
      <c r="E8" s="6">
        <v>-30458.802468370101</v>
      </c>
      <c r="F8" s="6">
        <v>-12921.4355867997</v>
      </c>
      <c r="G8" s="6">
        <v>16483.501297233201</v>
      </c>
      <c r="H8" s="5">
        <v>-0.78390114780823705</v>
      </c>
      <c r="I8" s="6">
        <v>3562.0657104335301</v>
      </c>
      <c r="J8" s="6">
        <v>-5363.8813822450302</v>
      </c>
      <c r="K8" s="6">
        <v>12128.4723693708</v>
      </c>
      <c r="L8" s="5">
        <v>-0.442255316159266</v>
      </c>
      <c r="M8" s="6">
        <v>6764.59098712583</v>
      </c>
      <c r="N8" t="s">
        <v>24</v>
      </c>
    </row>
    <row r="9" spans="1:42" x14ac:dyDescent="0.25">
      <c r="A9" t="s">
        <v>7</v>
      </c>
      <c r="B9" s="6">
        <v>-36532.3357027936</v>
      </c>
      <c r="C9" s="6">
        <v>17910.878739285799</v>
      </c>
      <c r="D9" s="5">
        <v>-2.0396729962033202</v>
      </c>
      <c r="E9" s="6">
        <v>-18621.456963507699</v>
      </c>
      <c r="F9" s="6">
        <v>-8027.2493380455498</v>
      </c>
      <c r="G9" s="6">
        <v>12253.329757220399</v>
      </c>
      <c r="H9" s="5">
        <v>-0.65510759092363402</v>
      </c>
      <c r="I9" s="6">
        <v>4226.0804191748603</v>
      </c>
      <c r="J9" s="6">
        <v>-3292.7796969207502</v>
      </c>
      <c r="K9" s="6">
        <v>9764.4966320009007</v>
      </c>
      <c r="L9" s="5">
        <v>-0.33721960496452202</v>
      </c>
      <c r="M9" s="6">
        <v>6471.7169350801396</v>
      </c>
      <c r="N9" t="s">
        <v>24</v>
      </c>
    </row>
    <row r="10" spans="1:42" x14ac:dyDescent="0.25">
      <c r="A10" t="s">
        <v>9</v>
      </c>
      <c r="B10" s="6">
        <v>-43040.1202776301</v>
      </c>
      <c r="C10" s="6">
        <v>20122.441800915702</v>
      </c>
      <c r="D10" s="5">
        <v>-2.13891140565612</v>
      </c>
      <c r="E10" s="6">
        <v>-22917.6784767143</v>
      </c>
      <c r="F10" s="6">
        <v>-9350.1536406274499</v>
      </c>
      <c r="G10" s="6">
        <v>13167.0476922533</v>
      </c>
      <c r="H10" s="5">
        <v>-0.71011770133774899</v>
      </c>
      <c r="I10" s="6">
        <v>3816.8940516258699</v>
      </c>
      <c r="J10" s="6">
        <v>-3948.2112997761601</v>
      </c>
      <c r="K10" s="6">
        <v>10601.5744577323</v>
      </c>
      <c r="L10" s="5">
        <v>-0.37241744757039502</v>
      </c>
      <c r="M10" s="6">
        <v>6653.3631579561397</v>
      </c>
      <c r="N10" t="s">
        <v>24</v>
      </c>
    </row>
    <row r="11" spans="1:42" x14ac:dyDescent="0.25">
      <c r="A11" t="s">
        <v>88</v>
      </c>
      <c r="B11" s="6">
        <v>0</v>
      </c>
      <c r="C11" s="6">
        <v>13051.0177235479</v>
      </c>
      <c r="D11" s="5">
        <v>0</v>
      </c>
      <c r="E11" s="6">
        <v>13051.0177235479</v>
      </c>
      <c r="F11" s="6">
        <v>0</v>
      </c>
      <c r="G11" s="6">
        <v>10184.315745906601</v>
      </c>
      <c r="H11" s="5">
        <v>0</v>
      </c>
      <c r="I11" s="6">
        <v>10184.315745906601</v>
      </c>
      <c r="J11" s="6">
        <v>0</v>
      </c>
      <c r="K11" s="6">
        <v>8618.8843159772096</v>
      </c>
      <c r="L11" s="5">
        <v>0</v>
      </c>
      <c r="M11" s="6">
        <v>8618.8843159772096</v>
      </c>
      <c r="N11" t="s">
        <v>24</v>
      </c>
    </row>
    <row r="12" spans="1:42" x14ac:dyDescent="0.25">
      <c r="A12" t="s">
        <v>10</v>
      </c>
      <c r="B12" s="6">
        <v>-38255.645925858298</v>
      </c>
      <c r="C12" s="6">
        <v>40895.3342747446</v>
      </c>
      <c r="D12" s="5">
        <v>-0.93545257923184399</v>
      </c>
      <c r="E12" s="6">
        <v>2639.68834888631</v>
      </c>
      <c r="F12" s="6">
        <v>-10717.5437780061</v>
      </c>
      <c r="G12" s="6">
        <v>26505.399439955301</v>
      </c>
      <c r="H12" s="5">
        <v>-0.40435322630339199</v>
      </c>
      <c r="I12" s="6">
        <v>15787.855661949199</v>
      </c>
      <c r="J12" s="6">
        <v>-5715.8742587877696</v>
      </c>
      <c r="K12" s="6">
        <v>20036.443432298802</v>
      </c>
      <c r="L12" s="5">
        <v>-0.28527389494553501</v>
      </c>
      <c r="M12" s="6">
        <v>14320.569173510999</v>
      </c>
      <c r="N12" t="s">
        <v>24</v>
      </c>
    </row>
    <row r="13" spans="1:42" x14ac:dyDescent="0.25">
      <c r="A13" t="s">
        <v>11</v>
      </c>
      <c r="B13" s="6">
        <v>-118894.24644871699</v>
      </c>
      <c r="C13" s="6">
        <v>1189299.38152195</v>
      </c>
      <c r="D13" s="5">
        <v>-9.9969989302918297E-2</v>
      </c>
      <c r="E13" s="6">
        <v>1070405.1350732299</v>
      </c>
      <c r="F13" s="6">
        <v>-43687.746545707101</v>
      </c>
      <c r="G13" s="6">
        <v>307571.125560107</v>
      </c>
      <c r="H13" s="5">
        <v>-0.142041118021559</v>
      </c>
      <c r="I13" s="6">
        <v>263883.37901440001</v>
      </c>
      <c r="J13" s="6">
        <v>-25574.064566239598</v>
      </c>
      <c r="K13" s="6">
        <v>147554.190283173</v>
      </c>
      <c r="L13" s="5">
        <v>-0.17331981231546201</v>
      </c>
      <c r="M13" s="6">
        <v>121980.125716934</v>
      </c>
      <c r="N13" t="s">
        <v>24</v>
      </c>
    </row>
    <row r="14" spans="1:42" x14ac:dyDescent="0.25">
      <c r="A14" t="s">
        <v>12</v>
      </c>
      <c r="B14" s="6">
        <v>-27847.7754083363</v>
      </c>
      <c r="C14" s="6">
        <v>24405.477753761399</v>
      </c>
      <c r="D14" s="5">
        <v>-1.14104610814448</v>
      </c>
      <c r="E14" s="6">
        <v>-3442.2976545748802</v>
      </c>
      <c r="F14" s="6">
        <v>-6640.4507534377399</v>
      </c>
      <c r="G14" s="6">
        <v>16540.7079260965</v>
      </c>
      <c r="H14" s="5">
        <v>-0.40146109725817603</v>
      </c>
      <c r="I14" s="6">
        <v>9900.2571726588303</v>
      </c>
      <c r="J14" s="6">
        <v>-3093.7558246702902</v>
      </c>
      <c r="K14" s="6">
        <v>12931.114745876101</v>
      </c>
      <c r="L14" s="5">
        <v>-0.23924896541939</v>
      </c>
      <c r="M14" s="6">
        <v>9837.3589212058396</v>
      </c>
      <c r="N14" t="s">
        <v>24</v>
      </c>
    </row>
    <row r="15" spans="1:42" x14ac:dyDescent="0.25">
      <c r="A15" t="s">
        <v>43</v>
      </c>
      <c r="B15" s="6">
        <v>-110898.496318538</v>
      </c>
      <c r="C15" s="6">
        <v>70029.473247727205</v>
      </c>
      <c r="D15" s="5">
        <v>-1.58359746511641</v>
      </c>
      <c r="E15" s="6">
        <v>-40869.023070811098</v>
      </c>
      <c r="F15" s="6">
        <v>-29063.628096181299</v>
      </c>
      <c r="G15" s="6">
        <v>30483.9856203167</v>
      </c>
      <c r="H15" s="5">
        <v>-0.95340643635559297</v>
      </c>
      <c r="I15" s="6">
        <v>1420.3575241353999</v>
      </c>
      <c r="J15" s="6">
        <v>-12270.0831571496</v>
      </c>
      <c r="K15" s="6">
        <v>18658.255307640298</v>
      </c>
      <c r="L15" s="5">
        <v>-0.65762221359063699</v>
      </c>
      <c r="M15" s="6">
        <v>6388.17215049064</v>
      </c>
      <c r="N15" t="s">
        <v>24</v>
      </c>
    </row>
    <row r="16" spans="1:42" x14ac:dyDescent="0.25">
      <c r="B16" s="6"/>
      <c r="C16" s="6"/>
      <c r="E16" s="6"/>
      <c r="F16" s="6"/>
      <c r="G16" s="6"/>
      <c r="I16" s="6"/>
      <c r="J16" s="6"/>
      <c r="K16" s="6"/>
      <c r="M16" s="6"/>
    </row>
    <row r="17" spans="1:14" x14ac:dyDescent="0.25">
      <c r="A17" s="3" t="s">
        <v>44</v>
      </c>
      <c r="B17" s="6" t="s">
        <v>36</v>
      </c>
      <c r="C17" s="6" t="s">
        <v>37</v>
      </c>
      <c r="D17" s="5" t="s">
        <v>38</v>
      </c>
      <c r="E17" s="6" t="s">
        <v>39</v>
      </c>
      <c r="F17" s="6" t="s">
        <v>15</v>
      </c>
      <c r="G17" s="6" t="s">
        <v>16</v>
      </c>
      <c r="H17" s="5" t="s">
        <v>17</v>
      </c>
      <c r="I17" s="6" t="s">
        <v>18</v>
      </c>
      <c r="J17" s="6" t="s">
        <v>19</v>
      </c>
      <c r="K17" s="6" t="s">
        <v>20</v>
      </c>
      <c r="L17" s="5" t="s">
        <v>21</v>
      </c>
      <c r="M17" s="6" t="s">
        <v>22</v>
      </c>
      <c r="N17" t="s">
        <v>23</v>
      </c>
    </row>
    <row r="18" spans="1:14" x14ac:dyDescent="0.25">
      <c r="A18" t="s">
        <v>1</v>
      </c>
      <c r="B18" s="6">
        <f t="shared" ref="B18:C26" si="0">B2-B$33</f>
        <v>-87041.623714157293</v>
      </c>
      <c r="C18" s="6">
        <f t="shared" si="0"/>
        <v>55215.053146678598</v>
      </c>
      <c r="D18" s="5">
        <f>B18/C18</f>
        <v>-1.5764111189557586</v>
      </c>
      <c r="E18" s="6">
        <f>B18+C18</f>
        <v>-31826.570567478695</v>
      </c>
      <c r="F18" s="6">
        <f t="shared" ref="F18:G26" si="1">F2-F$33</f>
        <v>-24009.774422884198</v>
      </c>
      <c r="G18" s="6">
        <f t="shared" si="1"/>
        <v>19507.666627389299</v>
      </c>
      <c r="H18" s="5">
        <f>F18/G18</f>
        <v>-1.2307865867040098</v>
      </c>
      <c r="I18" s="6">
        <f>F18+G18</f>
        <v>-4502.1077954948996</v>
      </c>
      <c r="J18" s="6">
        <f t="shared" ref="J18:K26" si="2">J2-J$33</f>
        <v>-10209.740402372299</v>
      </c>
      <c r="K18" s="6">
        <f t="shared" si="2"/>
        <v>9476.2180210839888</v>
      </c>
      <c r="L18" s="5">
        <f>J18/K18</f>
        <v>-1.0774066594559422</v>
      </c>
      <c r="M18" s="6">
        <f>J18+K18</f>
        <v>-733.5223812883105</v>
      </c>
      <c r="N18" t="s">
        <v>24</v>
      </c>
    </row>
    <row r="19" spans="1:14" x14ac:dyDescent="0.25">
      <c r="A19" t="s">
        <v>2</v>
      </c>
      <c r="B19" s="6">
        <f t="shared" si="0"/>
        <v>-277189.41464709002</v>
      </c>
      <c r="C19" s="6">
        <f t="shared" si="0"/>
        <v>272173.78966586111</v>
      </c>
      <c r="D19" s="5">
        <f t="shared" ref="D19:D30" si="3">B19/C19</f>
        <v>-1.0184280234602547</v>
      </c>
      <c r="E19" s="6">
        <f t="shared" ref="E19:E30" si="4">B19+C19</f>
        <v>-5015.6249812289025</v>
      </c>
      <c r="F19" s="6">
        <f t="shared" si="1"/>
        <v>-48914.657028755297</v>
      </c>
      <c r="G19" s="6">
        <f t="shared" si="1"/>
        <v>49024.1061810541</v>
      </c>
      <c r="H19" s="5">
        <f t="shared" ref="H19:H30" si="5">F19/G19</f>
        <v>-0.99776744216621538</v>
      </c>
      <c r="I19" s="6">
        <f t="shared" ref="I19:I30" si="6">F19+G19</f>
        <v>109.4491522988028</v>
      </c>
      <c r="J19" s="6">
        <f t="shared" si="2"/>
        <v>-15980.398221146799</v>
      </c>
      <c r="K19" s="6">
        <f t="shared" si="2"/>
        <v>16568.117338946591</v>
      </c>
      <c r="L19" s="5">
        <f t="shared" ref="L19:L30" si="7">J19/K19</f>
        <v>-0.96452710312364554</v>
      </c>
      <c r="M19" s="6">
        <f t="shared" ref="M19:M30" si="8">J19+K19</f>
        <v>587.719117799792</v>
      </c>
      <c r="N19" t="s">
        <v>24</v>
      </c>
    </row>
    <row r="20" spans="1:14" x14ac:dyDescent="0.25">
      <c r="A20" t="s">
        <v>3</v>
      </c>
      <c r="B20" s="6">
        <f t="shared" si="0"/>
        <v>-52712.756725281797</v>
      </c>
      <c r="C20" s="6">
        <f t="shared" si="0"/>
        <v>60824.649079375005</v>
      </c>
      <c r="D20" s="5">
        <f t="shared" si="3"/>
        <v>-0.86663478578384656</v>
      </c>
      <c r="E20" s="6">
        <f t="shared" si="4"/>
        <v>8111.8923540932083</v>
      </c>
      <c r="F20" s="6">
        <f t="shared" si="1"/>
        <v>-18634.107191897401</v>
      </c>
      <c r="G20" s="6">
        <f t="shared" si="1"/>
        <v>30778.911794356602</v>
      </c>
      <c r="H20" s="5">
        <f t="shared" si="5"/>
        <v>-0.60541799906369709</v>
      </c>
      <c r="I20" s="6">
        <f t="shared" si="6"/>
        <v>12144.8046024592</v>
      </c>
      <c r="J20" s="6">
        <f t="shared" si="2"/>
        <v>-10131.117210586999</v>
      </c>
      <c r="K20" s="6">
        <f t="shared" si="2"/>
        <v>19137.170013317693</v>
      </c>
      <c r="L20" s="5">
        <f t="shared" si="7"/>
        <v>-0.52939474350369897</v>
      </c>
      <c r="M20" s="6">
        <f t="shared" si="8"/>
        <v>9006.0528027306937</v>
      </c>
      <c r="N20" t="s">
        <v>24</v>
      </c>
    </row>
    <row r="21" spans="1:14" x14ac:dyDescent="0.25">
      <c r="A21" t="s">
        <v>4</v>
      </c>
      <c r="B21" s="6">
        <f t="shared" si="0"/>
        <v>-568357.47058677697</v>
      </c>
      <c r="C21" s="6">
        <f t="shared" si="0"/>
        <v>630342.79779581109</v>
      </c>
      <c r="D21" s="5">
        <f t="shared" si="3"/>
        <v>-0.90166409860510022</v>
      </c>
      <c r="E21" s="6">
        <f t="shared" si="4"/>
        <v>61985.32720903412</v>
      </c>
      <c r="F21" s="6">
        <f t="shared" si="1"/>
        <v>-107357.135510147</v>
      </c>
      <c r="G21" s="6">
        <f t="shared" si="1"/>
        <v>123203.10413121541</v>
      </c>
      <c r="H21" s="5">
        <f t="shared" si="5"/>
        <v>-0.87138336543702721</v>
      </c>
      <c r="I21" s="6">
        <f t="shared" si="6"/>
        <v>15845.968621068416</v>
      </c>
      <c r="J21" s="6">
        <f t="shared" si="2"/>
        <v>-37918.655503970796</v>
      </c>
      <c r="K21" s="6">
        <f t="shared" si="2"/>
        <v>45651.924713912995</v>
      </c>
      <c r="L21" s="5">
        <f t="shared" si="7"/>
        <v>-0.83060365453583196</v>
      </c>
      <c r="M21" s="6">
        <f t="shared" si="8"/>
        <v>7733.2692099421984</v>
      </c>
      <c r="N21" t="s">
        <v>24</v>
      </c>
    </row>
    <row r="22" spans="1:14" x14ac:dyDescent="0.25">
      <c r="A22" t="s">
        <v>6</v>
      </c>
      <c r="B22" s="6">
        <f t="shared" si="0"/>
        <v>-629.11242305952999</v>
      </c>
      <c r="C22" s="6">
        <f t="shared" si="0"/>
        <v>4126.2415688571</v>
      </c>
      <c r="D22" s="5">
        <f t="shared" si="3"/>
        <v>-0.15246621230510835</v>
      </c>
      <c r="E22" s="6">
        <f t="shared" si="4"/>
        <v>3497.1291457975699</v>
      </c>
      <c r="F22" s="6">
        <f t="shared" si="1"/>
        <v>-412.48126069827401</v>
      </c>
      <c r="G22" s="6">
        <f t="shared" si="1"/>
        <v>3418.0807765760001</v>
      </c>
      <c r="H22" s="5">
        <f t="shared" si="5"/>
        <v>-0.1206762764429077</v>
      </c>
      <c r="I22" s="6">
        <f t="shared" si="6"/>
        <v>3005.5995158777259</v>
      </c>
      <c r="J22" s="6">
        <f t="shared" si="2"/>
        <v>-335.61574049935001</v>
      </c>
      <c r="K22" s="6">
        <f t="shared" si="2"/>
        <v>3011.92723547479</v>
      </c>
      <c r="L22" s="5">
        <f t="shared" si="7"/>
        <v>-0.11142890058778086</v>
      </c>
      <c r="M22" s="6">
        <f t="shared" si="8"/>
        <v>2676.3114949754399</v>
      </c>
      <c r="N22" t="s">
        <v>24</v>
      </c>
    </row>
    <row r="23" spans="1:14" x14ac:dyDescent="0.25">
      <c r="A23" t="s">
        <v>5</v>
      </c>
      <c r="B23" s="6">
        <f t="shared" si="0"/>
        <v>-24187.678536078602</v>
      </c>
      <c r="C23" s="6">
        <f t="shared" si="0"/>
        <v>2337.0840578976004</v>
      </c>
      <c r="D23" s="5">
        <f t="shared" si="3"/>
        <v>-10.349511586603954</v>
      </c>
      <c r="E23" s="6">
        <f t="shared" si="4"/>
        <v>-21850.594478181003</v>
      </c>
      <c r="F23" s="6">
        <f t="shared" si="1"/>
        <v>-5025.3693987003298</v>
      </c>
      <c r="G23" s="6">
        <f t="shared" si="1"/>
        <v>979.28706998899906</v>
      </c>
      <c r="H23" s="5">
        <f t="shared" si="5"/>
        <v>-5.1316611366642295</v>
      </c>
      <c r="I23" s="6">
        <f t="shared" si="6"/>
        <v>-4046.0823287113308</v>
      </c>
      <c r="J23" s="6">
        <f t="shared" si="2"/>
        <v>-2036.7477236836501</v>
      </c>
      <c r="K23" s="6">
        <f t="shared" si="2"/>
        <v>648.6834832782697</v>
      </c>
      <c r="L23" s="5">
        <f t="shared" si="7"/>
        <v>-3.1398174551793452</v>
      </c>
      <c r="M23" s="6">
        <f t="shared" si="8"/>
        <v>-1388.0642404053804</v>
      </c>
      <c r="N23" t="s">
        <v>24</v>
      </c>
    </row>
    <row r="24" spans="1:14" x14ac:dyDescent="0.25">
      <c r="A24" t="s">
        <v>8</v>
      </c>
      <c r="B24" s="6">
        <f t="shared" si="0"/>
        <v>-58217.953069988798</v>
      </c>
      <c r="C24" s="6">
        <f t="shared" si="0"/>
        <v>14708.132878070801</v>
      </c>
      <c r="D24" s="5">
        <f t="shared" si="3"/>
        <v>-3.9582150605118129</v>
      </c>
      <c r="E24" s="6">
        <f t="shared" si="4"/>
        <v>-43509.820191917999</v>
      </c>
      <c r="F24" s="6">
        <f t="shared" si="1"/>
        <v>-12921.4355867997</v>
      </c>
      <c r="G24" s="6">
        <f t="shared" si="1"/>
        <v>6299.1855513266</v>
      </c>
      <c r="H24" s="5">
        <f t="shared" si="5"/>
        <v>-2.0512867070693708</v>
      </c>
      <c r="I24" s="6">
        <f t="shared" si="6"/>
        <v>-6622.2500354731001</v>
      </c>
      <c r="J24" s="6">
        <f t="shared" si="2"/>
        <v>-5363.8813822450302</v>
      </c>
      <c r="K24" s="6">
        <f t="shared" si="2"/>
        <v>3509.5880533935906</v>
      </c>
      <c r="L24" s="5">
        <f t="shared" si="7"/>
        <v>-1.5283507068752509</v>
      </c>
      <c r="M24" s="6">
        <f t="shared" si="8"/>
        <v>-1854.2933288514396</v>
      </c>
      <c r="N24" t="s">
        <v>24</v>
      </c>
    </row>
    <row r="25" spans="1:14" x14ac:dyDescent="0.25">
      <c r="A25" t="s">
        <v>7</v>
      </c>
      <c r="B25" s="6">
        <f t="shared" si="0"/>
        <v>-36532.3357027936</v>
      </c>
      <c r="C25" s="6">
        <f t="shared" si="0"/>
        <v>4859.8610157378989</v>
      </c>
      <c r="D25" s="5">
        <f t="shared" si="3"/>
        <v>-7.5171564751521389</v>
      </c>
      <c r="E25" s="6">
        <f t="shared" si="4"/>
        <v>-31672.474687055699</v>
      </c>
      <c r="F25" s="6">
        <f t="shared" si="1"/>
        <v>-8027.2493380455498</v>
      </c>
      <c r="G25" s="6">
        <f t="shared" si="1"/>
        <v>2069.0140113137986</v>
      </c>
      <c r="H25" s="5">
        <f t="shared" si="5"/>
        <v>-3.8797462434526215</v>
      </c>
      <c r="I25" s="6">
        <f t="shared" si="6"/>
        <v>-5958.2353267317512</v>
      </c>
      <c r="J25" s="6">
        <f t="shared" si="2"/>
        <v>-3292.7796969207502</v>
      </c>
      <c r="K25" s="6">
        <f t="shared" si="2"/>
        <v>1145.6123160236912</v>
      </c>
      <c r="L25" s="5">
        <f t="shared" si="7"/>
        <v>-2.8742530530307739</v>
      </c>
      <c r="M25" s="6">
        <f t="shared" si="8"/>
        <v>-2147.167380897059</v>
      </c>
      <c r="N25" t="s">
        <v>24</v>
      </c>
    </row>
    <row r="26" spans="1:14" x14ac:dyDescent="0.25">
      <c r="A26" t="s">
        <v>9</v>
      </c>
      <c r="B26" s="6">
        <f t="shared" si="0"/>
        <v>-43040.1202776301</v>
      </c>
      <c r="C26" s="6">
        <f t="shared" si="0"/>
        <v>7071.4240773678011</v>
      </c>
      <c r="D26" s="5">
        <f t="shared" si="3"/>
        <v>-6.0864855235285136</v>
      </c>
      <c r="E26" s="6">
        <f t="shared" si="4"/>
        <v>-35968.696200262297</v>
      </c>
      <c r="F26" s="6">
        <f t="shared" si="1"/>
        <v>-9350.1536406274499</v>
      </c>
      <c r="G26" s="6">
        <f t="shared" si="1"/>
        <v>2982.7319463466993</v>
      </c>
      <c r="H26" s="5">
        <f t="shared" si="5"/>
        <v>-3.1347616241813738</v>
      </c>
      <c r="I26" s="6">
        <f t="shared" si="6"/>
        <v>-6367.4216942807507</v>
      </c>
      <c r="J26" s="6">
        <f t="shared" si="2"/>
        <v>-3948.2112997761601</v>
      </c>
      <c r="K26" s="6">
        <f t="shared" si="2"/>
        <v>1982.6901417550907</v>
      </c>
      <c r="L26" s="5">
        <f t="shared" si="7"/>
        <v>-1.9913405613048425</v>
      </c>
      <c r="M26" s="6">
        <f t="shared" si="8"/>
        <v>-1965.5211580210694</v>
      </c>
      <c r="N26" t="s">
        <v>24</v>
      </c>
    </row>
    <row r="27" spans="1:14" x14ac:dyDescent="0.25">
      <c r="A27" t="s">
        <v>10</v>
      </c>
      <c r="B27" s="6">
        <f t="shared" ref="B27:C30" si="9">B12-B$33</f>
        <v>-38255.645925858298</v>
      </c>
      <c r="C27" s="6">
        <f t="shared" si="9"/>
        <v>27844.316551196702</v>
      </c>
      <c r="D27" s="5">
        <f t="shared" si="3"/>
        <v>-1.3739121897827344</v>
      </c>
      <c r="E27" s="6">
        <f t="shared" si="4"/>
        <v>-10411.329374661596</v>
      </c>
      <c r="F27" s="6">
        <f t="shared" ref="F27:G30" si="10">F12-F$33</f>
        <v>-10717.5437780061</v>
      </c>
      <c r="G27" s="6">
        <f t="shared" si="10"/>
        <v>16321.083694048701</v>
      </c>
      <c r="H27" s="5">
        <f t="shared" si="5"/>
        <v>-0.65666863664905606</v>
      </c>
      <c r="I27" s="6">
        <f t="shared" si="6"/>
        <v>5603.5399160426005</v>
      </c>
      <c r="J27" s="6">
        <f t="shared" ref="J27:K30" si="11">J12-J$33</f>
        <v>-5715.8742587877696</v>
      </c>
      <c r="K27" s="6">
        <f t="shared" si="11"/>
        <v>11417.559116321592</v>
      </c>
      <c r="L27" s="5">
        <f t="shared" si="7"/>
        <v>-0.50062138505740961</v>
      </c>
      <c r="M27" s="6">
        <f t="shared" si="8"/>
        <v>5701.6848575338227</v>
      </c>
      <c r="N27" t="s">
        <v>24</v>
      </c>
    </row>
    <row r="28" spans="1:14" x14ac:dyDescent="0.25">
      <c r="A28" t="s">
        <v>11</v>
      </c>
      <c r="B28" s="6">
        <f t="shared" si="9"/>
        <v>-118894.24644871699</v>
      </c>
      <c r="C28" s="6">
        <f t="shared" si="9"/>
        <v>1176248.363798402</v>
      </c>
      <c r="D28" s="5">
        <f t="shared" si="3"/>
        <v>-0.10107920240992094</v>
      </c>
      <c r="E28" s="6">
        <f t="shared" si="4"/>
        <v>1057354.1173496849</v>
      </c>
      <c r="F28" s="6">
        <f t="shared" si="10"/>
        <v>-43687.746545707101</v>
      </c>
      <c r="G28" s="6">
        <f t="shared" si="10"/>
        <v>297386.80981420039</v>
      </c>
      <c r="H28" s="5">
        <f t="shared" si="5"/>
        <v>-0.1469054615199715</v>
      </c>
      <c r="I28" s="6">
        <f t="shared" si="6"/>
        <v>253699.06326849328</v>
      </c>
      <c r="J28" s="6">
        <f t="shared" si="11"/>
        <v>-25574.064566239598</v>
      </c>
      <c r="K28" s="6">
        <f t="shared" si="11"/>
        <v>138935.30596719577</v>
      </c>
      <c r="L28" s="5">
        <f t="shared" si="7"/>
        <v>-0.18407174755333916</v>
      </c>
      <c r="M28" s="6">
        <f t="shared" si="8"/>
        <v>113361.24140095618</v>
      </c>
      <c r="N28" t="s">
        <v>24</v>
      </c>
    </row>
    <row r="29" spans="1:14" x14ac:dyDescent="0.25">
      <c r="A29" t="s">
        <v>12</v>
      </c>
      <c r="B29" s="6">
        <f t="shared" si="9"/>
        <v>-27847.7754083363</v>
      </c>
      <c r="C29" s="6">
        <f t="shared" si="9"/>
        <v>11354.460030213499</v>
      </c>
      <c r="D29" s="5">
        <f t="shared" si="3"/>
        <v>-2.4525847406424552</v>
      </c>
      <c r="E29" s="6">
        <f t="shared" si="4"/>
        <v>-16493.315378122803</v>
      </c>
      <c r="F29" s="6">
        <f t="shared" si="10"/>
        <v>-6640.4507534377399</v>
      </c>
      <c r="G29" s="6">
        <f t="shared" si="10"/>
        <v>6356.3921801898996</v>
      </c>
      <c r="H29" s="5">
        <f t="shared" si="5"/>
        <v>-1.0446886480876882</v>
      </c>
      <c r="I29" s="6">
        <f t="shared" si="6"/>
        <v>-284.05857324784029</v>
      </c>
      <c r="J29" s="6">
        <f t="shared" si="11"/>
        <v>-3093.7558246702902</v>
      </c>
      <c r="K29" s="6">
        <f t="shared" si="11"/>
        <v>4312.2304298988911</v>
      </c>
      <c r="L29" s="5">
        <f t="shared" si="7"/>
        <v>-0.71743750130320139</v>
      </c>
      <c r="M29" s="6">
        <f t="shared" si="8"/>
        <v>1218.4746052286009</v>
      </c>
      <c r="N29" t="s">
        <v>24</v>
      </c>
    </row>
    <row r="30" spans="1:14" x14ac:dyDescent="0.25">
      <c r="A30" t="s">
        <v>43</v>
      </c>
      <c r="B30" s="6">
        <f t="shared" si="9"/>
        <v>-110898.496318538</v>
      </c>
      <c r="C30" s="6">
        <f t="shared" si="9"/>
        <v>56978.455524179306</v>
      </c>
      <c r="D30" s="5">
        <f t="shared" si="3"/>
        <v>-1.9463233128787996</v>
      </c>
      <c r="E30" s="6">
        <f t="shared" si="4"/>
        <v>-53920.040794358698</v>
      </c>
      <c r="F30" s="6">
        <f t="shared" si="10"/>
        <v>-29063.628096181299</v>
      </c>
      <c r="G30" s="6">
        <f t="shared" si="10"/>
        <v>20299.669874410101</v>
      </c>
      <c r="H30" s="5">
        <f t="shared" si="5"/>
        <v>-1.4317291008175015</v>
      </c>
      <c r="I30" s="6">
        <f t="shared" si="6"/>
        <v>-8763.9582217711977</v>
      </c>
      <c r="J30" s="6">
        <f t="shared" si="11"/>
        <v>-12270.0831571496</v>
      </c>
      <c r="K30" s="6">
        <f t="shared" si="11"/>
        <v>10039.370991663089</v>
      </c>
      <c r="L30" s="5">
        <f t="shared" si="7"/>
        <v>-1.2221964072588754</v>
      </c>
      <c r="M30" s="6">
        <f t="shared" si="8"/>
        <v>-2230.7121654865114</v>
      </c>
      <c r="N30" t="s">
        <v>24</v>
      </c>
    </row>
    <row r="32" spans="1:14" x14ac:dyDescent="0.25">
      <c r="A32" t="s">
        <v>13</v>
      </c>
      <c r="B32" t="s">
        <v>45</v>
      </c>
      <c r="C32" t="s">
        <v>46</v>
      </c>
      <c r="F32" t="s">
        <v>47</v>
      </c>
      <c r="G32" t="s">
        <v>48</v>
      </c>
      <c r="J32" t="s">
        <v>49</v>
      </c>
      <c r="K32" t="s">
        <v>50</v>
      </c>
    </row>
    <row r="33" spans="2:13" x14ac:dyDescent="0.25">
      <c r="B33" s="1">
        <v>0</v>
      </c>
      <c r="C33" s="1">
        <v>13051.0177235479</v>
      </c>
      <c r="D33" s="5">
        <v>0</v>
      </c>
      <c r="E33">
        <v>13051.0177235479</v>
      </c>
      <c r="F33" s="1">
        <v>0</v>
      </c>
      <c r="G33" s="1">
        <v>10184.315745906601</v>
      </c>
      <c r="H33" s="5">
        <v>0</v>
      </c>
      <c r="I33">
        <v>10184.315745906601</v>
      </c>
      <c r="J33" s="1">
        <v>0</v>
      </c>
      <c r="K33" s="1">
        <v>8618.8843159772096</v>
      </c>
      <c r="L33" s="5">
        <v>0</v>
      </c>
      <c r="M33">
        <v>8618.8843159772096</v>
      </c>
    </row>
  </sheetData>
  <conditionalFormatting sqref="D2:D15 H2:H15 L2:L15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D18:D30">
    <cfRule type="colorScale" priority="28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0">
    <cfRule type="colorScale" priority="30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0">
    <cfRule type="colorScale" priority="32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33"/>
  <sheetViews>
    <sheetView tabSelected="1" topLeftCell="G1" workbookViewId="0">
      <selection activeCell="M16" sqref="M16"/>
    </sheetView>
  </sheetViews>
  <sheetFormatPr defaultRowHeight="15" x14ac:dyDescent="0.25"/>
  <cols>
    <col min="1" max="1" width="22.28515625" bestFit="1" customWidth="1"/>
    <col min="2" max="2" width="14.5703125" bestFit="1" customWidth="1"/>
    <col min="3" max="3" width="13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</cols>
  <sheetData>
    <row r="1" spans="1:42" x14ac:dyDescent="0.25">
      <c r="A1" t="s">
        <v>0</v>
      </c>
      <c r="B1" s="4" t="s">
        <v>36</v>
      </c>
      <c r="C1" s="4" t="s">
        <v>37</v>
      </c>
      <c r="D1" s="5" t="s">
        <v>38</v>
      </c>
      <c r="E1" s="4" t="s">
        <v>39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</row>
    <row r="2" spans="1:42" x14ac:dyDescent="0.25">
      <c r="A2" t="s">
        <v>1</v>
      </c>
      <c r="B2" s="6">
        <v>-169783.383937301</v>
      </c>
      <c r="C2" s="6">
        <v>109571.663236227</v>
      </c>
      <c r="D2" s="5">
        <v>-1.5495190902711999</v>
      </c>
      <c r="E2" s="6">
        <v>-60211.720701074497</v>
      </c>
      <c r="F2" s="6">
        <v>-44358.724472512797</v>
      </c>
      <c r="G2" s="6">
        <v>44038.543338961201</v>
      </c>
      <c r="H2" s="5">
        <v>-1.00727047511738</v>
      </c>
      <c r="I2" s="6">
        <v>-320.18113355166798</v>
      </c>
      <c r="J2" s="6">
        <v>-18237.934782227901</v>
      </c>
      <c r="K2" s="6">
        <v>25144.881146538799</v>
      </c>
      <c r="L2" s="5">
        <v>-0.72531401822666097</v>
      </c>
      <c r="M2" s="6">
        <v>6906.9463643109302</v>
      </c>
      <c r="N2" t="s">
        <v>24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 x14ac:dyDescent="0.25">
      <c r="A3" t="s">
        <v>2</v>
      </c>
      <c r="B3" s="6">
        <v>-754774.02503940102</v>
      </c>
      <c r="C3" s="6">
        <v>764266.27563066699</v>
      </c>
      <c r="D3" s="5">
        <v>-0.98757991698190095</v>
      </c>
      <c r="E3" s="6">
        <v>9492.2505912656197</v>
      </c>
      <c r="F3" s="6">
        <v>-118636.45174144401</v>
      </c>
      <c r="G3" s="6">
        <v>130113.044607492</v>
      </c>
      <c r="H3" s="5">
        <v>-0.91179521699250599</v>
      </c>
      <c r="I3" s="6">
        <v>11476.5928660482</v>
      </c>
      <c r="J3" s="6">
        <v>-35032.9534274822</v>
      </c>
      <c r="K3" s="6">
        <v>45257.658276183502</v>
      </c>
      <c r="L3" s="5">
        <v>-0.77407790773651097</v>
      </c>
      <c r="M3" s="6">
        <v>10224.7048487013</v>
      </c>
      <c r="N3" t="s">
        <v>24</v>
      </c>
    </row>
    <row r="4" spans="1:42" x14ac:dyDescent="0.25">
      <c r="A4" t="s">
        <v>3</v>
      </c>
      <c r="B4" s="6">
        <v>-85029.801215989501</v>
      </c>
      <c r="C4" s="6">
        <v>102198.081346162</v>
      </c>
      <c r="D4" s="5">
        <v>-0.83200976080929201</v>
      </c>
      <c r="E4" s="6">
        <v>17168.280130173302</v>
      </c>
      <c r="F4" s="6">
        <v>-26414.7890866241</v>
      </c>
      <c r="G4" s="6">
        <v>55367.134457265798</v>
      </c>
      <c r="H4" s="5">
        <v>-0.47708427292750599</v>
      </c>
      <c r="I4" s="6">
        <v>28952.3453706416</v>
      </c>
      <c r="J4" s="6">
        <v>-13669.170538766301</v>
      </c>
      <c r="K4" s="6">
        <v>36771.1607417388</v>
      </c>
      <c r="L4" s="5">
        <v>-0.37173617212606802</v>
      </c>
      <c r="M4" s="6">
        <v>23101.9902029724</v>
      </c>
      <c r="N4" t="s">
        <v>24</v>
      </c>
    </row>
    <row r="5" spans="1:42" x14ac:dyDescent="0.25">
      <c r="A5" t="s">
        <v>4</v>
      </c>
      <c r="B5" s="6">
        <v>-1464989.78716154</v>
      </c>
      <c r="C5" s="6">
        <v>1485429.39379307</v>
      </c>
      <c r="D5" s="5">
        <v>-0.98623993390938702</v>
      </c>
      <c r="E5" s="6">
        <v>20439.606631531598</v>
      </c>
      <c r="F5" s="6">
        <v>-244021.109044115</v>
      </c>
      <c r="G5" s="6">
        <v>269761.83991016098</v>
      </c>
      <c r="H5" s="5">
        <v>-0.90457979203204397</v>
      </c>
      <c r="I5" s="6">
        <v>25740.730866045898</v>
      </c>
      <c r="J5" s="6">
        <v>-77084.450851909904</v>
      </c>
      <c r="K5" s="6">
        <v>96376.642356775497</v>
      </c>
      <c r="L5" s="5">
        <v>-0.79982502987136495</v>
      </c>
      <c r="M5" s="6">
        <v>19292.191504865601</v>
      </c>
      <c r="N5" t="s">
        <v>24</v>
      </c>
    </row>
    <row r="6" spans="1:42" x14ac:dyDescent="0.25">
      <c r="A6" t="s">
        <v>89</v>
      </c>
      <c r="B6" s="6">
        <v>0</v>
      </c>
      <c r="C6" s="6">
        <v>15116.4576849762</v>
      </c>
      <c r="D6" s="5">
        <v>0</v>
      </c>
      <c r="E6" s="6">
        <v>15116.4576849762</v>
      </c>
      <c r="F6" s="6">
        <v>0</v>
      </c>
      <c r="G6" s="6">
        <v>11664.787219482399</v>
      </c>
      <c r="H6" s="5">
        <v>0</v>
      </c>
      <c r="I6" s="6">
        <v>11664.787219482399</v>
      </c>
      <c r="J6" s="6">
        <v>0</v>
      </c>
      <c r="K6" s="6">
        <v>9787.7637750826798</v>
      </c>
      <c r="L6" s="5">
        <v>0</v>
      </c>
      <c r="M6" s="6">
        <v>9787.7637750826798</v>
      </c>
      <c r="N6" t="s">
        <v>24</v>
      </c>
    </row>
    <row r="7" spans="1:42" x14ac:dyDescent="0.25">
      <c r="A7" t="s">
        <v>6</v>
      </c>
      <c r="B7" s="6">
        <v>-3727.1947617020901</v>
      </c>
      <c r="C7" s="6">
        <v>19326.595251195398</v>
      </c>
      <c r="D7" s="5">
        <v>-0.19285314941707299</v>
      </c>
      <c r="E7" s="6">
        <v>15599.4004894933</v>
      </c>
      <c r="F7" s="6">
        <v>-879.19316191022494</v>
      </c>
      <c r="G7" s="6">
        <v>15143.0056421386</v>
      </c>
      <c r="H7" s="5">
        <v>-5.8059356424175201E-2</v>
      </c>
      <c r="I7" s="6">
        <v>14263.8124802284</v>
      </c>
      <c r="J7" s="6">
        <v>-494.59745807002702</v>
      </c>
      <c r="K7" s="6">
        <v>12847.173309927401</v>
      </c>
      <c r="L7" s="5">
        <v>-3.8498543308965599E-2</v>
      </c>
      <c r="M7" s="6">
        <v>12352.5758518573</v>
      </c>
      <c r="N7" t="s">
        <v>24</v>
      </c>
    </row>
    <row r="8" spans="1:42" x14ac:dyDescent="0.25">
      <c r="A8" t="s">
        <v>5</v>
      </c>
      <c r="B8" s="6">
        <v>-45921.597500000003</v>
      </c>
      <c r="C8" s="6">
        <v>17442.370070000001</v>
      </c>
      <c r="D8" s="5">
        <v>-2.632761334</v>
      </c>
      <c r="E8" s="6">
        <v>-28479.227429999999</v>
      </c>
      <c r="F8" s="6">
        <v>-8674.7509489999993</v>
      </c>
      <c r="G8" s="6">
        <v>12636.066210000001</v>
      </c>
      <c r="H8" s="5">
        <v>-0.68650724100000005</v>
      </c>
      <c r="I8" s="6">
        <v>3961.3152599999999</v>
      </c>
      <c r="J8" s="6">
        <v>-3198.9574539999999</v>
      </c>
      <c r="K8" s="6">
        <v>10430.124330000001</v>
      </c>
      <c r="L8" s="5">
        <v>-0.30670367399999998</v>
      </c>
      <c r="M8" s="6">
        <v>7231.1668760000002</v>
      </c>
      <c r="N8" t="s">
        <v>24</v>
      </c>
    </row>
    <row r="9" spans="1:42" x14ac:dyDescent="0.25">
      <c r="A9" t="s">
        <v>8</v>
      </c>
      <c r="B9" s="6">
        <v>-107072.6366</v>
      </c>
      <c r="C9" s="6">
        <v>29750.17525</v>
      </c>
      <c r="D9" s="5">
        <v>-3.5990590220000001</v>
      </c>
      <c r="E9" s="6">
        <v>-77322.4614</v>
      </c>
      <c r="F9" s="6">
        <v>-21894.339179999999</v>
      </c>
      <c r="G9" s="6">
        <v>17910.632170000001</v>
      </c>
      <c r="H9" s="5">
        <v>-1.222421352</v>
      </c>
      <c r="I9" s="6">
        <v>-3983.7070140000001</v>
      </c>
      <c r="J9" s="6">
        <v>-8514.542308</v>
      </c>
      <c r="K9" s="6">
        <v>13255.23702</v>
      </c>
      <c r="L9" s="5">
        <v>-0.64235307799999997</v>
      </c>
      <c r="M9" s="6">
        <v>4740.6947149999996</v>
      </c>
      <c r="N9" t="s">
        <v>24</v>
      </c>
    </row>
    <row r="10" spans="1:42" x14ac:dyDescent="0.25">
      <c r="A10" t="s">
        <v>7</v>
      </c>
      <c r="B10" s="6">
        <v>-69242.862210000007</v>
      </c>
      <c r="C10" s="6">
        <v>19942.877789999999</v>
      </c>
      <c r="D10" s="5">
        <v>-3.4720596960000001</v>
      </c>
      <c r="E10" s="6">
        <v>-49299.984420000001</v>
      </c>
      <c r="F10" s="6">
        <v>-13872.35764</v>
      </c>
      <c r="G10" s="6">
        <v>13709.831690000001</v>
      </c>
      <c r="H10" s="5">
        <v>-1.0118547010000001</v>
      </c>
      <c r="I10" s="6">
        <v>-162.5259556</v>
      </c>
      <c r="J10" s="6">
        <v>-5283.9158260000004</v>
      </c>
      <c r="K10" s="6">
        <v>10914.4516</v>
      </c>
      <c r="L10" s="5">
        <v>-0.48412105500000002</v>
      </c>
      <c r="M10" s="6">
        <v>5630.5357700000004</v>
      </c>
      <c r="N10" t="s">
        <v>24</v>
      </c>
    </row>
    <row r="11" spans="1:42" x14ac:dyDescent="0.25">
      <c r="A11" t="s">
        <v>9</v>
      </c>
      <c r="B11" s="6">
        <v>-81117.731169999999</v>
      </c>
      <c r="C11" s="6">
        <v>22161.367180000001</v>
      </c>
      <c r="D11" s="5">
        <v>-3.6603216089999999</v>
      </c>
      <c r="E11" s="6">
        <v>-58956.363989999998</v>
      </c>
      <c r="F11" s="6">
        <v>-15910.76873</v>
      </c>
      <c r="G11" s="6">
        <v>14628.51396</v>
      </c>
      <c r="H11" s="5">
        <v>-1.087654479</v>
      </c>
      <c r="I11" s="6">
        <v>-1282.254772</v>
      </c>
      <c r="J11" s="6">
        <v>-6110.8874349999996</v>
      </c>
      <c r="K11" s="6">
        <v>11755.448689999999</v>
      </c>
      <c r="L11" s="5">
        <v>-0.51983447000000005</v>
      </c>
      <c r="M11" s="6">
        <v>5644.5612549999996</v>
      </c>
      <c r="N11" t="s">
        <v>24</v>
      </c>
    </row>
    <row r="12" spans="1:42" x14ac:dyDescent="0.25">
      <c r="A12" t="s">
        <v>10</v>
      </c>
      <c r="B12" s="6">
        <v>-70006.101200000005</v>
      </c>
      <c r="C12" s="6">
        <v>43027.701009999997</v>
      </c>
      <c r="D12" s="5">
        <v>-1.6270007360000001</v>
      </c>
      <c r="E12" s="6">
        <v>-26978.4002</v>
      </c>
      <c r="F12" s="6">
        <v>-16549.278579999998</v>
      </c>
      <c r="G12" s="6">
        <v>28014.328229999999</v>
      </c>
      <c r="H12" s="5">
        <v>-0.59074336699999996</v>
      </c>
      <c r="I12" s="6">
        <v>11465.049650000001</v>
      </c>
      <c r="J12" s="6">
        <v>-7773.9790499999999</v>
      </c>
      <c r="K12" s="6">
        <v>21219.906439999999</v>
      </c>
      <c r="L12" s="5">
        <v>-0.36635312599999997</v>
      </c>
      <c r="M12" s="6">
        <v>13445.927390000001</v>
      </c>
      <c r="N12" t="s">
        <v>24</v>
      </c>
    </row>
    <row r="13" spans="1:42" x14ac:dyDescent="0.25">
      <c r="A13" t="s">
        <v>11</v>
      </c>
      <c r="B13" s="6">
        <v>-185026.90859979999</v>
      </c>
      <c r="C13" s="6">
        <v>1222255.06540259</v>
      </c>
      <c r="D13" s="5">
        <v>-0.15138158461127299</v>
      </c>
      <c r="E13" s="6">
        <v>1037228.15680279</v>
      </c>
      <c r="F13" s="6">
        <v>-50271.5769779783</v>
      </c>
      <c r="G13" s="6">
        <v>314637.33333703299</v>
      </c>
      <c r="H13" s="5">
        <v>-0.15977626191017899</v>
      </c>
      <c r="I13" s="6">
        <v>264365.75635905401</v>
      </c>
      <c r="J13" s="6">
        <v>-26217.887908184199</v>
      </c>
      <c r="K13" s="6">
        <v>150342.90243768101</v>
      </c>
      <c r="L13" s="5">
        <v>-0.17438726726093201</v>
      </c>
      <c r="M13" s="6">
        <v>124125.014529497</v>
      </c>
      <c r="N13" t="s">
        <v>24</v>
      </c>
    </row>
    <row r="14" spans="1:42" x14ac:dyDescent="0.25">
      <c r="A14" t="s">
        <v>12</v>
      </c>
      <c r="B14" s="6">
        <v>-52677.846720000001</v>
      </c>
      <c r="C14" s="6">
        <v>26536.449100000002</v>
      </c>
      <c r="D14" s="5">
        <v>-1.9851128739999999</v>
      </c>
      <c r="E14" s="6">
        <v>-26141.397629999999</v>
      </c>
      <c r="F14" s="6">
        <v>-11192.743119999999</v>
      </c>
      <c r="G14" s="6">
        <v>18052.313989999999</v>
      </c>
      <c r="H14" s="5">
        <v>-0.62001708700000002</v>
      </c>
      <c r="I14" s="6">
        <v>6859.5708640000003</v>
      </c>
      <c r="J14" s="6">
        <v>-4681.5643</v>
      </c>
      <c r="K14" s="6">
        <v>14118.205330000001</v>
      </c>
      <c r="L14" s="5">
        <v>-0.331597692</v>
      </c>
      <c r="M14" s="6">
        <v>9436.6410329999999</v>
      </c>
      <c r="N14" t="s">
        <v>24</v>
      </c>
    </row>
    <row r="15" spans="1:42" x14ac:dyDescent="0.25">
      <c r="A15" t="s">
        <v>43</v>
      </c>
      <c r="B15" s="6">
        <v>-107282.405397856</v>
      </c>
      <c r="C15" s="6">
        <v>29019.631879031102</v>
      </c>
      <c r="D15" s="5">
        <v>-3.6968906375196302</v>
      </c>
      <c r="E15" s="6">
        <v>-78262.773518825401</v>
      </c>
      <c r="F15" s="6">
        <v>-20872.627605884099</v>
      </c>
      <c r="G15" s="6">
        <v>19127.9105073717</v>
      </c>
      <c r="H15" s="5">
        <v>-1.09121315670313</v>
      </c>
      <c r="I15" s="6">
        <v>-1744.7170985124201</v>
      </c>
      <c r="J15" s="6">
        <v>-8174.0890987246003</v>
      </c>
      <c r="K15" s="6">
        <v>14840.0221098601</v>
      </c>
      <c r="L15" s="5">
        <v>-0.55081380864611196</v>
      </c>
      <c r="M15" s="6">
        <v>6665.9330111355703</v>
      </c>
      <c r="N15" s="1" t="s">
        <v>24</v>
      </c>
      <c r="O15" s="1"/>
    </row>
    <row r="16" spans="1:42" x14ac:dyDescent="0.25">
      <c r="B16" s="4"/>
      <c r="C16" s="4"/>
      <c r="E16" s="4"/>
      <c r="F16" s="4"/>
      <c r="G16" s="4"/>
      <c r="I16" s="4"/>
      <c r="J16" s="4"/>
      <c r="K16" s="4"/>
      <c r="M16" s="4"/>
    </row>
    <row r="17" spans="1:14" x14ac:dyDescent="0.25">
      <c r="A17" s="3" t="s">
        <v>44</v>
      </c>
      <c r="B17" s="4" t="s">
        <v>36</v>
      </c>
      <c r="C17" s="4" t="s">
        <v>37</v>
      </c>
      <c r="D17" s="5" t="s">
        <v>38</v>
      </c>
      <c r="E17" s="4" t="s">
        <v>39</v>
      </c>
      <c r="F17" s="4" t="s">
        <v>15</v>
      </c>
      <c r="G17" s="4" t="s">
        <v>16</v>
      </c>
      <c r="H17" s="5" t="s">
        <v>17</v>
      </c>
      <c r="I17" s="4" t="s">
        <v>18</v>
      </c>
      <c r="J17" s="4" t="s">
        <v>19</v>
      </c>
      <c r="K17" s="4" t="s">
        <v>20</v>
      </c>
      <c r="L17" s="5" t="s">
        <v>21</v>
      </c>
      <c r="M17" s="4" t="s">
        <v>22</v>
      </c>
      <c r="N17" t="s">
        <v>23</v>
      </c>
    </row>
    <row r="18" spans="1:14" x14ac:dyDescent="0.25">
      <c r="A18" t="s">
        <v>1</v>
      </c>
      <c r="B18" s="6">
        <f t="shared" ref="B18:C21" si="0">B2-B$33</f>
        <v>-169783.383937301</v>
      </c>
      <c r="C18" s="6">
        <f t="shared" si="0"/>
        <v>94455.205551250809</v>
      </c>
      <c r="D18" s="5">
        <f>B18/C18</f>
        <v>-1.7975016087935733</v>
      </c>
      <c r="E18" s="6">
        <f>B18+C18</f>
        <v>-75328.178386050189</v>
      </c>
      <c r="F18" s="6">
        <f t="shared" ref="F18:G21" si="1">F2-F$33</f>
        <v>-44358.724472512797</v>
      </c>
      <c r="G18" s="6">
        <f t="shared" si="1"/>
        <v>32373.7561194788</v>
      </c>
      <c r="H18" s="5">
        <f>F18/G18</f>
        <v>-1.3702062963840895</v>
      </c>
      <c r="I18" s="6">
        <f>F18+G18</f>
        <v>-11984.968353033997</v>
      </c>
      <c r="J18" s="6">
        <f t="shared" ref="J18:K21" si="2">J2-J$33</f>
        <v>-18237.934782227901</v>
      </c>
      <c r="K18" s="6">
        <f t="shared" si="2"/>
        <v>15357.117371456119</v>
      </c>
      <c r="L18" s="5">
        <f>J18/K18</f>
        <v>-1.1875884217780535</v>
      </c>
      <c r="M18" s="6">
        <f>J18+K18</f>
        <v>-2880.8174107717823</v>
      </c>
      <c r="N18" t="s">
        <v>24</v>
      </c>
    </row>
    <row r="19" spans="1:14" x14ac:dyDescent="0.25">
      <c r="A19" t="s">
        <v>2</v>
      </c>
      <c r="B19" s="6">
        <f t="shared" si="0"/>
        <v>-754774.02503940102</v>
      </c>
      <c r="C19" s="6">
        <f t="shared" si="0"/>
        <v>749149.81794569083</v>
      </c>
      <c r="D19" s="5">
        <f t="shared" ref="D19:D30" si="3">B19/C19</f>
        <v>-1.0075074530607679</v>
      </c>
      <c r="E19" s="6">
        <f t="shared" ref="E19:E30" si="4">B19+C19</f>
        <v>-5624.2070937101962</v>
      </c>
      <c r="F19" s="6">
        <f t="shared" si="1"/>
        <v>-118636.45174144401</v>
      </c>
      <c r="G19" s="6">
        <f t="shared" si="1"/>
        <v>118448.2573880096</v>
      </c>
      <c r="H19" s="5">
        <f t="shared" ref="H19:H30" si="5">F19/G19</f>
        <v>-1.0015888317615169</v>
      </c>
      <c r="I19" s="6">
        <f t="shared" ref="I19:I30" si="6">F19+G19</f>
        <v>-188.19435343440273</v>
      </c>
      <c r="J19" s="6">
        <f t="shared" si="2"/>
        <v>-35032.9534274822</v>
      </c>
      <c r="K19" s="6">
        <f t="shared" si="2"/>
        <v>35469.894501100818</v>
      </c>
      <c r="L19" s="5">
        <f t="shared" ref="L19:L30" si="7">J19/K19</f>
        <v>-0.98768135401121482</v>
      </c>
      <c r="M19" s="6">
        <f t="shared" ref="M19:M30" si="8">J19+K19</f>
        <v>436.94107361861825</v>
      </c>
      <c r="N19" t="s">
        <v>24</v>
      </c>
    </row>
    <row r="20" spans="1:14" x14ac:dyDescent="0.25">
      <c r="A20" t="s">
        <v>3</v>
      </c>
      <c r="B20" s="6">
        <f t="shared" si="0"/>
        <v>-85029.801215989501</v>
      </c>
      <c r="C20" s="6">
        <f t="shared" si="0"/>
        <v>87081.623661185804</v>
      </c>
      <c r="D20" s="5">
        <f t="shared" si="3"/>
        <v>-0.97643793995872807</v>
      </c>
      <c r="E20" s="6">
        <f t="shared" si="4"/>
        <v>2051.8224451963033</v>
      </c>
      <c r="F20" s="6">
        <f t="shared" si="1"/>
        <v>-26414.7890866241</v>
      </c>
      <c r="G20" s="6">
        <f t="shared" si="1"/>
        <v>43702.347237783397</v>
      </c>
      <c r="H20" s="5">
        <f t="shared" si="5"/>
        <v>-0.60442495097349991</v>
      </c>
      <c r="I20" s="6">
        <f t="shared" si="6"/>
        <v>17287.558151159297</v>
      </c>
      <c r="J20" s="6">
        <f t="shared" si="2"/>
        <v>-13669.170538766301</v>
      </c>
      <c r="K20" s="6">
        <f t="shared" si="2"/>
        <v>26983.396966656121</v>
      </c>
      <c r="L20" s="5">
        <f t="shared" si="7"/>
        <v>-0.50657708351759956</v>
      </c>
      <c r="M20" s="6">
        <f t="shared" si="8"/>
        <v>13314.22642788982</v>
      </c>
      <c r="N20" t="s">
        <v>24</v>
      </c>
    </row>
    <row r="21" spans="1:14" x14ac:dyDescent="0.25">
      <c r="A21" t="s">
        <v>4</v>
      </c>
      <c r="B21" s="6">
        <f t="shared" si="0"/>
        <v>-1464989.78716154</v>
      </c>
      <c r="C21" s="6">
        <f t="shared" si="0"/>
        <v>1470312.9361080937</v>
      </c>
      <c r="D21" s="5">
        <f t="shared" si="3"/>
        <v>-0.99637958096142165</v>
      </c>
      <c r="E21" s="6">
        <f t="shared" si="4"/>
        <v>5323.1489465537015</v>
      </c>
      <c r="F21" s="6">
        <f t="shared" si="1"/>
        <v>-244021.109044115</v>
      </c>
      <c r="G21" s="6">
        <f t="shared" si="1"/>
        <v>258097.0526906786</v>
      </c>
      <c r="H21" s="5">
        <f t="shared" si="5"/>
        <v>-0.94546259440074587</v>
      </c>
      <c r="I21" s="6">
        <f t="shared" si="6"/>
        <v>14075.943646563595</v>
      </c>
      <c r="J21" s="6">
        <f t="shared" si="2"/>
        <v>-77084.450851909904</v>
      </c>
      <c r="K21" s="6">
        <f t="shared" si="2"/>
        <v>86588.878581692814</v>
      </c>
      <c r="L21" s="5">
        <f t="shared" si="7"/>
        <v>-0.89023500609473882</v>
      </c>
      <c r="M21" s="6">
        <f t="shared" si="8"/>
        <v>9504.4277297829103</v>
      </c>
      <c r="N21" t="s">
        <v>24</v>
      </c>
    </row>
    <row r="22" spans="1:14" x14ac:dyDescent="0.25">
      <c r="A22" t="s">
        <v>6</v>
      </c>
      <c r="B22" s="6">
        <f t="shared" ref="B22:C30" si="9">B7-B$33</f>
        <v>-3727.1947617020901</v>
      </c>
      <c r="C22" s="6">
        <f t="shared" si="9"/>
        <v>4210.1375662191986</v>
      </c>
      <c r="D22" s="5">
        <f t="shared" si="3"/>
        <v>-0.88529049302519525</v>
      </c>
      <c r="E22" s="6">
        <f t="shared" si="4"/>
        <v>482.94280451710847</v>
      </c>
      <c r="F22" s="6">
        <f t="shared" ref="F22:G30" si="10">F7-F$33</f>
        <v>-879.19316191022494</v>
      </c>
      <c r="G22" s="6">
        <f t="shared" si="10"/>
        <v>3478.2184226562003</v>
      </c>
      <c r="H22" s="5">
        <f t="shared" si="5"/>
        <v>-0.25277111873808494</v>
      </c>
      <c r="I22" s="6">
        <f t="shared" si="6"/>
        <v>2599.0252607459752</v>
      </c>
      <c r="J22" s="6">
        <f t="shared" ref="J22:K30" si="11">J7-J$33</f>
        <v>-494.59745807002702</v>
      </c>
      <c r="K22" s="6">
        <f t="shared" si="11"/>
        <v>3059.4095348447208</v>
      </c>
      <c r="L22" s="5">
        <f t="shared" si="7"/>
        <v>-0.16166435138443475</v>
      </c>
      <c r="M22" s="6">
        <f t="shared" si="8"/>
        <v>2564.8120767746937</v>
      </c>
      <c r="N22" t="s">
        <v>24</v>
      </c>
    </row>
    <row r="23" spans="1:14" x14ac:dyDescent="0.25">
      <c r="A23" t="s">
        <v>5</v>
      </c>
      <c r="B23" s="6">
        <f t="shared" si="9"/>
        <v>-45921.597500000003</v>
      </c>
      <c r="C23" s="6">
        <f t="shared" si="9"/>
        <v>2325.9123850238011</v>
      </c>
      <c r="D23" s="5">
        <f t="shared" si="3"/>
        <v>-19.743476923585877</v>
      </c>
      <c r="E23" s="6">
        <f t="shared" si="4"/>
        <v>-43595.685114976201</v>
      </c>
      <c r="F23" s="6">
        <f t="shared" si="10"/>
        <v>-8674.7509489999993</v>
      </c>
      <c r="G23" s="6">
        <f t="shared" si="10"/>
        <v>971.27899051760141</v>
      </c>
      <c r="H23" s="5">
        <f t="shared" si="5"/>
        <v>-8.9312659222425506</v>
      </c>
      <c r="I23" s="6">
        <f t="shared" si="6"/>
        <v>-7703.4719584823979</v>
      </c>
      <c r="J23" s="6">
        <f t="shared" si="11"/>
        <v>-3198.9574539999999</v>
      </c>
      <c r="K23" s="6">
        <f t="shared" si="11"/>
        <v>642.36055491732077</v>
      </c>
      <c r="L23" s="5">
        <f t="shared" si="7"/>
        <v>-4.9800029430694774</v>
      </c>
      <c r="M23" s="6">
        <f t="shared" si="8"/>
        <v>-2556.5968990826791</v>
      </c>
      <c r="N23" t="s">
        <v>24</v>
      </c>
    </row>
    <row r="24" spans="1:14" x14ac:dyDescent="0.25">
      <c r="A24" t="s">
        <v>8</v>
      </c>
      <c r="B24" s="6">
        <f t="shared" si="9"/>
        <v>-107072.6366</v>
      </c>
      <c r="C24" s="6">
        <f t="shared" si="9"/>
        <v>14633.7175650238</v>
      </c>
      <c r="D24" s="5">
        <f t="shared" si="3"/>
        <v>-7.3168445491879259</v>
      </c>
      <c r="E24" s="6">
        <f t="shared" si="4"/>
        <v>-92438.919034976192</v>
      </c>
      <c r="F24" s="6">
        <f t="shared" si="10"/>
        <v>-21894.339179999999</v>
      </c>
      <c r="G24" s="6">
        <f t="shared" si="10"/>
        <v>6245.8449505176013</v>
      </c>
      <c r="H24" s="5">
        <f t="shared" si="5"/>
        <v>-3.5054247028955765</v>
      </c>
      <c r="I24" s="6">
        <f t="shared" si="6"/>
        <v>-15648.494229482398</v>
      </c>
      <c r="J24" s="6">
        <f t="shared" si="11"/>
        <v>-8514.542308</v>
      </c>
      <c r="K24" s="6">
        <f t="shared" si="11"/>
        <v>3467.4732449173207</v>
      </c>
      <c r="L24" s="5">
        <f t="shared" si="7"/>
        <v>-2.455546649272855</v>
      </c>
      <c r="M24" s="6">
        <f t="shared" si="8"/>
        <v>-5047.0690630826793</v>
      </c>
      <c r="N24" t="s">
        <v>24</v>
      </c>
    </row>
    <row r="25" spans="1:14" x14ac:dyDescent="0.25">
      <c r="A25" t="s">
        <v>7</v>
      </c>
      <c r="B25" s="6">
        <f t="shared" si="9"/>
        <v>-69242.862210000007</v>
      </c>
      <c r="C25" s="6">
        <f t="shared" si="9"/>
        <v>4826.4201050237989</v>
      </c>
      <c r="D25" s="5">
        <f t="shared" si="3"/>
        <v>-14.346629738659804</v>
      </c>
      <c r="E25" s="6">
        <f t="shared" si="4"/>
        <v>-64416.44210497621</v>
      </c>
      <c r="F25" s="6">
        <f t="shared" si="10"/>
        <v>-13872.35764</v>
      </c>
      <c r="G25" s="6">
        <f t="shared" si="10"/>
        <v>2045.0444705176014</v>
      </c>
      <c r="H25" s="5">
        <f t="shared" si="5"/>
        <v>-6.7834014565408944</v>
      </c>
      <c r="I25" s="6">
        <f t="shared" si="6"/>
        <v>-11827.313169482399</v>
      </c>
      <c r="J25" s="6">
        <f t="shared" si="11"/>
        <v>-5283.9158260000004</v>
      </c>
      <c r="K25" s="6">
        <f t="shared" si="11"/>
        <v>1126.6878249173205</v>
      </c>
      <c r="L25" s="5">
        <f t="shared" si="7"/>
        <v>-4.6897780460064427</v>
      </c>
      <c r="M25" s="6">
        <f t="shared" si="8"/>
        <v>-4157.2280010826798</v>
      </c>
      <c r="N25" t="s">
        <v>24</v>
      </c>
    </row>
    <row r="26" spans="1:14" x14ac:dyDescent="0.25">
      <c r="A26" t="s">
        <v>9</v>
      </c>
      <c r="B26" s="6">
        <f t="shared" si="9"/>
        <v>-81117.731169999999</v>
      </c>
      <c r="C26" s="6">
        <f t="shared" si="9"/>
        <v>7044.9094950238014</v>
      </c>
      <c r="D26" s="5">
        <f t="shared" si="3"/>
        <v>-11.514375199184293</v>
      </c>
      <c r="E26" s="6">
        <f t="shared" si="4"/>
        <v>-74072.821674976192</v>
      </c>
      <c r="F26" s="6">
        <f t="shared" si="10"/>
        <v>-15910.76873</v>
      </c>
      <c r="G26" s="6">
        <f t="shared" si="10"/>
        <v>2963.7267405176008</v>
      </c>
      <c r="H26" s="5">
        <f t="shared" si="5"/>
        <v>-5.3685005815418929</v>
      </c>
      <c r="I26" s="6">
        <f t="shared" si="6"/>
        <v>-12947.041989482399</v>
      </c>
      <c r="J26" s="6">
        <f t="shared" si="11"/>
        <v>-6110.8874349999996</v>
      </c>
      <c r="K26" s="6">
        <f t="shared" si="11"/>
        <v>1967.6849149173195</v>
      </c>
      <c r="L26" s="5">
        <f t="shared" si="7"/>
        <v>-3.1056229524719279</v>
      </c>
      <c r="M26" s="6">
        <f t="shared" si="8"/>
        <v>-4143.2025200826802</v>
      </c>
      <c r="N26" t="s">
        <v>24</v>
      </c>
    </row>
    <row r="27" spans="1:14" x14ac:dyDescent="0.25">
      <c r="A27" t="s">
        <v>10</v>
      </c>
      <c r="B27" s="6">
        <f t="shared" si="9"/>
        <v>-70006.101200000005</v>
      </c>
      <c r="C27" s="6">
        <f t="shared" si="9"/>
        <v>27911.243325023795</v>
      </c>
      <c r="D27" s="5">
        <f t="shared" si="3"/>
        <v>-2.5081684962860864</v>
      </c>
      <c r="E27" s="6">
        <f t="shared" si="4"/>
        <v>-42094.857874976209</v>
      </c>
      <c r="F27" s="6">
        <f t="shared" si="10"/>
        <v>-16549.278579999998</v>
      </c>
      <c r="G27" s="6">
        <f t="shared" si="10"/>
        <v>16349.5410105176</v>
      </c>
      <c r="H27" s="5">
        <f t="shared" si="5"/>
        <v>-1.0122167080625633</v>
      </c>
      <c r="I27" s="6">
        <f t="shared" si="6"/>
        <v>-199.73756948239861</v>
      </c>
      <c r="J27" s="6">
        <f t="shared" si="11"/>
        <v>-7773.9790499999999</v>
      </c>
      <c r="K27" s="6">
        <f t="shared" si="11"/>
        <v>11432.142664917319</v>
      </c>
      <c r="L27" s="5">
        <f t="shared" si="7"/>
        <v>-0.68001067497666889</v>
      </c>
      <c r="M27" s="6">
        <f t="shared" si="8"/>
        <v>3658.1636149173191</v>
      </c>
      <c r="N27" t="s">
        <v>24</v>
      </c>
    </row>
    <row r="28" spans="1:14" x14ac:dyDescent="0.25">
      <c r="A28" t="s">
        <v>11</v>
      </c>
      <c r="B28" s="6">
        <f t="shared" si="9"/>
        <v>-185026.90859979999</v>
      </c>
      <c r="C28" s="6">
        <f t="shared" si="9"/>
        <v>1207138.6077176137</v>
      </c>
      <c r="D28" s="5">
        <f t="shared" si="3"/>
        <v>-0.15327726858942731</v>
      </c>
      <c r="E28" s="6">
        <f t="shared" si="4"/>
        <v>1022111.6991178137</v>
      </c>
      <c r="F28" s="6">
        <f t="shared" si="10"/>
        <v>-50271.5769779783</v>
      </c>
      <c r="G28" s="6">
        <f t="shared" si="10"/>
        <v>302972.54611755058</v>
      </c>
      <c r="H28" s="5">
        <f t="shared" si="5"/>
        <v>-0.16592782950859641</v>
      </c>
      <c r="I28" s="6">
        <f t="shared" si="6"/>
        <v>252700.96913957229</v>
      </c>
      <c r="J28" s="6">
        <f t="shared" si="11"/>
        <v>-26217.887908184199</v>
      </c>
      <c r="K28" s="6">
        <f t="shared" si="11"/>
        <v>140555.13866259833</v>
      </c>
      <c r="L28" s="5">
        <f t="shared" si="7"/>
        <v>-0.18653098106302654</v>
      </c>
      <c r="M28" s="6">
        <f t="shared" si="8"/>
        <v>114337.25075441413</v>
      </c>
      <c r="N28" t="s">
        <v>24</v>
      </c>
    </row>
    <row r="29" spans="1:14" x14ac:dyDescent="0.25">
      <c r="A29" t="s">
        <v>12</v>
      </c>
      <c r="B29" s="6">
        <f t="shared" si="9"/>
        <v>-52677.846720000001</v>
      </c>
      <c r="C29" s="6">
        <f t="shared" si="9"/>
        <v>11419.991415023802</v>
      </c>
      <c r="D29" s="5">
        <f t="shared" si="3"/>
        <v>-4.6127746340245572</v>
      </c>
      <c r="E29" s="6">
        <f t="shared" si="4"/>
        <v>-41257.855304976198</v>
      </c>
      <c r="F29" s="6">
        <f t="shared" si="10"/>
        <v>-11192.743119999999</v>
      </c>
      <c r="G29" s="6">
        <f t="shared" si="10"/>
        <v>6387.5267705175993</v>
      </c>
      <c r="H29" s="5">
        <f t="shared" si="5"/>
        <v>-1.752281207127218</v>
      </c>
      <c r="I29" s="6">
        <f t="shared" si="6"/>
        <v>-4805.2163494823999</v>
      </c>
      <c r="J29" s="6">
        <f t="shared" si="11"/>
        <v>-4681.5643</v>
      </c>
      <c r="K29" s="6">
        <f t="shared" si="11"/>
        <v>4330.4415549173209</v>
      </c>
      <c r="L29" s="5">
        <f t="shared" si="7"/>
        <v>-1.0810824348117505</v>
      </c>
      <c r="M29" s="6">
        <f t="shared" si="8"/>
        <v>-351.1227450826791</v>
      </c>
      <c r="N29" t="s">
        <v>24</v>
      </c>
    </row>
    <row r="30" spans="1:14" x14ac:dyDescent="0.25">
      <c r="A30" t="s">
        <v>43</v>
      </c>
      <c r="B30" s="6">
        <f t="shared" si="9"/>
        <v>-107282.405397856</v>
      </c>
      <c r="C30" s="6">
        <f t="shared" si="9"/>
        <v>13903.174194054902</v>
      </c>
      <c r="D30" s="5">
        <f t="shared" si="3"/>
        <v>-7.716396550920777</v>
      </c>
      <c r="E30" s="6">
        <f t="shared" si="4"/>
        <v>-93379.2312038011</v>
      </c>
      <c r="F30" s="6">
        <f t="shared" si="10"/>
        <v>-20872.627605884099</v>
      </c>
      <c r="G30" s="6">
        <f t="shared" si="10"/>
        <v>7463.1232878893006</v>
      </c>
      <c r="H30" s="5">
        <f t="shared" si="5"/>
        <v>-2.796768430685705</v>
      </c>
      <c r="I30" s="6">
        <f t="shared" si="6"/>
        <v>-13409.504317994799</v>
      </c>
      <c r="J30" s="6">
        <f t="shared" si="11"/>
        <v>-8174.0890987246003</v>
      </c>
      <c r="K30" s="6">
        <f t="shared" si="11"/>
        <v>5052.2583347774198</v>
      </c>
      <c r="L30" s="5">
        <f t="shared" si="7"/>
        <v>-1.6179079843281043</v>
      </c>
      <c r="M30" s="6">
        <f t="shared" si="8"/>
        <v>-3121.8307639471805</v>
      </c>
      <c r="N30" t="s">
        <v>24</v>
      </c>
    </row>
    <row r="32" spans="1:14" x14ac:dyDescent="0.25">
      <c r="A32" t="s">
        <v>13</v>
      </c>
      <c r="B32" t="s">
        <v>45</v>
      </c>
      <c r="C32" t="s">
        <v>46</v>
      </c>
      <c r="F32" t="s">
        <v>47</v>
      </c>
      <c r="G32" t="s">
        <v>48</v>
      </c>
      <c r="J32" t="s">
        <v>49</v>
      </c>
      <c r="K32" t="s">
        <v>50</v>
      </c>
    </row>
    <row r="33" spans="2:13" x14ac:dyDescent="0.25">
      <c r="B33" s="1">
        <v>0</v>
      </c>
      <c r="C33" s="1">
        <v>15116.4576849762</v>
      </c>
      <c r="D33" s="5">
        <v>0</v>
      </c>
      <c r="E33">
        <v>15116.4576849762</v>
      </c>
      <c r="F33" s="1">
        <v>0</v>
      </c>
      <c r="G33" s="1">
        <v>11664.787219482399</v>
      </c>
      <c r="H33" s="5">
        <v>0</v>
      </c>
      <c r="I33">
        <v>11664.787219482399</v>
      </c>
      <c r="J33" s="1">
        <v>0</v>
      </c>
      <c r="K33" s="1">
        <v>9787.7637750826798</v>
      </c>
      <c r="L33" s="5">
        <v>0</v>
      </c>
      <c r="M33">
        <v>9787.7637750826798</v>
      </c>
    </row>
  </sheetData>
  <autoFilter ref="A1:N1" xr:uid="{18025FA5-7769-47FF-9EA0-8E472D7D4015}">
    <sortState xmlns:xlrd2="http://schemas.microsoft.com/office/spreadsheetml/2017/richdata2" ref="A2:N14">
      <sortCondition ref="A1"/>
    </sortState>
  </autoFilter>
  <conditionalFormatting sqref="D18:D30">
    <cfRule type="colorScale" priority="3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0">
    <cfRule type="colorScale" priority="3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2:L15 H2:H15 D2:D15">
    <cfRule type="colorScale" priority="4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0">
    <cfRule type="colorScale" priority="37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2576-3F3B-4E71-BDB4-1E4541BB8CBE}">
  <dimension ref="A1:O132"/>
  <sheetViews>
    <sheetView zoomScale="70" zoomScaleNormal="70" workbookViewId="0">
      <selection activeCell="F83" sqref="F83"/>
    </sheetView>
  </sheetViews>
  <sheetFormatPr defaultRowHeight="15" x14ac:dyDescent="0.25"/>
  <cols>
    <col min="1" max="1" width="22.28515625" bestFit="1" customWidth="1"/>
    <col min="2" max="2" width="8.5703125" bestFit="1" customWidth="1"/>
    <col min="3" max="3" width="15.140625" bestFit="1" customWidth="1"/>
    <col min="4" max="4" width="12.85546875" bestFit="1" customWidth="1"/>
    <col min="5" max="5" width="11.5703125" bestFit="1" customWidth="1"/>
    <col min="6" max="6" width="12.5703125" bestFit="1" customWidth="1"/>
    <col min="7" max="7" width="12.42578125" bestFit="1" customWidth="1"/>
    <col min="8" max="8" width="12.7109375" bestFit="1" customWidth="1"/>
    <col min="9" max="9" width="9.7109375" bestFit="1" customWidth="1"/>
    <col min="10" max="10" width="11.28515625" bestFit="1" customWidth="1"/>
    <col min="11" max="11" width="9.7109375" bestFit="1" customWidth="1"/>
    <col min="12" max="12" width="10.140625" bestFit="1" customWidth="1"/>
  </cols>
  <sheetData>
    <row r="1" spans="1:15" x14ac:dyDescent="0.25">
      <c r="A1" t="str">
        <f>Low!A1</f>
        <v>Scenario</v>
      </c>
      <c r="B1" t="s">
        <v>28</v>
      </c>
      <c r="C1" t="s">
        <v>15</v>
      </c>
      <c r="D1" t="s">
        <v>16</v>
      </c>
      <c r="E1" t="s">
        <v>74</v>
      </c>
      <c r="F1" t="s">
        <v>75</v>
      </c>
      <c r="G1" t="s">
        <v>76</v>
      </c>
      <c r="H1" t="s">
        <v>77</v>
      </c>
      <c r="I1" t="s">
        <v>78</v>
      </c>
      <c r="J1" t="s">
        <v>79</v>
      </c>
      <c r="K1" t="s">
        <v>80</v>
      </c>
      <c r="L1" t="s">
        <v>81</v>
      </c>
      <c r="N1" s="7">
        <v>0.12</v>
      </c>
      <c r="O1" t="s">
        <v>90</v>
      </c>
    </row>
    <row r="2" spans="1:15" x14ac:dyDescent="0.25">
      <c r="A2" t="str">
        <f>Low!A18</f>
        <v>45Q-2040</v>
      </c>
      <c r="B2" t="s">
        <v>30</v>
      </c>
      <c r="C2" s="1">
        <f>-Low!F18/1000</f>
        <v>24.009774422884199</v>
      </c>
      <c r="D2" s="1">
        <f>Low!G18/1000</f>
        <v>19.507666627389298</v>
      </c>
      <c r="F2" s="1">
        <f>C2</f>
        <v>24.009774422884199</v>
      </c>
    </row>
    <row r="3" spans="1:15" x14ac:dyDescent="0.25">
      <c r="A3" t="str">
        <f>Low!A19</f>
        <v>45Q-2050</v>
      </c>
      <c r="B3" t="s">
        <v>30</v>
      </c>
      <c r="C3" s="1">
        <f>-Low!F19/1000</f>
        <v>48.914657028755293</v>
      </c>
      <c r="D3" s="1">
        <f>Low!G19/1000</f>
        <v>49.024106181054101</v>
      </c>
      <c r="F3" s="1">
        <f>C3</f>
        <v>48.914657028755293</v>
      </c>
    </row>
    <row r="4" spans="1:15" x14ac:dyDescent="0.25">
      <c r="A4" t="str">
        <f>Low!A20</f>
        <v>CDRIA-2035</v>
      </c>
      <c r="B4" t="s">
        <v>30</v>
      </c>
      <c r="C4" s="1">
        <f>-Low!F20/1000</f>
        <v>18.6341071918974</v>
      </c>
      <c r="D4" s="1">
        <f>Low!G20/1000</f>
        <v>30.778911794356603</v>
      </c>
      <c r="F4" s="1">
        <f>C4</f>
        <v>18.6341071918974</v>
      </c>
    </row>
    <row r="5" spans="1:15" x14ac:dyDescent="0.25">
      <c r="A5" t="str">
        <f>Low!A21</f>
        <v>CDRIA-2050</v>
      </c>
      <c r="B5" t="s">
        <v>30</v>
      </c>
      <c r="C5" s="1">
        <f>-Low!F21/1000</f>
        <v>107.357135510147</v>
      </c>
      <c r="D5" s="1">
        <f>Low!G21/1000</f>
        <v>123.20310413121541</v>
      </c>
      <c r="F5" s="1">
        <f>C5</f>
        <v>107.357135510147</v>
      </c>
    </row>
    <row r="6" spans="1:15" x14ac:dyDescent="0.25">
      <c r="A6" t="str">
        <f>Low!A22</f>
        <v>Innovation-DACHubs</v>
      </c>
      <c r="B6" t="s">
        <v>30</v>
      </c>
      <c r="C6" s="1">
        <f>-Low!F22/1000</f>
        <v>0.41248126069827401</v>
      </c>
      <c r="D6" s="1">
        <f>Low!G22/1000</f>
        <v>3.4180807765760002</v>
      </c>
      <c r="E6" s="1">
        <f>C6</f>
        <v>0.41248126069827401</v>
      </c>
    </row>
    <row r="7" spans="1:15" x14ac:dyDescent="0.25">
      <c r="A7" t="str">
        <f>Low!A23</f>
        <v>Innovation-maintain</v>
      </c>
      <c r="B7" t="s">
        <v>30</v>
      </c>
      <c r="C7" s="1">
        <f>-Low!F23/1000</f>
        <v>5.0253693987003301</v>
      </c>
      <c r="D7" s="1">
        <f>Low!G23/1000</f>
        <v>0.97928706998899906</v>
      </c>
      <c r="E7" s="1">
        <f>C7</f>
        <v>5.0253693987003301</v>
      </c>
    </row>
    <row r="8" spans="1:15" x14ac:dyDescent="0.25">
      <c r="A8" t="str">
        <f>Low!A24</f>
        <v>Innovation-rhodium18b</v>
      </c>
      <c r="B8" t="s">
        <v>30</v>
      </c>
      <c r="C8" s="1">
        <f>-Low!F24/1000</f>
        <v>12.921435586799699</v>
      </c>
      <c r="D8" s="1">
        <f>Low!G24/1000</f>
        <v>6.2991855513266</v>
      </c>
      <c r="E8" s="1">
        <f>C8</f>
        <v>12.921435586799699</v>
      </c>
    </row>
    <row r="9" spans="1:15" x14ac:dyDescent="0.25">
      <c r="A9" t="str">
        <f>Low!A25</f>
        <v>Innovation-rhodium6b</v>
      </c>
      <c r="B9" t="s">
        <v>30</v>
      </c>
      <c r="C9" s="1">
        <f>-Low!F25/1000</f>
        <v>8.0272493380455501</v>
      </c>
      <c r="D9" s="1">
        <f>Low!G25/1000</f>
        <v>2.0690140113137985</v>
      </c>
      <c r="E9" s="1">
        <f>C9</f>
        <v>8.0272493380455501</v>
      </c>
    </row>
    <row r="10" spans="1:15" x14ac:dyDescent="0.25">
      <c r="A10" t="str">
        <f>Low!A26</f>
        <v>Innovation-triple</v>
      </c>
      <c r="B10" t="s">
        <v>30</v>
      </c>
      <c r="C10" s="1">
        <f>-Low!F26/1000</f>
        <v>9.3501536406274504</v>
      </c>
      <c r="D10" s="1">
        <f>Low!G26/1000</f>
        <v>2.9827319463466995</v>
      </c>
      <c r="E10" s="1">
        <f>C10</f>
        <v>9.3501536406274504</v>
      </c>
    </row>
    <row r="11" spans="1:15" x14ac:dyDescent="0.25">
      <c r="A11" t="str">
        <f>Low!A27</f>
        <v>Procure3B</v>
      </c>
      <c r="B11" t="s">
        <v>30</v>
      </c>
      <c r="C11" s="1">
        <f>-Low!F27/1000</f>
        <v>10.7175437780061</v>
      </c>
      <c r="D11" s="1">
        <f>Low!G27/1000</f>
        <v>16.321083694048699</v>
      </c>
      <c r="G11" s="1">
        <f>C11</f>
        <v>10.7175437780061</v>
      </c>
    </row>
    <row r="12" spans="1:15" x14ac:dyDescent="0.25">
      <c r="A12" t="str">
        <f>Low!A28</f>
        <v>ProcureRhodium</v>
      </c>
      <c r="B12" t="s">
        <v>30</v>
      </c>
      <c r="C12" s="1">
        <f>-Low!F28/1000</f>
        <v>43.6877465457071</v>
      </c>
      <c r="D12" s="1">
        <f>Low!G28/1000</f>
        <v>297.38680981420038</v>
      </c>
      <c r="G12" s="1">
        <f>C12</f>
        <v>43.6877465457071</v>
      </c>
    </row>
    <row r="13" spans="1:15" x14ac:dyDescent="0.25">
      <c r="A13" t="str">
        <f>Low!A29</f>
        <v>ProcureScaling</v>
      </c>
      <c r="B13" t="s">
        <v>30</v>
      </c>
      <c r="C13" s="1">
        <f>-Low!F29/1000</f>
        <v>6.6404507534377402</v>
      </c>
      <c r="D13" s="1">
        <f>Low!G29/1000</f>
        <v>6.3563921801898999</v>
      </c>
      <c r="G13" s="1">
        <f>C13</f>
        <v>6.6404507534377402</v>
      </c>
    </row>
    <row r="14" spans="1:15" x14ac:dyDescent="0.25">
      <c r="A14" t="str">
        <f>Low!A30</f>
        <v>Optimal</v>
      </c>
      <c r="B14" t="s">
        <v>30</v>
      </c>
      <c r="C14" s="1">
        <f>-Low!F30/1000</f>
        <v>29.063628096181301</v>
      </c>
      <c r="D14" s="1">
        <f>Low!G30/1000</f>
        <v>20.2996698744101</v>
      </c>
      <c r="H14" s="1">
        <f>C14</f>
        <v>29.063628096181301</v>
      </c>
    </row>
    <row r="15" spans="1:15" x14ac:dyDescent="0.25">
      <c r="A15" t="str">
        <f>High!A18</f>
        <v>45Q-2040</v>
      </c>
      <c r="B15" t="s">
        <v>32</v>
      </c>
      <c r="C15" s="1">
        <f>-High!F18/1000</f>
        <v>44.358724472512797</v>
      </c>
      <c r="D15" s="1">
        <f>High!G18/1000</f>
        <v>32.373756119478799</v>
      </c>
      <c r="J15" s="1">
        <f>C15</f>
        <v>44.358724472512797</v>
      </c>
    </row>
    <row r="16" spans="1:15" x14ac:dyDescent="0.25">
      <c r="A16" t="str">
        <f>High!A19</f>
        <v>45Q-2050</v>
      </c>
      <c r="B16" t="s">
        <v>32</v>
      </c>
      <c r="C16" s="1">
        <f>-High!F19/1000</f>
        <v>118.63645174144401</v>
      </c>
      <c r="D16" s="1">
        <f>High!G19/1000</f>
        <v>118.44825738800961</v>
      </c>
      <c r="J16" s="1">
        <f>C16</f>
        <v>118.63645174144401</v>
      </c>
    </row>
    <row r="17" spans="1:14" x14ac:dyDescent="0.25">
      <c r="A17" t="str">
        <f>High!A20</f>
        <v>CDRIA-2035</v>
      </c>
      <c r="B17" t="s">
        <v>32</v>
      </c>
      <c r="C17" s="1">
        <f>-High!F20/1000</f>
        <v>26.414789086624101</v>
      </c>
      <c r="D17" s="1">
        <f>High!G20/1000</f>
        <v>43.7023472377834</v>
      </c>
      <c r="J17" s="1">
        <f>C17</f>
        <v>26.414789086624101</v>
      </c>
    </row>
    <row r="18" spans="1:14" x14ac:dyDescent="0.25">
      <c r="A18" t="str">
        <f>High!A21</f>
        <v>CDRIA-2050</v>
      </c>
      <c r="B18" t="s">
        <v>32</v>
      </c>
      <c r="C18" s="1">
        <f>-High!F21/1000</f>
        <v>244.02110904411501</v>
      </c>
      <c r="D18" s="1">
        <f>High!G21/1000</f>
        <v>258.09705269067859</v>
      </c>
      <c r="J18" s="1">
        <f>C18</f>
        <v>244.02110904411501</v>
      </c>
    </row>
    <row r="19" spans="1:14" x14ac:dyDescent="0.25">
      <c r="A19" t="str">
        <f>High!A22</f>
        <v>Innovation-DACHubs</v>
      </c>
      <c r="B19" t="s">
        <v>32</v>
      </c>
      <c r="C19" s="1">
        <f>-High!F22/1000</f>
        <v>0.8791931619102249</v>
      </c>
      <c r="D19" s="1">
        <f>High!G22/1000</f>
        <v>3.4782184226562003</v>
      </c>
      <c r="I19" s="1">
        <f>C19</f>
        <v>0.8791931619102249</v>
      </c>
    </row>
    <row r="20" spans="1:14" x14ac:dyDescent="0.25">
      <c r="A20" t="str">
        <f>High!A23</f>
        <v>Innovation-maintain</v>
      </c>
      <c r="B20" t="s">
        <v>32</v>
      </c>
      <c r="C20" s="1">
        <f>-High!F23/1000</f>
        <v>8.6747509489999999</v>
      </c>
      <c r="D20" s="1">
        <f>High!G23/1000</f>
        <v>0.97127899051760136</v>
      </c>
      <c r="I20" s="1">
        <f>C20</f>
        <v>8.6747509489999999</v>
      </c>
    </row>
    <row r="21" spans="1:14" x14ac:dyDescent="0.25">
      <c r="A21" t="str">
        <f>High!A24</f>
        <v>Innovation-rhodium18b</v>
      </c>
      <c r="B21" t="s">
        <v>32</v>
      </c>
      <c r="C21" s="1">
        <f>-High!F24/1000</f>
        <v>21.894339179999999</v>
      </c>
      <c r="D21" s="1">
        <f>High!G24/1000</f>
        <v>6.2458449505176015</v>
      </c>
      <c r="I21" s="1">
        <f>C21</f>
        <v>21.894339179999999</v>
      </c>
    </row>
    <row r="22" spans="1:14" x14ac:dyDescent="0.25">
      <c r="A22" t="str">
        <f>High!A25</f>
        <v>Innovation-rhodium6b</v>
      </c>
      <c r="B22" t="s">
        <v>32</v>
      </c>
      <c r="C22" s="1">
        <f>-High!F25/1000</f>
        <v>13.872357640000001</v>
      </c>
      <c r="D22" s="1">
        <f>High!G25/1000</f>
        <v>2.0450444705176016</v>
      </c>
      <c r="I22" s="1">
        <f>C22</f>
        <v>13.872357640000001</v>
      </c>
    </row>
    <row r="23" spans="1:14" x14ac:dyDescent="0.25">
      <c r="A23" t="str">
        <f>High!A26</f>
        <v>Innovation-triple</v>
      </c>
      <c r="B23" t="s">
        <v>32</v>
      </c>
      <c r="C23" s="1">
        <f>-High!F26/1000</f>
        <v>15.910768729999999</v>
      </c>
      <c r="D23" s="1">
        <f>High!G26/1000</f>
        <v>2.9637267405176009</v>
      </c>
      <c r="I23" s="1">
        <f>C23</f>
        <v>15.910768729999999</v>
      </c>
    </row>
    <row r="24" spans="1:14" x14ac:dyDescent="0.25">
      <c r="A24" t="str">
        <f>High!A27</f>
        <v>Procure3B</v>
      </c>
      <c r="B24" t="s">
        <v>32</v>
      </c>
      <c r="C24" s="1">
        <f>-High!F27/1000</f>
        <v>16.549278579999999</v>
      </c>
      <c r="D24" s="1">
        <f>High!G27/1000</f>
        <v>16.349541010517601</v>
      </c>
      <c r="K24" s="1">
        <f>C24</f>
        <v>16.549278579999999</v>
      </c>
    </row>
    <row r="25" spans="1:14" x14ac:dyDescent="0.25">
      <c r="A25" t="str">
        <f>High!A28</f>
        <v>ProcureRhodium</v>
      </c>
      <c r="B25" t="s">
        <v>32</v>
      </c>
      <c r="C25" s="1">
        <f>-High!F28/1000</f>
        <v>50.271576977978299</v>
      </c>
      <c r="D25" s="1">
        <f>High!G28/1000</f>
        <v>302.97254611755056</v>
      </c>
      <c r="K25" s="1">
        <f>C25</f>
        <v>50.271576977978299</v>
      </c>
    </row>
    <row r="26" spans="1:14" x14ac:dyDescent="0.25">
      <c r="A26" t="str">
        <f>High!A29</f>
        <v>ProcureScaling</v>
      </c>
      <c r="B26" t="s">
        <v>32</v>
      </c>
      <c r="C26" s="1">
        <f>-High!F29/1000</f>
        <v>11.192743119999999</v>
      </c>
      <c r="D26" s="1">
        <f>High!G29/1000</f>
        <v>6.3875267705175993</v>
      </c>
      <c r="K26" s="1">
        <f>C26</f>
        <v>11.192743119999999</v>
      </c>
    </row>
    <row r="27" spans="1:14" x14ac:dyDescent="0.25">
      <c r="A27" t="str">
        <f>High!A30</f>
        <v>Optimal</v>
      </c>
      <c r="B27" t="s">
        <v>32</v>
      </c>
      <c r="C27" s="1">
        <f>-High!F30/1000</f>
        <v>20.872627605884098</v>
      </c>
      <c r="D27" s="1">
        <f>High!G30/1000</f>
        <v>7.4631232878893004</v>
      </c>
      <c r="L27" s="1">
        <f>C27</f>
        <v>20.872627605884098</v>
      </c>
    </row>
    <row r="30" spans="1:14" x14ac:dyDescent="0.25">
      <c r="C30" s="1" t="s">
        <v>82</v>
      </c>
      <c r="D30" s="1"/>
    </row>
    <row r="31" spans="1:14" x14ac:dyDescent="0.25">
      <c r="A31" t="str">
        <f>Low!A32</f>
        <v>Low Baseline</v>
      </c>
      <c r="B31" t="s">
        <v>28</v>
      </c>
      <c r="C31" t="s">
        <v>36</v>
      </c>
      <c r="D31" t="s">
        <v>37</v>
      </c>
      <c r="E31" t="s">
        <v>74</v>
      </c>
      <c r="F31" t="s">
        <v>75</v>
      </c>
      <c r="G31" t="s">
        <v>76</v>
      </c>
      <c r="H31" t="s">
        <v>77</v>
      </c>
      <c r="I31" t="s">
        <v>78</v>
      </c>
      <c r="J31" t="s">
        <v>79</v>
      </c>
      <c r="K31" t="s">
        <v>80</v>
      </c>
      <c r="L31" t="s">
        <v>81</v>
      </c>
      <c r="N31" s="7">
        <v>0.02</v>
      </c>
    </row>
    <row r="32" spans="1:14" x14ac:dyDescent="0.25">
      <c r="A32" t="str">
        <f>A2</f>
        <v>45Q-2040</v>
      </c>
      <c r="B32" t="s">
        <v>30</v>
      </c>
      <c r="C32" s="1">
        <f>-Low!B18/1000</f>
        <v>87.041623714157296</v>
      </c>
      <c r="D32" s="1">
        <f>Low!C18/1000</f>
        <v>55.215053146678599</v>
      </c>
      <c r="F32" s="1">
        <f>C32</f>
        <v>87.041623714157296</v>
      </c>
    </row>
    <row r="33" spans="1:10" x14ac:dyDescent="0.25">
      <c r="A33" t="str">
        <f t="shared" ref="A33:A57" si="0">A3</f>
        <v>45Q-2050</v>
      </c>
      <c r="B33" t="s">
        <v>30</v>
      </c>
      <c r="C33" s="1">
        <f>-Low!B19/1000</f>
        <v>277.18941464709002</v>
      </c>
      <c r="D33" s="1">
        <f>Low!C19/1000</f>
        <v>272.17378966586114</v>
      </c>
      <c r="F33" s="1">
        <f>C33</f>
        <v>277.18941464709002</v>
      </c>
    </row>
    <row r="34" spans="1:10" x14ac:dyDescent="0.25">
      <c r="A34" t="str">
        <f t="shared" si="0"/>
        <v>CDRIA-2035</v>
      </c>
      <c r="B34" t="s">
        <v>30</v>
      </c>
      <c r="C34" s="1">
        <f>-Low!B20/1000</f>
        <v>52.7127567252818</v>
      </c>
      <c r="D34" s="1">
        <f>Low!C20/1000</f>
        <v>60.824649079375007</v>
      </c>
      <c r="F34" s="1">
        <f>C34</f>
        <v>52.7127567252818</v>
      </c>
    </row>
    <row r="35" spans="1:10" x14ac:dyDescent="0.25">
      <c r="A35" t="str">
        <f t="shared" si="0"/>
        <v>CDRIA-2050</v>
      </c>
      <c r="B35" t="s">
        <v>30</v>
      </c>
      <c r="C35" s="1">
        <f>-Low!B21/1000</f>
        <v>568.35747058677691</v>
      </c>
      <c r="D35" s="1">
        <f>Low!C21/1000</f>
        <v>630.34279779581107</v>
      </c>
      <c r="F35" s="1">
        <f>C35</f>
        <v>568.35747058677691</v>
      </c>
    </row>
    <row r="36" spans="1:10" x14ac:dyDescent="0.25">
      <c r="A36" t="str">
        <f t="shared" si="0"/>
        <v>Innovation-DACHubs</v>
      </c>
      <c r="B36" t="s">
        <v>30</v>
      </c>
      <c r="C36" s="1">
        <f>-Low!B22/1000</f>
        <v>0.62911242305952997</v>
      </c>
      <c r="D36" s="1">
        <f>Low!C22/1000</f>
        <v>4.1262415688571004</v>
      </c>
      <c r="E36" s="1">
        <f>C36</f>
        <v>0.62911242305952997</v>
      </c>
    </row>
    <row r="37" spans="1:10" x14ac:dyDescent="0.25">
      <c r="A37" t="str">
        <f t="shared" si="0"/>
        <v>Innovation-maintain</v>
      </c>
      <c r="B37" t="s">
        <v>30</v>
      </c>
      <c r="C37" s="1">
        <f>-Low!B23/1000</f>
        <v>24.1876785360786</v>
      </c>
      <c r="D37" s="1">
        <f>Low!C23/1000</f>
        <v>2.3370840578976004</v>
      </c>
      <c r="E37" s="1">
        <f>C37</f>
        <v>24.1876785360786</v>
      </c>
    </row>
    <row r="38" spans="1:10" x14ac:dyDescent="0.25">
      <c r="A38" t="str">
        <f t="shared" si="0"/>
        <v>Innovation-rhodium18b</v>
      </c>
      <c r="B38" t="s">
        <v>30</v>
      </c>
      <c r="C38" s="1">
        <f>-Low!B24/1000</f>
        <v>58.217953069988795</v>
      </c>
      <c r="D38" s="1">
        <f>Low!C24/1000</f>
        <v>14.708132878070801</v>
      </c>
      <c r="E38" s="1">
        <f>C38</f>
        <v>58.217953069988795</v>
      </c>
    </row>
    <row r="39" spans="1:10" x14ac:dyDescent="0.25">
      <c r="A39" t="str">
        <f t="shared" si="0"/>
        <v>Innovation-rhodium6b</v>
      </c>
      <c r="B39" t="s">
        <v>30</v>
      </c>
      <c r="C39" s="1">
        <f>-Low!B25/1000</f>
        <v>36.532335702793603</v>
      </c>
      <c r="D39" s="1">
        <f>Low!C25/1000</f>
        <v>4.8598610157378985</v>
      </c>
      <c r="E39" s="1">
        <f>C39</f>
        <v>36.532335702793603</v>
      </c>
    </row>
    <row r="40" spans="1:10" x14ac:dyDescent="0.25">
      <c r="A40" t="str">
        <f t="shared" si="0"/>
        <v>Innovation-triple</v>
      </c>
      <c r="B40" t="s">
        <v>30</v>
      </c>
      <c r="C40" s="1">
        <f>-Low!B26/1000</f>
        <v>43.040120277630102</v>
      </c>
      <c r="D40" s="1">
        <f>Low!C26/1000</f>
        <v>7.0714240773678014</v>
      </c>
      <c r="E40" s="1">
        <f>C40</f>
        <v>43.040120277630102</v>
      </c>
    </row>
    <row r="41" spans="1:10" x14ac:dyDescent="0.25">
      <c r="A41" t="str">
        <f t="shared" si="0"/>
        <v>Procure3B</v>
      </c>
      <c r="B41" t="s">
        <v>30</v>
      </c>
      <c r="C41" s="1">
        <f>-Low!B27/1000</f>
        <v>38.255645925858296</v>
      </c>
      <c r="D41" s="1">
        <f>Low!C27/1000</f>
        <v>27.844316551196702</v>
      </c>
      <c r="G41" s="1">
        <f>C41</f>
        <v>38.255645925858296</v>
      </c>
    </row>
    <row r="42" spans="1:10" x14ac:dyDescent="0.25">
      <c r="A42" t="str">
        <f t="shared" si="0"/>
        <v>ProcureRhodium</v>
      </c>
      <c r="B42" t="s">
        <v>30</v>
      </c>
      <c r="C42" s="1">
        <f>-Low!B28/1000</f>
        <v>118.894246448717</v>
      </c>
      <c r="D42" s="1">
        <f>Low!C28/1000</f>
        <v>1176.2483637984021</v>
      </c>
      <c r="G42" s="1">
        <f>C42</f>
        <v>118.894246448717</v>
      </c>
    </row>
    <row r="43" spans="1:10" x14ac:dyDescent="0.25">
      <c r="A43" t="str">
        <f t="shared" si="0"/>
        <v>ProcureScaling</v>
      </c>
      <c r="B43" t="s">
        <v>30</v>
      </c>
      <c r="C43" s="1">
        <f>-Low!B29/1000</f>
        <v>27.8477754083363</v>
      </c>
      <c r="D43" s="1">
        <f>Low!C29/1000</f>
        <v>11.354460030213499</v>
      </c>
      <c r="G43" s="1">
        <f>C43</f>
        <v>27.8477754083363</v>
      </c>
    </row>
    <row r="44" spans="1:10" x14ac:dyDescent="0.25">
      <c r="A44" t="str">
        <f t="shared" si="0"/>
        <v>Optimal</v>
      </c>
      <c r="B44" t="s">
        <v>30</v>
      </c>
      <c r="C44" s="1">
        <f>-Low!B30/1000</f>
        <v>110.89849631853801</v>
      </c>
      <c r="D44" s="1">
        <f>Low!C30/1000</f>
        <v>56.978455524179303</v>
      </c>
      <c r="H44" s="1">
        <f>C44</f>
        <v>110.89849631853801</v>
      </c>
    </row>
    <row r="45" spans="1:10" x14ac:dyDescent="0.25">
      <c r="A45" t="str">
        <f t="shared" si="0"/>
        <v>45Q-2040</v>
      </c>
      <c r="B45" t="s">
        <v>32</v>
      </c>
      <c r="C45" s="1">
        <f>-High!B18/1000</f>
        <v>169.78338393730101</v>
      </c>
      <c r="D45" s="1">
        <f>High!C18/1000</f>
        <v>94.455205551250813</v>
      </c>
      <c r="J45" s="1">
        <f>C45</f>
        <v>169.78338393730101</v>
      </c>
    </row>
    <row r="46" spans="1:10" x14ac:dyDescent="0.25">
      <c r="A46" t="str">
        <f t="shared" si="0"/>
        <v>45Q-2050</v>
      </c>
      <c r="B46" t="s">
        <v>32</v>
      </c>
      <c r="C46" s="1">
        <f>-High!B19/1000</f>
        <v>754.77402503940107</v>
      </c>
      <c r="D46" s="1">
        <f>High!C19/1000</f>
        <v>749.14981794569087</v>
      </c>
      <c r="J46" s="1">
        <f>C46</f>
        <v>754.77402503940107</v>
      </c>
    </row>
    <row r="47" spans="1:10" x14ac:dyDescent="0.25">
      <c r="A47" t="str">
        <f t="shared" si="0"/>
        <v>CDRIA-2035</v>
      </c>
      <c r="B47" t="s">
        <v>32</v>
      </c>
      <c r="C47" s="1">
        <f>-High!B20/1000</f>
        <v>85.029801215989494</v>
      </c>
      <c r="D47" s="1">
        <f>High!C20/1000</f>
        <v>87.081623661185802</v>
      </c>
      <c r="J47" s="1">
        <f>C47</f>
        <v>85.029801215989494</v>
      </c>
    </row>
    <row r="48" spans="1:10" x14ac:dyDescent="0.25">
      <c r="A48" t="str">
        <f t="shared" si="0"/>
        <v>CDRIA-2050</v>
      </c>
      <c r="B48" t="s">
        <v>32</v>
      </c>
      <c r="C48" s="1">
        <f>-High!B21/1000</f>
        <v>1464.9897871615401</v>
      </c>
      <c r="D48" s="1">
        <f>High!C21/1000</f>
        <v>1470.3129361080937</v>
      </c>
      <c r="J48" s="1">
        <f>C48</f>
        <v>1464.9897871615401</v>
      </c>
    </row>
    <row r="49" spans="1:12" x14ac:dyDescent="0.25">
      <c r="A49" t="str">
        <f t="shared" si="0"/>
        <v>Innovation-DACHubs</v>
      </c>
      <c r="B49" t="s">
        <v>32</v>
      </c>
      <c r="C49" s="1">
        <f>-High!B22/1000</f>
        <v>3.7271947617020902</v>
      </c>
      <c r="D49" s="1">
        <f>High!C22/1000</f>
        <v>4.2101375662191982</v>
      </c>
      <c r="I49" s="1">
        <f>C49</f>
        <v>3.7271947617020902</v>
      </c>
    </row>
    <row r="50" spans="1:12" x14ac:dyDescent="0.25">
      <c r="A50" t="str">
        <f t="shared" si="0"/>
        <v>Innovation-maintain</v>
      </c>
      <c r="B50" t="s">
        <v>32</v>
      </c>
      <c r="C50" s="1">
        <f>-High!B23/1000</f>
        <v>45.921597500000004</v>
      </c>
      <c r="D50" s="1">
        <f>High!C23/1000</f>
        <v>2.325912385023801</v>
      </c>
      <c r="I50" s="1">
        <f>C50</f>
        <v>45.921597500000004</v>
      </c>
    </row>
    <row r="51" spans="1:12" x14ac:dyDescent="0.25">
      <c r="A51" t="str">
        <f t="shared" si="0"/>
        <v>Innovation-rhodium18b</v>
      </c>
      <c r="B51" t="s">
        <v>32</v>
      </c>
      <c r="C51" s="1">
        <f>-High!B24/1000</f>
        <v>107.0726366</v>
      </c>
      <c r="D51" s="1">
        <f>High!C24/1000</f>
        <v>14.633717565023801</v>
      </c>
      <c r="I51" s="1">
        <f>C51</f>
        <v>107.0726366</v>
      </c>
    </row>
    <row r="52" spans="1:12" x14ac:dyDescent="0.25">
      <c r="A52" t="str">
        <f t="shared" si="0"/>
        <v>Innovation-rhodium6b</v>
      </c>
      <c r="B52" t="s">
        <v>32</v>
      </c>
      <c r="C52" s="1">
        <f>-High!B25/1000</f>
        <v>69.242862210000013</v>
      </c>
      <c r="D52" s="1">
        <f>High!C25/1000</f>
        <v>4.8264201050237991</v>
      </c>
      <c r="I52" s="1">
        <f>C52</f>
        <v>69.242862210000013</v>
      </c>
    </row>
    <row r="53" spans="1:12" x14ac:dyDescent="0.25">
      <c r="A53" t="str">
        <f t="shared" si="0"/>
        <v>Innovation-triple</v>
      </c>
      <c r="B53" t="s">
        <v>32</v>
      </c>
      <c r="C53" s="1">
        <f>-High!B26/1000</f>
        <v>81.117731169999999</v>
      </c>
      <c r="D53" s="1">
        <f>High!C26/1000</f>
        <v>7.0449094950238011</v>
      </c>
      <c r="I53" s="1">
        <f>C53</f>
        <v>81.117731169999999</v>
      </c>
    </row>
    <row r="54" spans="1:12" x14ac:dyDescent="0.25">
      <c r="A54" t="str">
        <f t="shared" si="0"/>
        <v>Procure3B</v>
      </c>
      <c r="B54" t="s">
        <v>32</v>
      </c>
      <c r="C54" s="1">
        <f>-High!B27/1000</f>
        <v>70.006101200000003</v>
      </c>
      <c r="D54" s="1">
        <f>High!C27/1000</f>
        <v>27.911243325023797</v>
      </c>
      <c r="K54" s="1">
        <f>C54</f>
        <v>70.006101200000003</v>
      </c>
    </row>
    <row r="55" spans="1:12" x14ac:dyDescent="0.25">
      <c r="A55" t="str">
        <f t="shared" si="0"/>
        <v>ProcureRhodium</v>
      </c>
      <c r="B55" t="s">
        <v>32</v>
      </c>
      <c r="C55" s="1">
        <f>-High!B28/1000</f>
        <v>185.02690859979998</v>
      </c>
      <c r="D55" s="1">
        <f>High!C28/1000</f>
        <v>1207.1386077176137</v>
      </c>
      <c r="K55" s="1">
        <f>C55</f>
        <v>185.02690859979998</v>
      </c>
    </row>
    <row r="56" spans="1:12" x14ac:dyDescent="0.25">
      <c r="A56" t="str">
        <f t="shared" si="0"/>
        <v>ProcureScaling</v>
      </c>
      <c r="B56" t="s">
        <v>32</v>
      </c>
      <c r="C56" s="1">
        <f>-High!B29/1000</f>
        <v>52.677846719999998</v>
      </c>
      <c r="D56" s="1">
        <f>High!C29/1000</f>
        <v>11.419991415023802</v>
      </c>
      <c r="K56" s="1">
        <f>C56</f>
        <v>52.677846719999998</v>
      </c>
    </row>
    <row r="57" spans="1:12" x14ac:dyDescent="0.25">
      <c r="A57" t="str">
        <f t="shared" si="0"/>
        <v>Optimal</v>
      </c>
      <c r="B57" t="s">
        <v>32</v>
      </c>
      <c r="C57" s="1">
        <f>-High!B30/1000</f>
        <v>107.282405397856</v>
      </c>
      <c r="D57" s="1">
        <f>High!C30/1000</f>
        <v>13.903174194054902</v>
      </c>
      <c r="L57" s="1">
        <f>C57</f>
        <v>107.282405397856</v>
      </c>
    </row>
    <row r="58" spans="1:12" x14ac:dyDescent="0.25">
      <c r="C58" s="1"/>
    </row>
    <row r="59" spans="1:12" x14ac:dyDescent="0.25">
      <c r="C59" s="1"/>
    </row>
    <row r="60" spans="1:12" x14ac:dyDescent="0.25">
      <c r="C60" s="1"/>
    </row>
    <row r="61" spans="1:12" x14ac:dyDescent="0.25">
      <c r="C61" s="1"/>
    </row>
    <row r="62" spans="1:12" x14ac:dyDescent="0.25">
      <c r="C62" s="1"/>
    </row>
    <row r="63" spans="1:12" x14ac:dyDescent="0.25">
      <c r="C63" s="1"/>
    </row>
    <row r="64" spans="1:12" x14ac:dyDescent="0.25">
      <c r="C64" s="1"/>
    </row>
    <row r="65" spans="1:14" x14ac:dyDescent="0.25">
      <c r="C65" s="1"/>
    </row>
    <row r="66" spans="1:14" x14ac:dyDescent="0.25">
      <c r="A66">
        <f>Low!A69</f>
        <v>0</v>
      </c>
      <c r="B66" t="s">
        <v>28</v>
      </c>
      <c r="C66" t="s">
        <v>19</v>
      </c>
      <c r="D66" t="s">
        <v>20</v>
      </c>
      <c r="E66" t="s">
        <v>74</v>
      </c>
      <c r="F66" t="s">
        <v>75</v>
      </c>
      <c r="G66" t="s">
        <v>76</v>
      </c>
      <c r="H66" t="s">
        <v>77</v>
      </c>
      <c r="I66" t="s">
        <v>78</v>
      </c>
      <c r="J66" t="s">
        <v>79</v>
      </c>
      <c r="K66" t="s">
        <v>80</v>
      </c>
      <c r="L66" t="s">
        <v>81</v>
      </c>
      <c r="N66" s="7">
        <v>0.2</v>
      </c>
    </row>
    <row r="67" spans="1:14" x14ac:dyDescent="0.25">
      <c r="A67" t="str">
        <f>A32</f>
        <v>45Q-2040</v>
      </c>
      <c r="B67" t="s">
        <v>30</v>
      </c>
      <c r="C67" s="1">
        <f>-Low!J18/1000</f>
        <v>10.209740402372299</v>
      </c>
      <c r="D67" s="1">
        <f>Low!K18/1000</f>
        <v>9.476218021083989</v>
      </c>
      <c r="F67" s="1">
        <f>C67</f>
        <v>10.209740402372299</v>
      </c>
    </row>
    <row r="68" spans="1:14" x14ac:dyDescent="0.25">
      <c r="A68" t="str">
        <f t="shared" ref="A68:A92" si="1">A33</f>
        <v>45Q-2050</v>
      </c>
      <c r="B68" t="s">
        <v>30</v>
      </c>
      <c r="C68" s="1">
        <f>-Low!J19/1000</f>
        <v>15.9803982211468</v>
      </c>
      <c r="D68" s="1">
        <f>Low!K19/1000</f>
        <v>16.568117338946593</v>
      </c>
      <c r="F68" s="1">
        <f>C68</f>
        <v>15.9803982211468</v>
      </c>
    </row>
    <row r="69" spans="1:14" x14ac:dyDescent="0.25">
      <c r="A69" t="str">
        <f t="shared" si="1"/>
        <v>CDRIA-2035</v>
      </c>
      <c r="B69" t="s">
        <v>30</v>
      </c>
      <c r="C69" s="1">
        <f>-Low!J20/1000</f>
        <v>10.131117210587</v>
      </c>
      <c r="D69" s="1">
        <f>Low!K20/1000</f>
        <v>19.137170013317693</v>
      </c>
      <c r="F69" s="1">
        <f>C69</f>
        <v>10.131117210587</v>
      </c>
    </row>
    <row r="70" spans="1:14" x14ac:dyDescent="0.25">
      <c r="A70" t="str">
        <f t="shared" si="1"/>
        <v>CDRIA-2050</v>
      </c>
      <c r="B70" t="s">
        <v>30</v>
      </c>
      <c r="C70" s="1">
        <f>-Low!J21/1000</f>
        <v>37.918655503970797</v>
      </c>
      <c r="D70" s="1">
        <f>Low!K21/1000</f>
        <v>45.651924713912997</v>
      </c>
      <c r="F70" s="1">
        <f>C70</f>
        <v>37.918655503970797</v>
      </c>
    </row>
    <row r="71" spans="1:14" x14ac:dyDescent="0.25">
      <c r="A71" t="str">
        <f t="shared" si="1"/>
        <v>Innovation-DACHubs</v>
      </c>
      <c r="B71" t="s">
        <v>30</v>
      </c>
      <c r="C71" s="1">
        <f>-Low!J22/1000</f>
        <v>0.33561574049935</v>
      </c>
      <c r="D71" s="1">
        <f>Low!K22/1000</f>
        <v>3.0119272354747899</v>
      </c>
      <c r="E71" s="1">
        <f>C71</f>
        <v>0.33561574049935</v>
      </c>
    </row>
    <row r="72" spans="1:14" x14ac:dyDescent="0.25">
      <c r="A72" t="str">
        <f t="shared" si="1"/>
        <v>Innovation-maintain</v>
      </c>
      <c r="B72" t="s">
        <v>30</v>
      </c>
      <c r="C72" s="1">
        <f>-Low!J23/1000</f>
        <v>2.03674772368365</v>
      </c>
      <c r="D72" s="1">
        <f>Low!K23/1000</f>
        <v>0.64868348327826975</v>
      </c>
      <c r="E72" s="1">
        <f>C72</f>
        <v>2.03674772368365</v>
      </c>
    </row>
    <row r="73" spans="1:14" x14ac:dyDescent="0.25">
      <c r="A73" t="str">
        <f t="shared" si="1"/>
        <v>Innovation-rhodium18b</v>
      </c>
      <c r="B73" t="s">
        <v>30</v>
      </c>
      <c r="C73" s="1">
        <f>-Low!J24/1000</f>
        <v>5.3638813822450304</v>
      </c>
      <c r="D73" s="1">
        <f>Low!K24/1000</f>
        <v>3.5095880533935908</v>
      </c>
      <c r="E73" s="1">
        <f>C73</f>
        <v>5.3638813822450304</v>
      </c>
    </row>
    <row r="74" spans="1:14" x14ac:dyDescent="0.25">
      <c r="A74" t="str">
        <f t="shared" si="1"/>
        <v>Innovation-rhodium6b</v>
      </c>
      <c r="B74" t="s">
        <v>30</v>
      </c>
      <c r="C74" s="1">
        <f>-Low!J25/1000</f>
        <v>3.2927796969207503</v>
      </c>
      <c r="D74" s="1">
        <f>Low!K25/1000</f>
        <v>1.1456123160236911</v>
      </c>
      <c r="E74" s="1">
        <f>C74</f>
        <v>3.2927796969207503</v>
      </c>
    </row>
    <row r="75" spans="1:14" x14ac:dyDescent="0.25">
      <c r="A75" t="str">
        <f t="shared" si="1"/>
        <v>Innovation-triple</v>
      </c>
      <c r="B75" t="s">
        <v>30</v>
      </c>
      <c r="C75" s="1">
        <f>-Low!J26/1000</f>
        <v>3.94821129977616</v>
      </c>
      <c r="D75" s="1">
        <f>Low!K26/1000</f>
        <v>1.9826901417550908</v>
      </c>
      <c r="E75" s="1">
        <f>C75</f>
        <v>3.94821129977616</v>
      </c>
    </row>
    <row r="76" spans="1:14" x14ac:dyDescent="0.25">
      <c r="A76" t="str">
        <f t="shared" si="1"/>
        <v>Procure3B</v>
      </c>
      <c r="B76" t="s">
        <v>30</v>
      </c>
      <c r="C76" s="1">
        <f>-Low!J27/1000</f>
        <v>5.7158742587877693</v>
      </c>
      <c r="D76" s="1">
        <f>Low!K27/1000</f>
        <v>11.417559116321593</v>
      </c>
      <c r="G76" s="1">
        <f>C76</f>
        <v>5.7158742587877693</v>
      </c>
    </row>
    <row r="77" spans="1:14" x14ac:dyDescent="0.25">
      <c r="A77" t="str">
        <f t="shared" si="1"/>
        <v>ProcureRhodium</v>
      </c>
      <c r="B77" t="s">
        <v>30</v>
      </c>
      <c r="C77" s="1">
        <f>-Low!J28/1000</f>
        <v>25.574064566239599</v>
      </c>
      <c r="D77" s="1">
        <f>Low!K28/1000</f>
        <v>138.93530596719577</v>
      </c>
      <c r="G77" s="1">
        <f>C77</f>
        <v>25.574064566239599</v>
      </c>
    </row>
    <row r="78" spans="1:14" x14ac:dyDescent="0.25">
      <c r="A78" t="str">
        <f t="shared" si="1"/>
        <v>ProcureScaling</v>
      </c>
      <c r="B78" t="s">
        <v>30</v>
      </c>
      <c r="C78" s="1">
        <f>-Low!J29/1000</f>
        <v>3.0937558246702901</v>
      </c>
      <c r="D78" s="1">
        <f>Low!K29/1000</f>
        <v>4.3122304298988912</v>
      </c>
      <c r="G78" s="1">
        <f>C78</f>
        <v>3.0937558246702901</v>
      </c>
    </row>
    <row r="79" spans="1:14" x14ac:dyDescent="0.25">
      <c r="A79" t="str">
        <f t="shared" si="1"/>
        <v>Optimal</v>
      </c>
      <c r="B79" t="s">
        <v>30</v>
      </c>
      <c r="C79" s="1">
        <f>-Low!J30/1000</f>
        <v>12.2700831571496</v>
      </c>
      <c r="D79" s="1">
        <f>Low!K30/1000</f>
        <v>10.039370991663089</v>
      </c>
      <c r="H79" s="1">
        <f>C79</f>
        <v>12.2700831571496</v>
      </c>
    </row>
    <row r="80" spans="1:14" x14ac:dyDescent="0.25">
      <c r="A80" t="str">
        <f t="shared" si="1"/>
        <v>45Q-2040</v>
      </c>
      <c r="B80" t="s">
        <v>32</v>
      </c>
      <c r="C80" s="1">
        <f>-High!J18/1000</f>
        <v>18.237934782227903</v>
      </c>
      <c r="D80" s="1">
        <f>High!K18/1000</f>
        <v>15.35711737145612</v>
      </c>
      <c r="J80" s="1">
        <f>C80</f>
        <v>18.237934782227903</v>
      </c>
    </row>
    <row r="81" spans="1:12" x14ac:dyDescent="0.25">
      <c r="A81" t="str">
        <f t="shared" si="1"/>
        <v>45Q-2050</v>
      </c>
      <c r="B81" t="s">
        <v>32</v>
      </c>
      <c r="C81" s="1">
        <f>-High!J19/1000</f>
        <v>35.032953427482198</v>
      </c>
      <c r="D81" s="1">
        <f>High!K19/1000</f>
        <v>35.469894501100818</v>
      </c>
      <c r="J81" s="1">
        <f>C81</f>
        <v>35.032953427482198</v>
      </c>
    </row>
    <row r="82" spans="1:12" x14ac:dyDescent="0.25">
      <c r="A82" t="str">
        <f t="shared" si="1"/>
        <v>CDRIA-2035</v>
      </c>
      <c r="B82" t="s">
        <v>32</v>
      </c>
      <c r="C82" s="1">
        <f>-High!J20/1000</f>
        <v>13.6691705387663</v>
      </c>
      <c r="D82" s="1">
        <f>High!K20/1000</f>
        <v>26.98339696665612</v>
      </c>
      <c r="J82" s="1">
        <f>C82</f>
        <v>13.6691705387663</v>
      </c>
    </row>
    <row r="83" spans="1:12" x14ac:dyDescent="0.25">
      <c r="A83" t="str">
        <f t="shared" si="1"/>
        <v>CDRIA-2050</v>
      </c>
      <c r="B83" t="s">
        <v>32</v>
      </c>
      <c r="C83" s="1">
        <f>-High!J21/1000</f>
        <v>77.084450851909907</v>
      </c>
      <c r="D83" s="1">
        <f>High!K21/1000</f>
        <v>86.588878581692811</v>
      </c>
      <c r="J83" s="1">
        <f>C83</f>
        <v>77.084450851909907</v>
      </c>
    </row>
    <row r="84" spans="1:12" x14ac:dyDescent="0.25">
      <c r="A84" t="str">
        <f t="shared" si="1"/>
        <v>Innovation-DACHubs</v>
      </c>
      <c r="B84" t="s">
        <v>32</v>
      </c>
      <c r="C84" s="1">
        <f>-High!J22/1000</f>
        <v>0.49459745807002703</v>
      </c>
      <c r="D84" s="1">
        <f>High!K22/1000</f>
        <v>3.059409534844721</v>
      </c>
      <c r="I84" s="1">
        <f>C84</f>
        <v>0.49459745807002703</v>
      </c>
    </row>
    <row r="85" spans="1:12" x14ac:dyDescent="0.25">
      <c r="A85" t="str">
        <f t="shared" si="1"/>
        <v>Innovation-maintain</v>
      </c>
      <c r="B85" t="s">
        <v>32</v>
      </c>
      <c r="C85" s="1">
        <f>-High!J23/1000</f>
        <v>3.1989574539999999</v>
      </c>
      <c r="D85" s="1">
        <f>High!K23/1000</f>
        <v>0.6423605549173208</v>
      </c>
      <c r="I85" s="1">
        <f>C85</f>
        <v>3.1989574539999999</v>
      </c>
    </row>
    <row r="86" spans="1:12" x14ac:dyDescent="0.25">
      <c r="A86" t="str">
        <f t="shared" si="1"/>
        <v>Innovation-rhodium18b</v>
      </c>
      <c r="B86" t="s">
        <v>32</v>
      </c>
      <c r="C86" s="1">
        <f>-High!J24/1000</f>
        <v>8.5145423079999993</v>
      </c>
      <c r="D86" s="1">
        <f>High!K24/1000</f>
        <v>3.4674732449173207</v>
      </c>
      <c r="I86" s="1">
        <f>C86</f>
        <v>8.5145423079999993</v>
      </c>
    </row>
    <row r="87" spans="1:12" x14ac:dyDescent="0.25">
      <c r="A87" t="str">
        <f t="shared" si="1"/>
        <v>Innovation-rhodium6b</v>
      </c>
      <c r="B87" t="s">
        <v>32</v>
      </c>
      <c r="C87" s="1">
        <f>-High!J25/1000</f>
        <v>5.2839158260000003</v>
      </c>
      <c r="D87" s="1">
        <f>High!K25/1000</f>
        <v>1.1266878249173204</v>
      </c>
      <c r="I87" s="1">
        <f>C87</f>
        <v>5.2839158260000003</v>
      </c>
    </row>
    <row r="88" spans="1:12" x14ac:dyDescent="0.25">
      <c r="A88" t="str">
        <f t="shared" si="1"/>
        <v>Innovation-triple</v>
      </c>
      <c r="B88" t="s">
        <v>32</v>
      </c>
      <c r="C88" s="1">
        <f>-High!J26/1000</f>
        <v>6.1108874349999995</v>
      </c>
      <c r="D88" s="1">
        <f>High!K26/1000</f>
        <v>1.9676849149173194</v>
      </c>
      <c r="I88" s="1">
        <f>C88</f>
        <v>6.1108874349999995</v>
      </c>
    </row>
    <row r="89" spans="1:12" x14ac:dyDescent="0.25">
      <c r="A89" t="str">
        <f t="shared" si="1"/>
        <v>Procure3B</v>
      </c>
      <c r="B89" t="s">
        <v>32</v>
      </c>
      <c r="C89" s="1">
        <f>-High!J27/1000</f>
        <v>7.7739790500000003</v>
      </c>
      <c r="D89" s="1">
        <f>High!K27/1000</f>
        <v>11.432142664917318</v>
      </c>
      <c r="K89" s="1">
        <f>C89</f>
        <v>7.7739790500000003</v>
      </c>
    </row>
    <row r="90" spans="1:12" x14ac:dyDescent="0.25">
      <c r="A90" t="str">
        <f t="shared" si="1"/>
        <v>ProcureRhodium</v>
      </c>
      <c r="B90" t="s">
        <v>32</v>
      </c>
      <c r="C90" s="1">
        <f>-High!J28/1000</f>
        <v>26.217887908184199</v>
      </c>
      <c r="D90" s="1">
        <f>High!K28/1000</f>
        <v>140.55513866259832</v>
      </c>
      <c r="K90" s="1">
        <f>C90</f>
        <v>26.217887908184199</v>
      </c>
    </row>
    <row r="91" spans="1:12" x14ac:dyDescent="0.25">
      <c r="A91" t="str">
        <f t="shared" si="1"/>
        <v>ProcureScaling</v>
      </c>
      <c r="B91" t="s">
        <v>32</v>
      </c>
      <c r="C91" s="1">
        <f>-High!J29/1000</f>
        <v>4.6815642999999998</v>
      </c>
      <c r="D91" s="1">
        <f>High!K29/1000</f>
        <v>4.3304415549173205</v>
      </c>
      <c r="K91" s="1">
        <f>C91</f>
        <v>4.6815642999999998</v>
      </c>
    </row>
    <row r="92" spans="1:12" x14ac:dyDescent="0.25">
      <c r="A92" t="str">
        <f t="shared" si="1"/>
        <v>Optimal</v>
      </c>
      <c r="B92" t="s">
        <v>32</v>
      </c>
      <c r="C92" s="1">
        <f>-High!J30/1000</f>
        <v>8.1740890987246004</v>
      </c>
      <c r="D92" s="1">
        <f>High!K30/1000</f>
        <v>5.0522583347774201</v>
      </c>
      <c r="L92" s="1">
        <f>C92</f>
        <v>8.1740890987246004</v>
      </c>
    </row>
    <row r="94" spans="1:12" x14ac:dyDescent="0.25">
      <c r="C94" s="1"/>
      <c r="D94" s="1"/>
    </row>
    <row r="95" spans="1:12" x14ac:dyDescent="0.25">
      <c r="C95" s="1"/>
      <c r="D95" s="1"/>
    </row>
    <row r="96" spans="1:12" x14ac:dyDescent="0.25">
      <c r="C96" s="1"/>
      <c r="D96" s="1"/>
    </row>
    <row r="97" spans="3:4" x14ac:dyDescent="0.25">
      <c r="C97" s="1"/>
      <c r="D97" s="1"/>
    </row>
    <row r="98" spans="3:4" x14ac:dyDescent="0.25">
      <c r="C98" s="1"/>
      <c r="D98" s="1"/>
    </row>
    <row r="99" spans="3:4" x14ac:dyDescent="0.25">
      <c r="C99" s="1"/>
      <c r="D99" s="1"/>
    </row>
    <row r="100" spans="3:4" x14ac:dyDescent="0.25">
      <c r="C100" s="1"/>
      <c r="D100" s="1"/>
    </row>
    <row r="101" spans="3:4" x14ac:dyDescent="0.25">
      <c r="C101" s="1"/>
      <c r="D101" s="1"/>
    </row>
    <row r="102" spans="3:4" x14ac:dyDescent="0.25">
      <c r="C102" s="1"/>
      <c r="D102" s="1"/>
    </row>
    <row r="103" spans="3:4" x14ac:dyDescent="0.25">
      <c r="C103" s="1"/>
      <c r="D103" s="1"/>
    </row>
    <row r="104" spans="3:4" x14ac:dyDescent="0.25">
      <c r="C104" s="1"/>
      <c r="D104" s="1"/>
    </row>
    <row r="105" spans="3:4" x14ac:dyDescent="0.25">
      <c r="C105" s="1"/>
      <c r="D105" s="1"/>
    </row>
    <row r="106" spans="3:4" x14ac:dyDescent="0.25">
      <c r="C106" s="1"/>
      <c r="D106" s="1"/>
    </row>
    <row r="107" spans="3:4" x14ac:dyDescent="0.25">
      <c r="C107" s="1"/>
      <c r="D107" s="1"/>
    </row>
    <row r="108" spans="3:4" x14ac:dyDescent="0.25">
      <c r="C108" s="1"/>
      <c r="D108" s="1"/>
    </row>
    <row r="109" spans="3:4" x14ac:dyDescent="0.25">
      <c r="C109" s="1"/>
      <c r="D109" s="1"/>
    </row>
    <row r="110" spans="3:4" x14ac:dyDescent="0.25">
      <c r="C110" s="1"/>
      <c r="D110" s="1"/>
    </row>
    <row r="111" spans="3:4" x14ac:dyDescent="0.25">
      <c r="C111" s="1"/>
      <c r="D111" s="1"/>
    </row>
    <row r="112" spans="3:4" x14ac:dyDescent="0.25">
      <c r="C112" s="1"/>
      <c r="D112" s="1"/>
    </row>
    <row r="113" spans="3:4" x14ac:dyDescent="0.25">
      <c r="C113" s="1"/>
      <c r="D113" s="1"/>
    </row>
    <row r="114" spans="3:4" x14ac:dyDescent="0.25">
      <c r="C114" s="1"/>
      <c r="D114" s="1"/>
    </row>
    <row r="115" spans="3:4" x14ac:dyDescent="0.25">
      <c r="C115" s="1"/>
      <c r="D115" s="1"/>
    </row>
    <row r="116" spans="3:4" x14ac:dyDescent="0.25">
      <c r="C116" s="1"/>
      <c r="D116" s="1"/>
    </row>
    <row r="117" spans="3:4" x14ac:dyDescent="0.25">
      <c r="C117" s="1"/>
      <c r="D117" s="1"/>
    </row>
    <row r="118" spans="3:4" x14ac:dyDescent="0.25">
      <c r="C118" s="1"/>
      <c r="D118" s="1"/>
    </row>
    <row r="119" spans="3:4" x14ac:dyDescent="0.25">
      <c r="C119" s="1"/>
      <c r="D119" s="1"/>
    </row>
    <row r="120" spans="3:4" x14ac:dyDescent="0.25">
      <c r="C120" s="1"/>
      <c r="D120" s="1"/>
    </row>
    <row r="121" spans="3:4" x14ac:dyDescent="0.25">
      <c r="C121" s="1"/>
      <c r="D121" s="1"/>
    </row>
    <row r="122" spans="3:4" x14ac:dyDescent="0.25">
      <c r="C122" s="1"/>
      <c r="D122" s="1"/>
    </row>
    <row r="123" spans="3:4" x14ac:dyDescent="0.25">
      <c r="C123" s="1"/>
      <c r="D123" s="1"/>
    </row>
    <row r="124" spans="3:4" x14ac:dyDescent="0.25">
      <c r="C124" s="1"/>
      <c r="D124" s="1"/>
    </row>
    <row r="125" spans="3:4" x14ac:dyDescent="0.25">
      <c r="C125" s="1"/>
      <c r="D125" s="1"/>
    </row>
    <row r="126" spans="3:4" x14ac:dyDescent="0.25">
      <c r="C126" s="1"/>
      <c r="D126" s="1"/>
    </row>
    <row r="127" spans="3:4" x14ac:dyDescent="0.25">
      <c r="C127" s="1"/>
      <c r="D127" s="1"/>
    </row>
    <row r="128" spans="3:4" x14ac:dyDescent="0.25">
      <c r="C128" s="1"/>
      <c r="D128" s="1"/>
    </row>
    <row r="129" spans="3:4" x14ac:dyDescent="0.25">
      <c r="C129" s="1"/>
      <c r="D129" s="1"/>
    </row>
    <row r="130" spans="3:4" x14ac:dyDescent="0.25">
      <c r="C130" s="1"/>
      <c r="D130" s="1"/>
    </row>
    <row r="131" spans="3:4" x14ac:dyDescent="0.25">
      <c r="C131" s="1"/>
      <c r="D131" s="1"/>
    </row>
    <row r="132" spans="3:4" x14ac:dyDescent="0.25">
      <c r="C132" s="1"/>
      <c r="D132" s="1"/>
    </row>
  </sheetData>
  <phoneticPr fontId="3" type="noConversion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F2EE-3EBE-4333-896F-8C9A54E14DBD}">
  <dimension ref="A1:I13"/>
  <sheetViews>
    <sheetView workbookViewId="0">
      <selection activeCell="E3" sqref="E3"/>
    </sheetView>
  </sheetViews>
  <sheetFormatPr defaultRowHeight="15" x14ac:dyDescent="0.25"/>
  <cols>
    <col min="1" max="1" width="17.28515625" bestFit="1" customWidth="1"/>
    <col min="2" max="2" width="9.5703125" bestFit="1" customWidth="1"/>
    <col min="3" max="3" width="17.5703125" bestFit="1" customWidth="1"/>
    <col min="4" max="4" width="22" bestFit="1" customWidth="1"/>
    <col min="5" max="5" width="9.42578125" bestFit="1" customWidth="1"/>
  </cols>
  <sheetData>
    <row r="1" spans="1:9" x14ac:dyDescent="0.25">
      <c r="A1" t="s">
        <v>0</v>
      </c>
      <c r="B1" t="s">
        <v>52</v>
      </c>
      <c r="C1" t="s">
        <v>60</v>
      </c>
      <c r="D1" t="s">
        <v>61</v>
      </c>
      <c r="E1" t="s">
        <v>63</v>
      </c>
      <c r="I1" t="s">
        <v>91</v>
      </c>
    </row>
    <row r="2" spans="1:9" x14ac:dyDescent="0.25">
      <c r="A2" t="s">
        <v>13</v>
      </c>
      <c r="B2">
        <v>500</v>
      </c>
      <c r="C2">
        <f>C8</f>
        <v>40.97</v>
      </c>
      <c r="D2">
        <f>C2*44/12</f>
        <v>150.22333333333333</v>
      </c>
      <c r="E2" t="s">
        <v>62</v>
      </c>
    </row>
    <row r="3" spans="1:9" x14ac:dyDescent="0.25">
      <c r="A3" t="s">
        <v>14</v>
      </c>
      <c r="B3">
        <v>1500</v>
      </c>
      <c r="C3">
        <f>C10</f>
        <v>263.8</v>
      </c>
      <c r="D3">
        <f>C3*44/12</f>
        <v>967.26666666666677</v>
      </c>
      <c r="E3">
        <f>1-(D3-D2)/(B3-B2)</f>
        <v>0.18295666666666655</v>
      </c>
    </row>
    <row r="5" spans="1:9" x14ac:dyDescent="0.25">
      <c r="A5" s="3">
        <v>2050</v>
      </c>
    </row>
    <row r="6" spans="1:9" x14ac:dyDescent="0.25">
      <c r="A6" t="s">
        <v>0</v>
      </c>
      <c r="B6" t="s">
        <v>52</v>
      </c>
      <c r="C6" t="s">
        <v>60</v>
      </c>
      <c r="D6" t="s">
        <v>61</v>
      </c>
      <c r="E6" t="s">
        <v>51</v>
      </c>
    </row>
    <row r="7" spans="1:9" x14ac:dyDescent="0.25">
      <c r="A7" t="s">
        <v>53</v>
      </c>
      <c r="B7" s="8">
        <v>100</v>
      </c>
      <c r="C7" s="8">
        <v>-19.5</v>
      </c>
      <c r="D7" s="8">
        <f>C7*44/12</f>
        <v>-71.5</v>
      </c>
      <c r="E7" s="8" t="s">
        <v>62</v>
      </c>
    </row>
    <row r="8" spans="1:9" x14ac:dyDescent="0.25">
      <c r="A8" t="s">
        <v>54</v>
      </c>
      <c r="B8" s="8">
        <v>500</v>
      </c>
      <c r="C8" s="8">
        <v>40.97</v>
      </c>
      <c r="D8" s="8">
        <f>C8*44/12</f>
        <v>150.22333333333333</v>
      </c>
      <c r="E8" s="8">
        <f>1-(D8-D7)/(B8-B7)</f>
        <v>0.44569166666666671</v>
      </c>
    </row>
    <row r="9" spans="1:9" x14ac:dyDescent="0.25">
      <c r="A9" t="s">
        <v>55</v>
      </c>
      <c r="B9" s="8">
        <f>B8+788.98</f>
        <v>1288.98</v>
      </c>
      <c r="C9" s="8">
        <v>218.8</v>
      </c>
      <c r="D9" s="8">
        <f t="shared" ref="D9:D13" si="0">C9*44/12</f>
        <v>802.26666666666677</v>
      </c>
      <c r="E9" s="8">
        <f>1-(D9-D8)/(B9-B8)</f>
        <v>0.17356164499311344</v>
      </c>
    </row>
    <row r="10" spans="1:9" x14ac:dyDescent="0.25">
      <c r="A10" t="s">
        <v>56</v>
      </c>
      <c r="B10" s="8">
        <v>1500</v>
      </c>
      <c r="C10" s="8">
        <v>263.8</v>
      </c>
      <c r="D10" s="8">
        <f t="shared" si="0"/>
        <v>967.26666666666677</v>
      </c>
      <c r="E10" s="8">
        <f>1-(D10-D9)/(B10-B9)</f>
        <v>0.21808359397213528</v>
      </c>
    </row>
    <row r="11" spans="1:9" x14ac:dyDescent="0.25">
      <c r="A11" t="s">
        <v>57</v>
      </c>
      <c r="B11" s="8">
        <f>B10+638.54</f>
        <v>2138.54</v>
      </c>
      <c r="C11" s="8">
        <v>427.8</v>
      </c>
      <c r="D11" s="8">
        <f t="shared" si="0"/>
        <v>1568.6000000000001</v>
      </c>
      <c r="E11" s="8">
        <f t="shared" ref="E11:E13" si="1">1-(D11-D10)/(B11-B10)</f>
        <v>5.8268341320303452E-2</v>
      </c>
    </row>
    <row r="12" spans="1:9" x14ac:dyDescent="0.25">
      <c r="A12" t="s">
        <v>58</v>
      </c>
      <c r="B12" s="8">
        <v>2400</v>
      </c>
      <c r="C12" s="8">
        <v>496.9</v>
      </c>
      <c r="D12" s="8">
        <f t="shared" si="0"/>
        <v>1821.9666666666665</v>
      </c>
      <c r="E12" s="8">
        <f>1-(D12-D11)/(B12-B11)</f>
        <v>3.0954384354523468E-2</v>
      </c>
    </row>
    <row r="13" spans="1:9" x14ac:dyDescent="0.25">
      <c r="A13" t="s">
        <v>59</v>
      </c>
      <c r="B13" s="8">
        <v>4100</v>
      </c>
      <c r="C13" s="8">
        <v>1069.7</v>
      </c>
      <c r="D13" s="8">
        <f t="shared" si="0"/>
        <v>3922.2333333333336</v>
      </c>
      <c r="E13" s="8">
        <f t="shared" si="1"/>
        <v>-0.23545098039215717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8D6B-AAC7-4D47-8A22-E3B6AC50568B}">
  <dimension ref="A1:Q116"/>
  <sheetViews>
    <sheetView zoomScale="60" zoomScaleNormal="60" workbookViewId="0">
      <selection activeCell="Q12" sqref="Q12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66.85546875" bestFit="1" customWidth="1"/>
    <col min="4" max="4" width="70.140625" bestFit="1" customWidth="1"/>
  </cols>
  <sheetData>
    <row r="1" spans="1:17" x14ac:dyDescent="0.25">
      <c r="A1" t="s">
        <v>0</v>
      </c>
      <c r="B1" t="s">
        <v>28</v>
      </c>
      <c r="C1" t="s">
        <v>40</v>
      </c>
      <c r="D1" t="s">
        <v>65</v>
      </c>
      <c r="E1" t="s">
        <v>34</v>
      </c>
      <c r="F1" t="s">
        <v>64</v>
      </c>
      <c r="G1" t="s">
        <v>35</v>
      </c>
      <c r="H1" t="s">
        <v>66</v>
      </c>
      <c r="I1" t="s">
        <v>67</v>
      </c>
      <c r="J1" t="s">
        <v>41</v>
      </c>
      <c r="M1" t="s">
        <v>83</v>
      </c>
      <c r="N1" t="s">
        <v>87</v>
      </c>
      <c r="O1" t="s">
        <v>84</v>
      </c>
      <c r="P1" t="s">
        <v>85</v>
      </c>
      <c r="Q1" t="s">
        <v>86</v>
      </c>
    </row>
    <row r="2" spans="1:17" x14ac:dyDescent="0.25">
      <c r="A2" t="s">
        <v>27</v>
      </c>
      <c r="B2" t="s">
        <v>29</v>
      </c>
      <c r="C2">
        <v>5.4175769899473796</v>
      </c>
      <c r="D2">
        <f>100*(C2-C$2)/C$2</f>
        <v>0</v>
      </c>
      <c r="E2">
        <v>1.21462324059764</v>
      </c>
      <c r="F2">
        <f>100*(E2-E$2)/E$2</f>
        <v>0</v>
      </c>
      <c r="G2">
        <v>0.50517645710506498</v>
      </c>
      <c r="H2">
        <f>100*(G2-G$2)/G$2</f>
        <v>0</v>
      </c>
      <c r="I2">
        <f>100*(J2-J$2)/J$2</f>
        <v>0</v>
      </c>
      <c r="J2">
        <v>0.84290901691641495</v>
      </c>
      <c r="M2">
        <f>MEDIAN(E3:E28)-E2</f>
        <v>3.3008245793014979E-2</v>
      </c>
      <c r="N2">
        <f>AVERAGE(E3:E28)-E2</f>
        <v>3.6171019551402228E-2</v>
      </c>
      <c r="O2">
        <f>_xlfn.CONFIDENCE.T(0.05, _xlfn.STDEV.S(E3:E28), COUNT(E3:E28))</f>
        <v>1.2698998754909626E-2</v>
      </c>
      <c r="P2">
        <f>N2-O2</f>
        <v>2.3472020796492604E-2</v>
      </c>
      <c r="Q2">
        <f>N2+O2</f>
        <v>4.8870018306311852E-2</v>
      </c>
    </row>
    <row r="3" spans="1:17" x14ac:dyDescent="0.25">
      <c r="A3" t="s">
        <v>1</v>
      </c>
      <c r="B3" t="s">
        <v>30</v>
      </c>
      <c r="C3">
        <v>5.4526751392889503</v>
      </c>
      <c r="D3">
        <f t="shared" ref="D3:F28" si="0">100*(C3-C$2)/C$2</f>
        <v>0.64785695536394483</v>
      </c>
      <c r="E3">
        <v>1.2265993616247699</v>
      </c>
      <c r="F3">
        <f t="shared" si="0"/>
        <v>0.98599472057171911</v>
      </c>
      <c r="G3">
        <v>0.51196546571708901</v>
      </c>
      <c r="H3">
        <f t="shared" ref="H3" si="1">100*(G3-G$2)/G$2</f>
        <v>1.3438885594409384</v>
      </c>
      <c r="I3">
        <f t="shared" ref="I3:I28" si="2">100*(J3-J$2)/J$2</f>
        <v>0.21249703186680166</v>
      </c>
      <c r="J3">
        <v>0.84470017355869997</v>
      </c>
    </row>
    <row r="4" spans="1:17" x14ac:dyDescent="0.25">
      <c r="A4" t="s">
        <v>2</v>
      </c>
      <c r="B4" t="s">
        <v>30</v>
      </c>
      <c r="C4">
        <v>5.4176986655229298</v>
      </c>
      <c r="D4">
        <f t="shared" si="0"/>
        <v>2.2459408657409443E-3</v>
      </c>
      <c r="E4">
        <v>1.2200220480936199</v>
      </c>
      <c r="F4">
        <f t="shared" si="0"/>
        <v>0.44448412606722876</v>
      </c>
      <c r="G4">
        <v>0.50945647219154799</v>
      </c>
      <c r="H4">
        <f t="shared" ref="H4" si="3">100*(G4-G$2)/G$2</f>
        <v>0.84723170018844907</v>
      </c>
      <c r="I4">
        <f t="shared" si="2"/>
        <v>-1.3655573070193403</v>
      </c>
      <c r="J4">
        <v>0.83139861124438796</v>
      </c>
    </row>
    <row r="5" spans="1:17" x14ac:dyDescent="0.25">
      <c r="A5" t="s">
        <v>6</v>
      </c>
      <c r="B5" t="s">
        <v>30</v>
      </c>
      <c r="C5">
        <v>5.4325606637280597</v>
      </c>
      <c r="D5">
        <f t="shared" si="0"/>
        <v>0.27657518865875208</v>
      </c>
      <c r="E5">
        <v>1.2224848613141599</v>
      </c>
      <c r="F5">
        <f t="shared" si="0"/>
        <v>0.64724767761331869</v>
      </c>
      <c r="G5">
        <v>0.51069933585084104</v>
      </c>
      <c r="H5">
        <f t="shared" ref="H5" si="4">100*(G5-G$2)/G$2</f>
        <v>1.0932573496051559</v>
      </c>
      <c r="I5">
        <f t="shared" si="2"/>
        <v>-0.46376197004718345</v>
      </c>
      <c r="J5">
        <v>0.83899992545385804</v>
      </c>
    </row>
    <row r="6" spans="1:17" x14ac:dyDescent="0.25">
      <c r="A6" t="s">
        <v>5</v>
      </c>
      <c r="B6" t="s">
        <v>30</v>
      </c>
      <c r="C6">
        <v>5.4675026820248398</v>
      </c>
      <c r="D6">
        <f t="shared" si="0"/>
        <v>0.9215502090713279</v>
      </c>
      <c r="E6">
        <v>1.23111451544623</v>
      </c>
      <c r="F6">
        <f t="shared" si="0"/>
        <v>1.3577275897072081</v>
      </c>
      <c r="G6">
        <v>0.513737215902481</v>
      </c>
      <c r="H6">
        <f t="shared" ref="H6" si="5">100*(G6-G$2)/G$2</f>
        <v>1.6946076320487724</v>
      </c>
      <c r="I6">
        <f t="shared" si="2"/>
        <v>-0.15840906711694819</v>
      </c>
      <c r="J6">
        <v>0.84157377260607302</v>
      </c>
      <c r="O6">
        <f>_xlfn.STDEV.S(E3:E28)</f>
        <v>3.1440267222873901E-2</v>
      </c>
    </row>
    <row r="7" spans="1:17" x14ac:dyDescent="0.25">
      <c r="A7" t="s">
        <v>8</v>
      </c>
      <c r="B7" t="s">
        <v>30</v>
      </c>
      <c r="C7">
        <v>5.4690262916548296</v>
      </c>
      <c r="D7">
        <f t="shared" si="0"/>
        <v>0.94967366043744428</v>
      </c>
      <c r="E7">
        <v>1.24274587562168</v>
      </c>
      <c r="F7">
        <f t="shared" si="0"/>
        <v>2.3153381298881297</v>
      </c>
      <c r="G7">
        <v>0.52159577509564503</v>
      </c>
      <c r="H7">
        <f t="shared" ref="H7" si="6">100*(G7-G$2)/G$2</f>
        <v>3.2502144071938046</v>
      </c>
      <c r="I7">
        <f t="shared" si="2"/>
        <v>-1.4997785764247658</v>
      </c>
      <c r="J7">
        <v>0.83026724806194996</v>
      </c>
      <c r="O7">
        <f>COUNT(E3:E28)</f>
        <v>26</v>
      </c>
    </row>
    <row r="8" spans="1:17" x14ac:dyDescent="0.25">
      <c r="A8" t="s">
        <v>7</v>
      </c>
      <c r="B8" t="s">
        <v>30</v>
      </c>
      <c r="C8">
        <v>5.4704807351999003</v>
      </c>
      <c r="D8">
        <f t="shared" si="0"/>
        <v>0.97652041402801693</v>
      </c>
      <c r="E8">
        <v>1.2344805645724799</v>
      </c>
      <c r="F8">
        <f t="shared" si="0"/>
        <v>1.6348546043849213</v>
      </c>
      <c r="G8">
        <v>0.51580994167138305</v>
      </c>
      <c r="H8">
        <f t="shared" ref="H8" si="7">100*(G8-G$2)/G$2</f>
        <v>2.1049050122513044</v>
      </c>
      <c r="I8">
        <f t="shared" si="2"/>
        <v>-0.39769251330281402</v>
      </c>
      <c r="J8">
        <v>0.83955683086218402</v>
      </c>
    </row>
    <row r="9" spans="1:17" x14ac:dyDescent="0.25">
      <c r="A9" t="s">
        <v>9</v>
      </c>
      <c r="B9" t="s">
        <v>30</v>
      </c>
      <c r="C9">
        <v>5.4684294412951697</v>
      </c>
      <c r="D9">
        <f t="shared" si="0"/>
        <v>0.93865673606761379</v>
      </c>
      <c r="E9">
        <v>1.23469984643818</v>
      </c>
      <c r="F9">
        <f t="shared" si="0"/>
        <v>1.6529080927729902</v>
      </c>
      <c r="G9">
        <v>0.51633662594582996</v>
      </c>
      <c r="H9">
        <f t="shared" ref="H9" si="8">100*(G9-G$2)/G$2</f>
        <v>2.2091624983315339</v>
      </c>
      <c r="I9">
        <f t="shared" si="2"/>
        <v>-0.52357713726908883</v>
      </c>
      <c r="J9">
        <v>0.83849573801586097</v>
      </c>
    </row>
    <row r="10" spans="1:17" x14ac:dyDescent="0.25">
      <c r="A10" t="s">
        <v>13</v>
      </c>
      <c r="B10" t="s">
        <v>30</v>
      </c>
      <c r="C10">
        <v>5.5007324623894398</v>
      </c>
      <c r="D10">
        <f t="shared" si="0"/>
        <v>1.5349199946093965</v>
      </c>
      <c r="E10">
        <v>1.2333937815064</v>
      </c>
      <c r="F10">
        <f t="shared" si="0"/>
        <v>1.5453796931733457</v>
      </c>
      <c r="G10">
        <v>0.513172389200656</v>
      </c>
      <c r="H10">
        <f t="shared" ref="H10" si="9">100*(G10-G$2)/G$2</f>
        <v>1.5827998282841693</v>
      </c>
      <c r="I10">
        <f t="shared" si="2"/>
        <v>1.0818447048699995</v>
      </c>
      <c r="J10">
        <v>0.85202798348279696</v>
      </c>
    </row>
    <row r="11" spans="1:17" x14ac:dyDescent="0.25">
      <c r="A11" t="s">
        <v>10</v>
      </c>
      <c r="B11" t="s">
        <v>30</v>
      </c>
      <c r="C11">
        <v>5.4984718932521197</v>
      </c>
      <c r="D11">
        <f t="shared" si="0"/>
        <v>1.4931934230901602</v>
      </c>
      <c r="E11">
        <v>1.2461970757383001</v>
      </c>
      <c r="F11">
        <f t="shared" si="0"/>
        <v>2.5994756304123183</v>
      </c>
      <c r="G11">
        <v>0.52572239246154995</v>
      </c>
      <c r="H11">
        <f t="shared" ref="H11" si="10">100*(G11-G$2)/G$2</f>
        <v>4.0670809313292864</v>
      </c>
      <c r="I11">
        <f t="shared" si="2"/>
        <v>0.36638009527595833</v>
      </c>
      <c r="J11">
        <v>0.84599726777568296</v>
      </c>
    </row>
    <row r="12" spans="1:17" x14ac:dyDescent="0.25">
      <c r="A12" t="s">
        <v>11</v>
      </c>
      <c r="B12" t="s">
        <v>30</v>
      </c>
      <c r="C12">
        <v>5.7243968175114803</v>
      </c>
      <c r="D12">
        <f t="shared" si="0"/>
        <v>5.6634142557350327</v>
      </c>
      <c r="E12">
        <v>1.3160625148040399</v>
      </c>
      <c r="F12">
        <f t="shared" si="0"/>
        <v>8.3515011746760219</v>
      </c>
      <c r="G12">
        <v>0.56052492044233604</v>
      </c>
      <c r="H12">
        <f t="shared" ref="H12" si="11">100*(G12-G$2)/G$2</f>
        <v>10.956263412283258</v>
      </c>
      <c r="I12">
        <f t="shared" si="2"/>
        <v>1.1959723569841303</v>
      </c>
      <c r="J12">
        <v>0.85298997575326196</v>
      </c>
    </row>
    <row r="13" spans="1:17" x14ac:dyDescent="0.25">
      <c r="A13" t="s">
        <v>12</v>
      </c>
      <c r="B13" t="s">
        <v>30</v>
      </c>
      <c r="C13">
        <v>5.4812879541932098</v>
      </c>
      <c r="D13">
        <f t="shared" si="0"/>
        <v>1.176004777856402</v>
      </c>
      <c r="E13">
        <v>1.2334114219814001</v>
      </c>
      <c r="F13">
        <f t="shared" si="0"/>
        <v>1.5468320344764317</v>
      </c>
      <c r="G13">
        <v>0.51482952026028495</v>
      </c>
      <c r="H13">
        <f t="shared" ref="H13" si="12">100*(G13-G$2)/G$2</f>
        <v>1.9108299722709272</v>
      </c>
      <c r="I13">
        <f t="shared" si="2"/>
        <v>0.36328086889841033</v>
      </c>
      <c r="J13">
        <v>0.84597114411709196</v>
      </c>
    </row>
    <row r="14" spans="1:17" x14ac:dyDescent="0.25">
      <c r="A14" t="s">
        <v>1</v>
      </c>
      <c r="B14" t="s">
        <v>32</v>
      </c>
      <c r="C14">
        <v>5.5417657965940101</v>
      </c>
      <c r="D14">
        <f t="shared" si="0"/>
        <v>2.2923311819484971</v>
      </c>
      <c r="E14">
        <v>1.2457635282608599</v>
      </c>
      <c r="F14">
        <f t="shared" si="0"/>
        <v>2.5637816421080228</v>
      </c>
      <c r="G14">
        <v>0.51994929271492896</v>
      </c>
      <c r="H14">
        <f t="shared" ref="H14" si="13">100*(G14-G$2)/G$2</f>
        <v>2.9242921759498324</v>
      </c>
      <c r="I14">
        <f t="shared" si="2"/>
        <v>1.0676371229122197</v>
      </c>
      <c r="J14">
        <v>0.85190822649338904</v>
      </c>
    </row>
    <row r="15" spans="1:17" x14ac:dyDescent="0.25">
      <c r="A15" t="s">
        <v>2</v>
      </c>
      <c r="B15" t="s">
        <v>32</v>
      </c>
      <c r="C15">
        <v>5.5469377878581998</v>
      </c>
      <c r="D15">
        <f t="shared" si="0"/>
        <v>2.3877980534629502</v>
      </c>
      <c r="E15">
        <v>1.24906589704301</v>
      </c>
      <c r="F15">
        <f t="shared" si="0"/>
        <v>2.8356658504593448</v>
      </c>
      <c r="G15">
        <v>0.52138261081502402</v>
      </c>
      <c r="H15">
        <f t="shared" ref="H15" si="14">100*(G15-G$2)/G$2</f>
        <v>3.2080184026842988</v>
      </c>
      <c r="I15">
        <f t="shared" si="2"/>
        <v>0.46865683829263816</v>
      </c>
      <c r="J15">
        <v>0.84685936766477898</v>
      </c>
    </row>
    <row r="16" spans="1:17" x14ac:dyDescent="0.25">
      <c r="A16" t="s">
        <v>14</v>
      </c>
      <c r="B16" t="s">
        <v>32</v>
      </c>
      <c r="C16">
        <v>5.6382572848615498</v>
      </c>
      <c r="D16">
        <f t="shared" si="0"/>
        <v>4.073413175736218</v>
      </c>
      <c r="E16">
        <v>1.26406672926263</v>
      </c>
      <c r="F16">
        <f t="shared" si="0"/>
        <v>4.0706852143436585</v>
      </c>
      <c r="G16">
        <v>0.52557117328980196</v>
      </c>
      <c r="H16">
        <f t="shared" ref="H16" si="15">100*(G16-G$2)/G$2</f>
        <v>4.0371470003985861</v>
      </c>
      <c r="I16">
        <f t="shared" si="2"/>
        <v>2.3727693973872075</v>
      </c>
      <c r="J16">
        <v>0.86290930411762501</v>
      </c>
    </row>
    <row r="17" spans="1:10" x14ac:dyDescent="0.25">
      <c r="A17" t="s">
        <v>6</v>
      </c>
      <c r="B17" t="s">
        <v>32</v>
      </c>
      <c r="C17">
        <v>5.4997560593119497</v>
      </c>
      <c r="D17">
        <f t="shared" si="0"/>
        <v>1.5168971205588402</v>
      </c>
      <c r="E17">
        <v>1.2403987076644101</v>
      </c>
      <c r="F17">
        <f t="shared" si="0"/>
        <v>2.1220956593986737</v>
      </c>
      <c r="G17">
        <v>0.51878134271989196</v>
      </c>
      <c r="H17">
        <f t="shared" ref="H17" si="16">100*(G17-G$2)/G$2</f>
        <v>2.693095733872942</v>
      </c>
      <c r="I17">
        <f t="shared" si="2"/>
        <v>-1.0959771479748042</v>
      </c>
      <c r="J17">
        <v>0.83367092671279197</v>
      </c>
    </row>
    <row r="18" spans="1:10" x14ac:dyDescent="0.25">
      <c r="A18" t="s">
        <v>5</v>
      </c>
      <c r="B18" t="s">
        <v>32</v>
      </c>
      <c r="C18">
        <v>5.54833513221618</v>
      </c>
      <c r="D18">
        <f t="shared" si="0"/>
        <v>2.4135908453433994</v>
      </c>
      <c r="E18">
        <v>1.2520633936749701</v>
      </c>
      <c r="F18">
        <f t="shared" si="0"/>
        <v>3.0824499174664326</v>
      </c>
      <c r="G18">
        <v>0.52294039663778702</v>
      </c>
      <c r="H18">
        <f t="shared" ref="H18" si="17">100*(G18-G$2)/G$2</f>
        <v>3.5163830940418412</v>
      </c>
      <c r="I18">
        <f t="shared" si="2"/>
        <v>-0.67455579376899111</v>
      </c>
      <c r="J18">
        <v>0.83722312530660403</v>
      </c>
    </row>
    <row r="19" spans="1:10" x14ac:dyDescent="0.25">
      <c r="A19" t="s">
        <v>8</v>
      </c>
      <c r="B19" t="s">
        <v>32</v>
      </c>
      <c r="C19">
        <v>5.4635976264752202</v>
      </c>
      <c r="D19">
        <f t="shared" si="0"/>
        <v>0.84946898979441365</v>
      </c>
      <c r="E19">
        <v>1.24990611993794</v>
      </c>
      <c r="F19">
        <f t="shared" si="0"/>
        <v>2.9048414488544982</v>
      </c>
      <c r="G19">
        <v>0.52663439663696598</v>
      </c>
      <c r="H19">
        <f t="shared" ref="H19" si="18">100*(G19-G$2)/G$2</f>
        <v>4.2476127361252409</v>
      </c>
      <c r="I19">
        <f t="shared" si="2"/>
        <v>-4.6305696962614666</v>
      </c>
      <c r="J19">
        <v>0.803877527412028</v>
      </c>
    </row>
    <row r="20" spans="1:10" x14ac:dyDescent="0.25">
      <c r="A20" t="s">
        <v>7</v>
      </c>
      <c r="B20" t="s">
        <v>32</v>
      </c>
      <c r="C20">
        <v>5.5358720502600303</v>
      </c>
      <c r="D20">
        <f t="shared" si="0"/>
        <v>2.1835418404233824</v>
      </c>
      <c r="E20">
        <v>1.2527627412573199</v>
      </c>
      <c r="F20">
        <f t="shared" si="0"/>
        <v>3.1400272434202559</v>
      </c>
      <c r="G20">
        <v>0.52415207638914296</v>
      </c>
      <c r="H20">
        <f t="shared" ref="H20" si="19">100*(G20-G$2)/G$2</f>
        <v>3.7562358691096911</v>
      </c>
      <c r="I20">
        <f t="shared" si="2"/>
        <v>-1.319407624914968</v>
      </c>
      <c r="J20">
        <v>0.83178761107612398</v>
      </c>
    </row>
    <row r="21" spans="1:10" x14ac:dyDescent="0.25">
      <c r="A21" t="s">
        <v>9</v>
      </c>
      <c r="B21" t="s">
        <v>32</v>
      </c>
      <c r="C21">
        <v>5.5232699771311804</v>
      </c>
      <c r="D21">
        <f t="shared" si="0"/>
        <v>1.950927275789899</v>
      </c>
      <c r="E21">
        <v>1.2516020094135401</v>
      </c>
      <c r="F21">
        <f t="shared" si="0"/>
        <v>3.0444641251640361</v>
      </c>
      <c r="G21">
        <v>0.52434373084310903</v>
      </c>
      <c r="H21">
        <f t="shared" ref="H21" si="20">100*(G21-G$2)/G$2</f>
        <v>3.7941739897941655</v>
      </c>
      <c r="I21">
        <f t="shared" si="2"/>
        <v>-1.897612583824104</v>
      </c>
      <c r="J21">
        <v>0.82691386934122102</v>
      </c>
    </row>
    <row r="22" spans="1:10" x14ac:dyDescent="0.25">
      <c r="A22" t="s">
        <v>10</v>
      </c>
      <c r="B22" t="s">
        <v>32</v>
      </c>
      <c r="C22">
        <v>5.6119825340455902</v>
      </c>
      <c r="D22">
        <f t="shared" si="0"/>
        <v>3.5884223603825314</v>
      </c>
      <c r="E22">
        <v>1.2719189458234801</v>
      </c>
      <c r="F22">
        <f t="shared" si="0"/>
        <v>4.7171586472895424</v>
      </c>
      <c r="G22">
        <v>0.53623613968750194</v>
      </c>
      <c r="H22">
        <f t="shared" ref="H22" si="21">100*(G22-G$2)/G$2</f>
        <v>6.1482838611335504</v>
      </c>
      <c r="I22">
        <f t="shared" si="2"/>
        <v>1.0363250084620061</v>
      </c>
      <c r="J22">
        <v>0.851644293857301</v>
      </c>
    </row>
    <row r="23" spans="1:10" x14ac:dyDescent="0.25">
      <c r="A23" t="s">
        <v>11</v>
      </c>
      <c r="B23" t="s">
        <v>32</v>
      </c>
      <c r="C23">
        <v>5.8166522657457698</v>
      </c>
      <c r="D23">
        <f t="shared" si="0"/>
        <v>7.3663055742243611</v>
      </c>
      <c r="E23">
        <v>1.3364385232365401</v>
      </c>
      <c r="F23">
        <f t="shared" si="0"/>
        <v>10.029059099755278</v>
      </c>
      <c r="G23">
        <v>0.56914999220891305</v>
      </c>
      <c r="H23">
        <f t="shared" ref="H23" si="22">100*(G23-G$2)/G$2</f>
        <v>12.663601837356222</v>
      </c>
      <c r="I23">
        <f t="shared" si="2"/>
        <v>2.923407082508354</v>
      </c>
      <c r="J23">
        <v>0.86755067881605097</v>
      </c>
    </row>
    <row r="24" spans="1:10" x14ac:dyDescent="0.25">
      <c r="A24" t="s">
        <v>12</v>
      </c>
      <c r="B24" t="s">
        <v>32</v>
      </c>
      <c r="C24">
        <v>5.5985806170975803</v>
      </c>
      <c r="D24">
        <f t="shared" si="0"/>
        <v>3.341043929529071</v>
      </c>
      <c r="E24">
        <v>1.2617380288169799</v>
      </c>
      <c r="F24">
        <f t="shared" si="0"/>
        <v>3.8789631751289115</v>
      </c>
      <c r="G24">
        <v>0.52686850022717402</v>
      </c>
      <c r="H24">
        <f t="shared" ref="H24" si="23">100*(G24-G$2)/G$2</f>
        <v>4.293953690244436</v>
      </c>
      <c r="I24">
        <f t="shared" si="2"/>
        <v>0.91897387304034173</v>
      </c>
      <c r="J24">
        <v>0.850655130555378</v>
      </c>
    </row>
    <row r="25" spans="1:10" x14ac:dyDescent="0.25">
      <c r="A25" t="s">
        <v>25</v>
      </c>
      <c r="B25" t="s">
        <v>31</v>
      </c>
      <c r="C25">
        <v>5.59858089366009</v>
      </c>
      <c r="D25">
        <f t="shared" si="0"/>
        <v>3.3410490344405526</v>
      </c>
      <c r="E25">
        <v>1.26706396066733</v>
      </c>
      <c r="F25">
        <f t="shared" si="0"/>
        <v>4.3174474451754374</v>
      </c>
      <c r="G25">
        <v>0.52914280295609695</v>
      </c>
      <c r="H25">
        <f t="shared" ref="H25" si="24">100*(G25-G$2)/G$2</f>
        <v>4.7441533574965318</v>
      </c>
      <c r="I25">
        <f t="shared" si="2"/>
        <v>-3.8617004313604051</v>
      </c>
      <c r="J25">
        <v>0.81035839577417801</v>
      </c>
    </row>
    <row r="26" spans="1:10" x14ac:dyDescent="0.25">
      <c r="A26" t="s">
        <v>26</v>
      </c>
      <c r="B26" t="s">
        <v>33</v>
      </c>
      <c r="C26">
        <v>5.6764675158573299</v>
      </c>
      <c r="D26">
        <f t="shared" si="0"/>
        <v>4.778714292207316</v>
      </c>
      <c r="E26">
        <v>1.2753904629780699</v>
      </c>
      <c r="F26">
        <f t="shared" si="0"/>
        <v>5.0029688506972843</v>
      </c>
      <c r="G26">
        <v>0.53294102312719405</v>
      </c>
      <c r="H26">
        <f t="shared" ref="H26" si="25">100*(G26-G$2)/G$2</f>
        <v>5.4960134486937662</v>
      </c>
      <c r="I26">
        <f t="shared" si="2"/>
        <v>23.306697574041493</v>
      </c>
      <c r="J26">
        <v>1.03936327231345</v>
      </c>
    </row>
    <row r="27" spans="1:10" x14ac:dyDescent="0.25">
      <c r="A27" t="s">
        <v>42</v>
      </c>
      <c r="B27" t="s">
        <v>30</v>
      </c>
      <c r="C27">
        <v>5.3010462151932503</v>
      </c>
      <c r="D27">
        <f t="shared" si="0"/>
        <v>-2.1509758877512724</v>
      </c>
      <c r="E27">
        <v>1.1731321959108101</v>
      </c>
      <c r="F27">
        <f t="shared" si="0"/>
        <v>-3.4159600524698353</v>
      </c>
      <c r="G27">
        <v>0.48426792383517298</v>
      </c>
      <c r="H27">
        <f t="shared" ref="H27" si="26">100*(G27-G$2)/G$2</f>
        <v>-4.1388574181998177</v>
      </c>
      <c r="I27">
        <f t="shared" si="2"/>
        <v>-1.4445409002888128</v>
      </c>
      <c r="J27">
        <v>0.83073285141483499</v>
      </c>
    </row>
    <row r="28" spans="1:10" x14ac:dyDescent="0.25">
      <c r="A28" t="s">
        <v>42</v>
      </c>
      <c r="B28" t="s">
        <v>32</v>
      </c>
      <c r="C28">
        <v>5.5504529880081197</v>
      </c>
      <c r="D28">
        <f t="shared" si="0"/>
        <v>2.4526831516616943</v>
      </c>
      <c r="E28">
        <v>1.28812765278595</v>
      </c>
      <c r="F28">
        <f t="shared" si="0"/>
        <v>6.0516224069731308</v>
      </c>
      <c r="G28">
        <v>0.54364839445570401</v>
      </c>
      <c r="H28">
        <f t="shared" ref="H28" si="27">100*(G28-G$2)/G$2</f>
        <v>7.6155443923701611</v>
      </c>
      <c r="I28">
        <f t="shared" si="2"/>
        <v>-4.7728156685049763</v>
      </c>
      <c r="J28">
        <v>0.80267852328578704</v>
      </c>
    </row>
    <row r="31" spans="1:10" x14ac:dyDescent="0.25">
      <c r="A31" s="7">
        <v>0.02</v>
      </c>
      <c r="B31" t="str">
        <f>B1</f>
        <v>Baseline</v>
      </c>
      <c r="C31" t="str">
        <f>D1</f>
        <v>2% discount rate</v>
      </c>
      <c r="D31" t="str">
        <f>I1</f>
        <v>As snapshot of CDR prices in 2050</v>
      </c>
      <c r="E31" t="s">
        <v>68</v>
      </c>
      <c r="F31" t="s">
        <v>69</v>
      </c>
      <c r="G31" t="s">
        <v>70</v>
      </c>
      <c r="H31" t="s">
        <v>71</v>
      </c>
      <c r="I31" t="s">
        <v>72</v>
      </c>
      <c r="J31" t="s">
        <v>73</v>
      </c>
    </row>
    <row r="32" spans="1:10" x14ac:dyDescent="0.25">
      <c r="A32" t="str">
        <f t="shared" ref="A32:B32" si="28">A2</f>
        <v>100 Mt Baseline</v>
      </c>
      <c r="B32" t="str">
        <f t="shared" si="28"/>
        <v>100 Mt</v>
      </c>
      <c r="C32">
        <f t="shared" ref="C32:C58" si="29">D2</f>
        <v>0</v>
      </c>
      <c r="D32">
        <f t="shared" ref="D32:D56" si="30">I2</f>
        <v>0</v>
      </c>
      <c r="J32">
        <v>0</v>
      </c>
    </row>
    <row r="33" spans="1:9" x14ac:dyDescent="0.25">
      <c r="A33" t="str">
        <f t="shared" ref="A33:B33" si="31">A3</f>
        <v>45Q-2040</v>
      </c>
      <c r="B33" t="str">
        <f t="shared" si="31"/>
        <v>500 Mt</v>
      </c>
      <c r="C33">
        <f t="shared" si="29"/>
        <v>0.64785695536394483</v>
      </c>
      <c r="D33">
        <f t="shared" si="30"/>
        <v>0.21249703186680166</v>
      </c>
      <c r="F33">
        <f>C33</f>
        <v>0.64785695536394483</v>
      </c>
    </row>
    <row r="34" spans="1:9" x14ac:dyDescent="0.25">
      <c r="A34" t="str">
        <f t="shared" ref="A34:B34" si="32">A4</f>
        <v>45Q-2050</v>
      </c>
      <c r="B34" t="str">
        <f t="shared" si="32"/>
        <v>500 Mt</v>
      </c>
      <c r="C34">
        <f t="shared" si="29"/>
        <v>2.2459408657409443E-3</v>
      </c>
      <c r="D34">
        <f t="shared" si="30"/>
        <v>-1.3655573070193403</v>
      </c>
      <c r="F34">
        <f>C34</f>
        <v>2.2459408657409443E-3</v>
      </c>
    </row>
    <row r="35" spans="1:9" x14ac:dyDescent="0.25">
      <c r="A35" t="str">
        <f t="shared" ref="A35:B35" si="33">A5</f>
        <v>Innovation-DACHubs</v>
      </c>
      <c r="B35" t="str">
        <f t="shared" si="33"/>
        <v>500 Mt</v>
      </c>
      <c r="C35">
        <f t="shared" si="29"/>
        <v>0.27657518865875208</v>
      </c>
      <c r="D35">
        <f t="shared" si="30"/>
        <v>-0.46376197004718345</v>
      </c>
      <c r="E35">
        <f>C35</f>
        <v>0.27657518865875208</v>
      </c>
    </row>
    <row r="36" spans="1:9" x14ac:dyDescent="0.25">
      <c r="A36" t="str">
        <f t="shared" ref="A36:B36" si="34">A6</f>
        <v>Innovation-maintain</v>
      </c>
      <c r="B36" t="str">
        <f t="shared" si="34"/>
        <v>500 Mt</v>
      </c>
      <c r="C36">
        <f t="shared" si="29"/>
        <v>0.9215502090713279</v>
      </c>
      <c r="D36">
        <f t="shared" si="30"/>
        <v>-0.15840906711694819</v>
      </c>
      <c r="E36">
        <f t="shared" ref="E36:E39" si="35">C36</f>
        <v>0.9215502090713279</v>
      </c>
    </row>
    <row r="37" spans="1:9" x14ac:dyDescent="0.25">
      <c r="A37" t="str">
        <f t="shared" ref="A37:B37" si="36">A7</f>
        <v>Innovation-rhodium18b</v>
      </c>
      <c r="B37" t="str">
        <f t="shared" si="36"/>
        <v>500 Mt</v>
      </c>
      <c r="C37">
        <f t="shared" si="29"/>
        <v>0.94967366043744428</v>
      </c>
      <c r="D37">
        <f t="shared" si="30"/>
        <v>-1.4997785764247658</v>
      </c>
      <c r="E37">
        <f t="shared" si="35"/>
        <v>0.94967366043744428</v>
      </c>
    </row>
    <row r="38" spans="1:9" x14ac:dyDescent="0.25">
      <c r="A38" t="str">
        <f t="shared" ref="A38:B38" si="37">A8</f>
        <v>Innovation-rhodium6b</v>
      </c>
      <c r="B38" t="str">
        <f t="shared" si="37"/>
        <v>500 Mt</v>
      </c>
      <c r="C38">
        <f t="shared" si="29"/>
        <v>0.97652041402801693</v>
      </c>
      <c r="D38">
        <f t="shared" si="30"/>
        <v>-0.39769251330281402</v>
      </c>
      <c r="E38">
        <f t="shared" si="35"/>
        <v>0.97652041402801693</v>
      </c>
    </row>
    <row r="39" spans="1:9" x14ac:dyDescent="0.25">
      <c r="A39" t="str">
        <f t="shared" ref="A39:B39" si="38">A9</f>
        <v>Innovation-triple</v>
      </c>
      <c r="B39" t="str">
        <f t="shared" si="38"/>
        <v>500 Mt</v>
      </c>
      <c r="C39">
        <f t="shared" si="29"/>
        <v>0.93865673606761379</v>
      </c>
      <c r="D39">
        <f t="shared" si="30"/>
        <v>-0.52357713726908883</v>
      </c>
      <c r="E39">
        <f t="shared" si="35"/>
        <v>0.93865673606761379</v>
      </c>
    </row>
    <row r="40" spans="1:9" x14ac:dyDescent="0.25">
      <c r="A40" t="str">
        <f t="shared" ref="A40:B40" si="39">A10</f>
        <v>Low Baseline</v>
      </c>
      <c r="B40" t="str">
        <f t="shared" si="39"/>
        <v>500 Mt</v>
      </c>
      <c r="C40">
        <f t="shared" si="29"/>
        <v>1.5349199946093965</v>
      </c>
      <c r="D40">
        <f t="shared" si="30"/>
        <v>1.0818447048699995</v>
      </c>
      <c r="I40">
        <f>C40</f>
        <v>1.5349199946093965</v>
      </c>
    </row>
    <row r="41" spans="1:9" x14ac:dyDescent="0.25">
      <c r="A41" t="str">
        <f t="shared" ref="A41:B41" si="40">A11</f>
        <v>Procure3B</v>
      </c>
      <c r="B41" t="str">
        <f t="shared" si="40"/>
        <v>500 Mt</v>
      </c>
      <c r="C41">
        <f t="shared" si="29"/>
        <v>1.4931934230901602</v>
      </c>
      <c r="D41">
        <f t="shared" si="30"/>
        <v>0.36638009527595833</v>
      </c>
      <c r="G41">
        <f>C41</f>
        <v>1.4931934230901602</v>
      </c>
    </row>
    <row r="42" spans="1:9" x14ac:dyDescent="0.25">
      <c r="A42" t="str">
        <f t="shared" ref="A42:B42" si="41">A12</f>
        <v>ProcureRhodium</v>
      </c>
      <c r="B42" t="str">
        <f t="shared" si="41"/>
        <v>500 Mt</v>
      </c>
      <c r="C42">
        <f t="shared" si="29"/>
        <v>5.6634142557350327</v>
      </c>
      <c r="D42">
        <f t="shared" si="30"/>
        <v>1.1959723569841303</v>
      </c>
      <c r="G42">
        <f>C42</f>
        <v>5.6634142557350327</v>
      </c>
    </row>
    <row r="43" spans="1:9" x14ac:dyDescent="0.25">
      <c r="A43" t="str">
        <f t="shared" ref="A43:B43" si="42">A13</f>
        <v>ProcureScaling</v>
      </c>
      <c r="B43" t="str">
        <f t="shared" si="42"/>
        <v>500 Mt</v>
      </c>
      <c r="C43">
        <f t="shared" si="29"/>
        <v>1.176004777856402</v>
      </c>
      <c r="D43">
        <f t="shared" si="30"/>
        <v>0.36328086889841033</v>
      </c>
      <c r="G43">
        <f>C43</f>
        <v>1.176004777856402</v>
      </c>
    </row>
    <row r="44" spans="1:9" x14ac:dyDescent="0.25">
      <c r="A44" t="str">
        <f t="shared" ref="A44:B44" si="43">A14</f>
        <v>45Q-2040</v>
      </c>
      <c r="B44" t="str">
        <f t="shared" si="43"/>
        <v>1.5 Gt</v>
      </c>
      <c r="C44">
        <f t="shared" si="29"/>
        <v>2.2923311819484971</v>
      </c>
      <c r="D44">
        <f t="shared" si="30"/>
        <v>1.0676371229122197</v>
      </c>
      <c r="F44">
        <f>C44</f>
        <v>2.2923311819484971</v>
      </c>
    </row>
    <row r="45" spans="1:9" x14ac:dyDescent="0.25">
      <c r="A45" t="str">
        <f t="shared" ref="A45:B45" si="44">A15</f>
        <v>45Q-2050</v>
      </c>
      <c r="B45" t="str">
        <f t="shared" si="44"/>
        <v>1.5 Gt</v>
      </c>
      <c r="C45">
        <f t="shared" si="29"/>
        <v>2.3877980534629502</v>
      </c>
      <c r="D45">
        <f t="shared" si="30"/>
        <v>0.46865683829263816</v>
      </c>
      <c r="F45">
        <f>C45</f>
        <v>2.3877980534629502</v>
      </c>
    </row>
    <row r="46" spans="1:9" x14ac:dyDescent="0.25">
      <c r="A46" t="str">
        <f t="shared" ref="A46:B46" si="45">A16</f>
        <v>High Baseline</v>
      </c>
      <c r="B46" t="str">
        <f t="shared" si="45"/>
        <v>1.5 Gt</v>
      </c>
      <c r="C46">
        <f t="shared" si="29"/>
        <v>4.073413175736218</v>
      </c>
      <c r="D46">
        <f t="shared" si="30"/>
        <v>2.3727693973872075</v>
      </c>
      <c r="I46">
        <f>C46</f>
        <v>4.073413175736218</v>
      </c>
    </row>
    <row r="47" spans="1:9" x14ac:dyDescent="0.25">
      <c r="A47" t="str">
        <f t="shared" ref="A47:B47" si="46">A17</f>
        <v>Innovation-DACHubs</v>
      </c>
      <c r="B47" t="str">
        <f t="shared" si="46"/>
        <v>1.5 Gt</v>
      </c>
      <c r="C47">
        <f t="shared" si="29"/>
        <v>1.5168971205588402</v>
      </c>
      <c r="D47">
        <f t="shared" si="30"/>
        <v>-1.0959771479748042</v>
      </c>
      <c r="E47">
        <f>C47</f>
        <v>1.5168971205588402</v>
      </c>
    </row>
    <row r="48" spans="1:9" x14ac:dyDescent="0.25">
      <c r="A48" t="str">
        <f t="shared" ref="A48:B48" si="47">A18</f>
        <v>Innovation-maintain</v>
      </c>
      <c r="B48" t="str">
        <f t="shared" si="47"/>
        <v>1.5 Gt</v>
      </c>
      <c r="C48">
        <f t="shared" si="29"/>
        <v>2.4135908453433994</v>
      </c>
      <c r="D48">
        <f t="shared" si="30"/>
        <v>-0.67455579376899111</v>
      </c>
      <c r="E48">
        <f t="shared" ref="E48:E51" si="48">C48</f>
        <v>2.4135908453433994</v>
      </c>
    </row>
    <row r="49" spans="1:10" x14ac:dyDescent="0.25">
      <c r="A49" t="str">
        <f t="shared" ref="A49:B49" si="49">A19</f>
        <v>Innovation-rhodium18b</v>
      </c>
      <c r="B49" t="str">
        <f t="shared" si="49"/>
        <v>1.5 Gt</v>
      </c>
      <c r="C49">
        <f t="shared" si="29"/>
        <v>0.84946898979441365</v>
      </c>
      <c r="D49">
        <f t="shared" si="30"/>
        <v>-4.6305696962614666</v>
      </c>
      <c r="E49">
        <f t="shared" si="48"/>
        <v>0.84946898979441365</v>
      </c>
    </row>
    <row r="50" spans="1:10" x14ac:dyDescent="0.25">
      <c r="A50" t="str">
        <f t="shared" ref="A50:B50" si="50">A20</f>
        <v>Innovation-rhodium6b</v>
      </c>
      <c r="B50" t="str">
        <f t="shared" si="50"/>
        <v>1.5 Gt</v>
      </c>
      <c r="C50">
        <f t="shared" si="29"/>
        <v>2.1835418404233824</v>
      </c>
      <c r="D50">
        <f t="shared" si="30"/>
        <v>-1.319407624914968</v>
      </c>
      <c r="E50">
        <f t="shared" si="48"/>
        <v>2.1835418404233824</v>
      </c>
    </row>
    <row r="51" spans="1:10" x14ac:dyDescent="0.25">
      <c r="A51" t="str">
        <f t="shared" ref="A51:B51" si="51">A21</f>
        <v>Innovation-triple</v>
      </c>
      <c r="B51" t="str">
        <f t="shared" si="51"/>
        <v>1.5 Gt</v>
      </c>
      <c r="C51">
        <f t="shared" si="29"/>
        <v>1.950927275789899</v>
      </c>
      <c r="D51">
        <f t="shared" si="30"/>
        <v>-1.897612583824104</v>
      </c>
      <c r="E51">
        <f t="shared" si="48"/>
        <v>1.950927275789899</v>
      </c>
    </row>
    <row r="52" spans="1:10" x14ac:dyDescent="0.25">
      <c r="A52" t="str">
        <f t="shared" ref="A52:B52" si="52">A22</f>
        <v>Procure3B</v>
      </c>
      <c r="B52" t="str">
        <f t="shared" si="52"/>
        <v>1.5 Gt</v>
      </c>
      <c r="C52">
        <f t="shared" si="29"/>
        <v>3.5884223603825314</v>
      </c>
      <c r="D52">
        <f t="shared" si="30"/>
        <v>1.0363250084620061</v>
      </c>
      <c r="G52">
        <f>C52</f>
        <v>3.5884223603825314</v>
      </c>
    </row>
    <row r="53" spans="1:10" x14ac:dyDescent="0.25">
      <c r="A53" t="str">
        <f t="shared" ref="A53:B53" si="53">A23</f>
        <v>ProcureRhodium</v>
      </c>
      <c r="B53" t="str">
        <f t="shared" si="53"/>
        <v>1.5 Gt</v>
      </c>
      <c r="C53">
        <f t="shared" si="29"/>
        <v>7.3663055742243611</v>
      </c>
      <c r="D53">
        <f t="shared" si="30"/>
        <v>2.923407082508354</v>
      </c>
      <c r="G53">
        <f>C53</f>
        <v>7.3663055742243611</v>
      </c>
    </row>
    <row r="54" spans="1:10" x14ac:dyDescent="0.25">
      <c r="A54" t="str">
        <f t="shared" ref="A54:B54" si="54">A24</f>
        <v>ProcureScaling</v>
      </c>
      <c r="B54" t="str">
        <f t="shared" si="54"/>
        <v>1.5 Gt</v>
      </c>
      <c r="C54">
        <f t="shared" si="29"/>
        <v>3.341043929529071</v>
      </c>
      <c r="D54">
        <f t="shared" si="30"/>
        <v>0.91897387304034173</v>
      </c>
      <c r="G54">
        <f>C54</f>
        <v>3.341043929529071</v>
      </c>
    </row>
    <row r="55" spans="1:10" x14ac:dyDescent="0.25">
      <c r="A55" t="str">
        <f t="shared" ref="A55:B55" si="55">A25</f>
        <v>2.4 Gt Baseline</v>
      </c>
      <c r="B55" t="str">
        <f t="shared" si="55"/>
        <v>2.4 Gt</v>
      </c>
      <c r="C55">
        <f t="shared" si="29"/>
        <v>3.3410490344405526</v>
      </c>
      <c r="D55">
        <f t="shared" si="30"/>
        <v>-3.8617004313604051</v>
      </c>
      <c r="I55">
        <f>C55</f>
        <v>3.3410490344405526</v>
      </c>
    </row>
    <row r="56" spans="1:10" x14ac:dyDescent="0.25">
      <c r="A56" t="str">
        <f t="shared" ref="A56:B56" si="56">A26</f>
        <v>4.1 Gt Baseline</v>
      </c>
      <c r="B56" t="str">
        <f t="shared" si="56"/>
        <v>4.1 Gt</v>
      </c>
      <c r="C56">
        <f t="shared" si="29"/>
        <v>4.778714292207316</v>
      </c>
      <c r="D56">
        <f t="shared" si="30"/>
        <v>23.306697574041493</v>
      </c>
      <c r="I56">
        <f>C56</f>
        <v>4.778714292207316</v>
      </c>
    </row>
    <row r="57" spans="1:10" x14ac:dyDescent="0.25">
      <c r="A57" t="str">
        <f>A27</f>
        <v>CDRIA-Rhodium18b</v>
      </c>
      <c r="B57" t="str">
        <f>B27</f>
        <v>500 Mt</v>
      </c>
      <c r="C57">
        <f>D27</f>
        <v>-2.1509758877512724</v>
      </c>
      <c r="D57">
        <f>I27</f>
        <v>-1.4445409002888128</v>
      </c>
      <c r="H57">
        <f>C57</f>
        <v>-2.1509758877512724</v>
      </c>
    </row>
    <row r="58" spans="1:10" x14ac:dyDescent="0.25">
      <c r="A58" t="str">
        <f t="shared" ref="A58:B58" si="57">A28</f>
        <v>CDRIA-Rhodium18b</v>
      </c>
      <c r="B58" t="str">
        <f t="shared" si="57"/>
        <v>1.5 Gt</v>
      </c>
      <c r="C58">
        <f t="shared" si="29"/>
        <v>2.4526831516616943</v>
      </c>
      <c r="D58">
        <f t="shared" ref="D58" si="58">I28</f>
        <v>-4.7728156685049763</v>
      </c>
      <c r="H58">
        <f>C58</f>
        <v>2.4526831516616943</v>
      </c>
    </row>
    <row r="60" spans="1:10" x14ac:dyDescent="0.25">
      <c r="A60" s="7">
        <v>0.12</v>
      </c>
      <c r="B60" s="7" t="str">
        <f t="shared" ref="B60:D61" si="59">B31</f>
        <v>Baseline</v>
      </c>
      <c r="C60" s="7" t="str">
        <f>F1</f>
        <v>12% discount rate</v>
      </c>
      <c r="D60" s="7" t="str">
        <f t="shared" si="59"/>
        <v>As snapshot of CDR prices in 2050</v>
      </c>
      <c r="E60" t="s">
        <v>68</v>
      </c>
      <c r="F60" t="s">
        <v>69</v>
      </c>
      <c r="G60" t="s">
        <v>70</v>
      </c>
      <c r="H60" t="s">
        <v>71</v>
      </c>
      <c r="I60" t="s">
        <v>72</v>
      </c>
      <c r="J60" t="s">
        <v>73</v>
      </c>
    </row>
    <row r="61" spans="1:10" x14ac:dyDescent="0.25">
      <c r="A61" s="7" t="str">
        <f>A32</f>
        <v>100 Mt Baseline</v>
      </c>
      <c r="B61" s="7" t="str">
        <f t="shared" si="59"/>
        <v>100 Mt</v>
      </c>
      <c r="C61" s="8">
        <f t="shared" ref="C61:C86" si="60">F2</f>
        <v>0</v>
      </c>
      <c r="D61">
        <f t="shared" si="59"/>
        <v>0</v>
      </c>
      <c r="I61" s="8"/>
      <c r="J61">
        <v>0</v>
      </c>
    </row>
    <row r="62" spans="1:10" x14ac:dyDescent="0.25">
      <c r="A62" s="7" t="str">
        <f t="shared" ref="A62:D62" si="61">A33</f>
        <v>45Q-2040</v>
      </c>
      <c r="B62" s="7" t="str">
        <f t="shared" si="61"/>
        <v>500 Mt</v>
      </c>
      <c r="C62" s="8">
        <f t="shared" si="60"/>
        <v>0.98599472057171911</v>
      </c>
      <c r="D62">
        <f t="shared" si="61"/>
        <v>0.21249703186680166</v>
      </c>
      <c r="F62" s="8">
        <f>C62</f>
        <v>0.98599472057171911</v>
      </c>
    </row>
    <row r="63" spans="1:10" x14ac:dyDescent="0.25">
      <c r="A63" s="7" t="str">
        <f t="shared" ref="A63:D63" si="62">A34</f>
        <v>45Q-2050</v>
      </c>
      <c r="B63" s="7" t="str">
        <f t="shared" si="62"/>
        <v>500 Mt</v>
      </c>
      <c r="C63" s="8">
        <f t="shared" si="60"/>
        <v>0.44448412606722876</v>
      </c>
      <c r="D63">
        <f t="shared" si="62"/>
        <v>-1.3655573070193403</v>
      </c>
      <c r="F63" s="8">
        <f>C63</f>
        <v>0.44448412606722876</v>
      </c>
    </row>
    <row r="64" spans="1:10" x14ac:dyDescent="0.25">
      <c r="A64" s="7" t="str">
        <f t="shared" ref="A64:D64" si="63">A35</f>
        <v>Innovation-DACHubs</v>
      </c>
      <c r="B64" s="7" t="str">
        <f t="shared" si="63"/>
        <v>500 Mt</v>
      </c>
      <c r="C64" s="8">
        <f t="shared" si="60"/>
        <v>0.64724767761331869</v>
      </c>
      <c r="D64">
        <f t="shared" si="63"/>
        <v>-0.46376197004718345</v>
      </c>
      <c r="E64" s="8">
        <f>C64</f>
        <v>0.64724767761331869</v>
      </c>
    </row>
    <row r="65" spans="1:9" x14ac:dyDescent="0.25">
      <c r="A65" s="7" t="str">
        <f t="shared" ref="A65:D65" si="64">A36</f>
        <v>Innovation-maintain</v>
      </c>
      <c r="B65" s="7" t="str">
        <f t="shared" si="64"/>
        <v>500 Mt</v>
      </c>
      <c r="C65" s="8">
        <f t="shared" si="60"/>
        <v>1.3577275897072081</v>
      </c>
      <c r="D65">
        <f t="shared" si="64"/>
        <v>-0.15840906711694819</v>
      </c>
      <c r="E65" s="8">
        <f>C65</f>
        <v>1.3577275897072081</v>
      </c>
    </row>
    <row r="66" spans="1:9" x14ac:dyDescent="0.25">
      <c r="A66" s="7" t="str">
        <f t="shared" ref="A66:D66" si="65">A37</f>
        <v>Innovation-rhodium18b</v>
      </c>
      <c r="B66" s="7" t="str">
        <f t="shared" si="65"/>
        <v>500 Mt</v>
      </c>
      <c r="C66" s="8">
        <f t="shared" si="60"/>
        <v>2.3153381298881297</v>
      </c>
      <c r="D66">
        <f t="shared" si="65"/>
        <v>-1.4997785764247658</v>
      </c>
      <c r="E66" s="8">
        <f>C66</f>
        <v>2.3153381298881297</v>
      </c>
    </row>
    <row r="67" spans="1:9" x14ac:dyDescent="0.25">
      <c r="A67" s="7" t="str">
        <f t="shared" ref="A67:D67" si="66">A38</f>
        <v>Innovation-rhodium6b</v>
      </c>
      <c r="B67" s="7" t="str">
        <f t="shared" si="66"/>
        <v>500 Mt</v>
      </c>
      <c r="C67" s="8">
        <f t="shared" si="60"/>
        <v>1.6348546043849213</v>
      </c>
      <c r="D67">
        <f t="shared" si="66"/>
        <v>-0.39769251330281402</v>
      </c>
      <c r="E67" s="8">
        <f>C67</f>
        <v>1.6348546043849213</v>
      </c>
    </row>
    <row r="68" spans="1:9" x14ac:dyDescent="0.25">
      <c r="A68" s="7" t="str">
        <f t="shared" ref="A68:D68" si="67">A39</f>
        <v>Innovation-triple</v>
      </c>
      <c r="B68" s="7" t="str">
        <f t="shared" si="67"/>
        <v>500 Mt</v>
      </c>
      <c r="C68" s="8">
        <f t="shared" si="60"/>
        <v>1.6529080927729902</v>
      </c>
      <c r="D68">
        <f t="shared" si="67"/>
        <v>-0.52357713726908883</v>
      </c>
      <c r="E68" s="8">
        <f>C68</f>
        <v>1.6529080927729902</v>
      </c>
    </row>
    <row r="69" spans="1:9" x14ac:dyDescent="0.25">
      <c r="A69" s="7" t="str">
        <f t="shared" ref="A69:D69" si="68">A40</f>
        <v>Low Baseline</v>
      </c>
      <c r="B69" s="7" t="str">
        <f t="shared" si="68"/>
        <v>500 Mt</v>
      </c>
      <c r="C69" s="8">
        <f t="shared" si="60"/>
        <v>1.5453796931733457</v>
      </c>
      <c r="D69">
        <f t="shared" si="68"/>
        <v>1.0818447048699995</v>
      </c>
      <c r="I69" s="8">
        <f>C69</f>
        <v>1.5453796931733457</v>
      </c>
    </row>
    <row r="70" spans="1:9" x14ac:dyDescent="0.25">
      <c r="A70" s="7" t="str">
        <f t="shared" ref="A70:D70" si="69">A41</f>
        <v>Procure3B</v>
      </c>
      <c r="B70" s="7" t="str">
        <f t="shared" si="69"/>
        <v>500 Mt</v>
      </c>
      <c r="C70" s="8">
        <f t="shared" si="60"/>
        <v>2.5994756304123183</v>
      </c>
      <c r="D70">
        <f t="shared" si="69"/>
        <v>0.36638009527595833</v>
      </c>
      <c r="G70" s="8">
        <f>C70</f>
        <v>2.5994756304123183</v>
      </c>
    </row>
    <row r="71" spans="1:9" x14ac:dyDescent="0.25">
      <c r="A71" s="7" t="str">
        <f t="shared" ref="A71:D71" si="70">A42</f>
        <v>ProcureRhodium</v>
      </c>
      <c r="B71" s="7" t="str">
        <f t="shared" si="70"/>
        <v>500 Mt</v>
      </c>
      <c r="C71" s="8">
        <f t="shared" si="60"/>
        <v>8.3515011746760219</v>
      </c>
      <c r="D71">
        <f t="shared" si="70"/>
        <v>1.1959723569841303</v>
      </c>
      <c r="G71" s="8">
        <f>C71</f>
        <v>8.3515011746760219</v>
      </c>
    </row>
    <row r="72" spans="1:9" x14ac:dyDescent="0.25">
      <c r="A72" s="7" t="str">
        <f t="shared" ref="A72:D72" si="71">A43</f>
        <v>ProcureScaling</v>
      </c>
      <c r="B72" s="7" t="str">
        <f t="shared" si="71"/>
        <v>500 Mt</v>
      </c>
      <c r="C72" s="8">
        <f t="shared" si="60"/>
        <v>1.5468320344764317</v>
      </c>
      <c r="D72">
        <f t="shared" si="71"/>
        <v>0.36328086889841033</v>
      </c>
      <c r="G72" s="8">
        <f>C72</f>
        <v>1.5468320344764317</v>
      </c>
    </row>
    <row r="73" spans="1:9" x14ac:dyDescent="0.25">
      <c r="A73" s="7" t="str">
        <f t="shared" ref="A73:D73" si="72">A44</f>
        <v>45Q-2040</v>
      </c>
      <c r="B73" s="7" t="str">
        <f t="shared" si="72"/>
        <v>1.5 Gt</v>
      </c>
      <c r="C73" s="8">
        <f t="shared" si="60"/>
        <v>2.5637816421080228</v>
      </c>
      <c r="D73">
        <f t="shared" si="72"/>
        <v>1.0676371229122197</v>
      </c>
      <c r="F73" s="8">
        <f>C73</f>
        <v>2.5637816421080228</v>
      </c>
    </row>
    <row r="74" spans="1:9" x14ac:dyDescent="0.25">
      <c r="A74" s="7" t="str">
        <f t="shared" ref="A74:D74" si="73">A45</f>
        <v>45Q-2050</v>
      </c>
      <c r="B74" s="7" t="str">
        <f t="shared" si="73"/>
        <v>1.5 Gt</v>
      </c>
      <c r="C74" s="8">
        <f t="shared" si="60"/>
        <v>2.8356658504593448</v>
      </c>
      <c r="D74">
        <f t="shared" si="73"/>
        <v>0.46865683829263816</v>
      </c>
      <c r="F74" s="8">
        <f>C74</f>
        <v>2.8356658504593448</v>
      </c>
    </row>
    <row r="75" spans="1:9" x14ac:dyDescent="0.25">
      <c r="A75" s="7" t="str">
        <f t="shared" ref="A75:D75" si="74">A46</f>
        <v>High Baseline</v>
      </c>
      <c r="B75" s="7" t="str">
        <f t="shared" si="74"/>
        <v>1.5 Gt</v>
      </c>
      <c r="C75" s="8">
        <f t="shared" si="60"/>
        <v>4.0706852143436585</v>
      </c>
      <c r="D75">
        <f t="shared" si="74"/>
        <v>2.3727693973872075</v>
      </c>
      <c r="I75" s="8">
        <f>C75</f>
        <v>4.0706852143436585</v>
      </c>
    </row>
    <row r="76" spans="1:9" x14ac:dyDescent="0.25">
      <c r="A76" s="7" t="str">
        <f t="shared" ref="A76:D76" si="75">A47</f>
        <v>Innovation-DACHubs</v>
      </c>
      <c r="B76" s="7" t="str">
        <f t="shared" si="75"/>
        <v>1.5 Gt</v>
      </c>
      <c r="C76" s="8">
        <f t="shared" si="60"/>
        <v>2.1220956593986737</v>
      </c>
      <c r="D76">
        <f t="shared" si="75"/>
        <v>-1.0959771479748042</v>
      </c>
      <c r="E76" s="8">
        <f>C76</f>
        <v>2.1220956593986737</v>
      </c>
    </row>
    <row r="77" spans="1:9" x14ac:dyDescent="0.25">
      <c r="A77" s="7" t="str">
        <f t="shared" ref="A77:D77" si="76">A48</f>
        <v>Innovation-maintain</v>
      </c>
      <c r="B77" s="7" t="str">
        <f t="shared" si="76"/>
        <v>1.5 Gt</v>
      </c>
      <c r="C77" s="8">
        <f t="shared" si="60"/>
        <v>3.0824499174664326</v>
      </c>
      <c r="D77">
        <f t="shared" si="76"/>
        <v>-0.67455579376899111</v>
      </c>
      <c r="E77" s="8">
        <f>C77</f>
        <v>3.0824499174664326</v>
      </c>
    </row>
    <row r="78" spans="1:9" x14ac:dyDescent="0.25">
      <c r="A78" s="7" t="str">
        <f t="shared" ref="A78:D78" si="77">A49</f>
        <v>Innovation-rhodium18b</v>
      </c>
      <c r="B78" s="7" t="str">
        <f t="shared" si="77"/>
        <v>1.5 Gt</v>
      </c>
      <c r="C78" s="8">
        <f t="shared" si="60"/>
        <v>2.9048414488544982</v>
      </c>
      <c r="D78">
        <f t="shared" si="77"/>
        <v>-4.6305696962614666</v>
      </c>
      <c r="E78" s="8">
        <f>C78</f>
        <v>2.9048414488544982</v>
      </c>
    </row>
    <row r="79" spans="1:9" x14ac:dyDescent="0.25">
      <c r="A79" s="7" t="str">
        <f t="shared" ref="A79:D79" si="78">A50</f>
        <v>Innovation-rhodium6b</v>
      </c>
      <c r="B79" s="7" t="str">
        <f t="shared" si="78"/>
        <v>1.5 Gt</v>
      </c>
      <c r="C79" s="8">
        <f t="shared" si="60"/>
        <v>3.1400272434202559</v>
      </c>
      <c r="D79">
        <f t="shared" si="78"/>
        <v>-1.319407624914968</v>
      </c>
      <c r="E79" s="8">
        <f>C79</f>
        <v>3.1400272434202559</v>
      </c>
    </row>
    <row r="80" spans="1:9" x14ac:dyDescent="0.25">
      <c r="A80" s="7" t="str">
        <f t="shared" ref="A80:D80" si="79">A51</f>
        <v>Innovation-triple</v>
      </c>
      <c r="B80" s="7" t="str">
        <f t="shared" si="79"/>
        <v>1.5 Gt</v>
      </c>
      <c r="C80" s="8">
        <f t="shared" si="60"/>
        <v>3.0444641251640361</v>
      </c>
      <c r="D80">
        <f t="shared" si="79"/>
        <v>-1.897612583824104</v>
      </c>
      <c r="E80" s="8">
        <f>C80</f>
        <v>3.0444641251640361</v>
      </c>
    </row>
    <row r="81" spans="1:10" x14ac:dyDescent="0.25">
      <c r="A81" s="7" t="str">
        <f t="shared" ref="A81:D81" si="80">A52</f>
        <v>Procure3B</v>
      </c>
      <c r="B81" s="7" t="str">
        <f t="shared" si="80"/>
        <v>1.5 Gt</v>
      </c>
      <c r="C81" s="8">
        <f t="shared" si="60"/>
        <v>4.7171586472895424</v>
      </c>
      <c r="D81">
        <f t="shared" si="80"/>
        <v>1.0363250084620061</v>
      </c>
      <c r="G81" s="8">
        <f>C81</f>
        <v>4.7171586472895424</v>
      </c>
    </row>
    <row r="82" spans="1:10" x14ac:dyDescent="0.25">
      <c r="A82" s="7" t="str">
        <f t="shared" ref="A82:D82" si="81">A53</f>
        <v>ProcureRhodium</v>
      </c>
      <c r="B82" s="7" t="str">
        <f t="shared" si="81"/>
        <v>1.5 Gt</v>
      </c>
      <c r="C82" s="8">
        <f t="shared" si="60"/>
        <v>10.029059099755278</v>
      </c>
      <c r="D82">
        <f t="shared" si="81"/>
        <v>2.923407082508354</v>
      </c>
      <c r="G82" s="8">
        <f>C82</f>
        <v>10.029059099755278</v>
      </c>
    </row>
    <row r="83" spans="1:10" x14ac:dyDescent="0.25">
      <c r="A83" s="7" t="str">
        <f t="shared" ref="A83:D83" si="82">A54</f>
        <v>ProcureScaling</v>
      </c>
      <c r="B83" s="7" t="str">
        <f t="shared" si="82"/>
        <v>1.5 Gt</v>
      </c>
      <c r="C83" s="8">
        <f t="shared" si="60"/>
        <v>3.8789631751289115</v>
      </c>
      <c r="D83">
        <f t="shared" si="82"/>
        <v>0.91897387304034173</v>
      </c>
      <c r="G83" s="8">
        <f>C83</f>
        <v>3.8789631751289115</v>
      </c>
    </row>
    <row r="84" spans="1:10" x14ac:dyDescent="0.25">
      <c r="A84" s="7" t="str">
        <f t="shared" ref="A84:D84" si="83">A55</f>
        <v>2.4 Gt Baseline</v>
      </c>
      <c r="B84" s="7" t="str">
        <f t="shared" si="83"/>
        <v>2.4 Gt</v>
      </c>
      <c r="C84" s="8">
        <f t="shared" si="60"/>
        <v>4.3174474451754374</v>
      </c>
      <c r="D84">
        <f t="shared" si="83"/>
        <v>-3.8617004313604051</v>
      </c>
      <c r="I84" s="8">
        <f>C84</f>
        <v>4.3174474451754374</v>
      </c>
    </row>
    <row r="85" spans="1:10" x14ac:dyDescent="0.25">
      <c r="A85" s="7" t="str">
        <f t="shared" ref="A85:D85" si="84">A56</f>
        <v>4.1 Gt Baseline</v>
      </c>
      <c r="B85" s="7" t="str">
        <f t="shared" si="84"/>
        <v>4.1 Gt</v>
      </c>
      <c r="C85" s="8">
        <f t="shared" si="60"/>
        <v>5.0029688506972843</v>
      </c>
      <c r="D85">
        <f t="shared" si="84"/>
        <v>23.306697574041493</v>
      </c>
      <c r="I85" s="8">
        <f>C85</f>
        <v>5.0029688506972843</v>
      </c>
    </row>
    <row r="86" spans="1:10" x14ac:dyDescent="0.25">
      <c r="A86" s="7" t="str">
        <f t="shared" ref="A86:D87" si="85">A57</f>
        <v>CDRIA-Rhodium18b</v>
      </c>
      <c r="B86" s="7" t="str">
        <f t="shared" si="85"/>
        <v>500 Mt</v>
      </c>
      <c r="C86" s="8">
        <f t="shared" si="60"/>
        <v>-3.4159600524698353</v>
      </c>
      <c r="D86">
        <f t="shared" si="85"/>
        <v>-1.4445409002888128</v>
      </c>
      <c r="H86" s="8">
        <f>C86</f>
        <v>-3.4159600524698353</v>
      </c>
    </row>
    <row r="87" spans="1:10" x14ac:dyDescent="0.25">
      <c r="A87" s="7" t="str">
        <f t="shared" si="85"/>
        <v>CDRIA-Rhodium18b</v>
      </c>
      <c r="B87" s="7" t="str">
        <f t="shared" si="85"/>
        <v>1.5 Gt</v>
      </c>
      <c r="C87" s="8">
        <f t="shared" ref="C87" si="86">F28</f>
        <v>6.0516224069731308</v>
      </c>
      <c r="D87">
        <f t="shared" si="85"/>
        <v>-4.7728156685049763</v>
      </c>
      <c r="H87" s="8">
        <f>C87</f>
        <v>6.0516224069731308</v>
      </c>
    </row>
    <row r="89" spans="1:10" x14ac:dyDescent="0.25">
      <c r="A89" s="7">
        <v>0.2</v>
      </c>
      <c r="B89" t="str">
        <f>B1</f>
        <v>Baseline</v>
      </c>
      <c r="C89" t="str">
        <f>H1</f>
        <v>20% discount rate</v>
      </c>
      <c r="D89" s="7" t="str">
        <f t="shared" ref="D89" si="87">D60</f>
        <v>As snapshot of CDR prices in 2050</v>
      </c>
      <c r="E89" t="s">
        <v>68</v>
      </c>
      <c r="F89" t="s">
        <v>69</v>
      </c>
      <c r="G89" t="s">
        <v>70</v>
      </c>
      <c r="H89" t="s">
        <v>71</v>
      </c>
      <c r="I89" t="s">
        <v>72</v>
      </c>
      <c r="J89" t="s">
        <v>73</v>
      </c>
    </row>
    <row r="90" spans="1:10" x14ac:dyDescent="0.25">
      <c r="A90" s="7" t="str">
        <f>A61</f>
        <v>100 Mt Baseline</v>
      </c>
      <c r="B90" s="7" t="str">
        <f>B61</f>
        <v>100 Mt</v>
      </c>
      <c r="C90">
        <f>H2</f>
        <v>0</v>
      </c>
      <c r="D90" s="8">
        <f>D61</f>
        <v>0</v>
      </c>
      <c r="I90" s="8"/>
      <c r="J90">
        <v>0</v>
      </c>
    </row>
    <row r="91" spans="1:10" x14ac:dyDescent="0.25">
      <c r="A91" s="7" t="str">
        <f t="shared" ref="A91:B91" si="88">A62</f>
        <v>45Q-2040</v>
      </c>
      <c r="B91" s="7" t="str">
        <f t="shared" si="88"/>
        <v>500 Mt</v>
      </c>
      <c r="C91">
        <f t="shared" ref="C91:C116" si="89">H3</f>
        <v>1.3438885594409384</v>
      </c>
      <c r="D91" s="8">
        <f t="shared" ref="D91:D116" si="90">D62</f>
        <v>0.21249703186680166</v>
      </c>
      <c r="F91" s="8">
        <f>C91</f>
        <v>1.3438885594409384</v>
      </c>
    </row>
    <row r="92" spans="1:10" x14ac:dyDescent="0.25">
      <c r="A92" s="7" t="str">
        <f t="shared" ref="A92:B92" si="91">A63</f>
        <v>45Q-2050</v>
      </c>
      <c r="B92" s="7" t="str">
        <f t="shared" si="91"/>
        <v>500 Mt</v>
      </c>
      <c r="C92">
        <f t="shared" si="89"/>
        <v>0.84723170018844907</v>
      </c>
      <c r="D92" s="8">
        <f t="shared" si="90"/>
        <v>-1.3655573070193403</v>
      </c>
      <c r="F92" s="8">
        <f>C92</f>
        <v>0.84723170018844907</v>
      </c>
    </row>
    <row r="93" spans="1:10" x14ac:dyDescent="0.25">
      <c r="A93" s="7" t="str">
        <f t="shared" ref="A93:B93" si="92">A64</f>
        <v>Innovation-DACHubs</v>
      </c>
      <c r="B93" s="7" t="str">
        <f t="shared" si="92"/>
        <v>500 Mt</v>
      </c>
      <c r="C93">
        <f t="shared" si="89"/>
        <v>1.0932573496051559</v>
      </c>
      <c r="D93" s="8">
        <f t="shared" si="90"/>
        <v>-0.46376197004718345</v>
      </c>
      <c r="E93" s="8">
        <f>C93</f>
        <v>1.0932573496051559</v>
      </c>
    </row>
    <row r="94" spans="1:10" x14ac:dyDescent="0.25">
      <c r="A94" s="7" t="str">
        <f t="shared" ref="A94:B94" si="93">A65</f>
        <v>Innovation-maintain</v>
      </c>
      <c r="B94" s="7" t="str">
        <f t="shared" si="93"/>
        <v>500 Mt</v>
      </c>
      <c r="C94">
        <f t="shared" si="89"/>
        <v>1.6946076320487724</v>
      </c>
      <c r="D94" s="8">
        <f t="shared" si="90"/>
        <v>-0.15840906711694819</v>
      </c>
      <c r="E94" s="8">
        <f>C94</f>
        <v>1.6946076320487724</v>
      </c>
    </row>
    <row r="95" spans="1:10" x14ac:dyDescent="0.25">
      <c r="A95" s="7" t="str">
        <f t="shared" ref="A95:B95" si="94">A66</f>
        <v>Innovation-rhodium18b</v>
      </c>
      <c r="B95" s="7" t="str">
        <f t="shared" si="94"/>
        <v>500 Mt</v>
      </c>
      <c r="C95">
        <f t="shared" si="89"/>
        <v>3.2502144071938046</v>
      </c>
      <c r="D95" s="8">
        <f t="shared" si="90"/>
        <v>-1.4997785764247658</v>
      </c>
      <c r="E95" s="8">
        <f>C95</f>
        <v>3.2502144071938046</v>
      </c>
    </row>
    <row r="96" spans="1:10" x14ac:dyDescent="0.25">
      <c r="A96" s="7" t="str">
        <f t="shared" ref="A96:B96" si="95">A67</f>
        <v>Innovation-rhodium6b</v>
      </c>
      <c r="B96" s="7" t="str">
        <f t="shared" si="95"/>
        <v>500 Mt</v>
      </c>
      <c r="C96">
        <f t="shared" si="89"/>
        <v>2.1049050122513044</v>
      </c>
      <c r="D96" s="8">
        <f t="shared" si="90"/>
        <v>-0.39769251330281402</v>
      </c>
      <c r="E96" s="8">
        <f>C96</f>
        <v>2.1049050122513044</v>
      </c>
    </row>
    <row r="97" spans="1:9" x14ac:dyDescent="0.25">
      <c r="A97" s="7" t="str">
        <f t="shared" ref="A97:B97" si="96">A68</f>
        <v>Innovation-triple</v>
      </c>
      <c r="B97" s="7" t="str">
        <f t="shared" si="96"/>
        <v>500 Mt</v>
      </c>
      <c r="C97">
        <f t="shared" si="89"/>
        <v>2.2091624983315339</v>
      </c>
      <c r="D97" s="8">
        <f t="shared" si="90"/>
        <v>-0.52357713726908883</v>
      </c>
      <c r="E97" s="8">
        <f>C97</f>
        <v>2.2091624983315339</v>
      </c>
    </row>
    <row r="98" spans="1:9" x14ac:dyDescent="0.25">
      <c r="A98" s="7" t="str">
        <f t="shared" ref="A98:B98" si="97">A69</f>
        <v>Low Baseline</v>
      </c>
      <c r="B98" s="7" t="str">
        <f t="shared" si="97"/>
        <v>500 Mt</v>
      </c>
      <c r="C98">
        <f t="shared" si="89"/>
        <v>1.5827998282841693</v>
      </c>
      <c r="D98" s="8">
        <f t="shared" si="90"/>
        <v>1.0818447048699995</v>
      </c>
      <c r="I98" s="8">
        <f>C98</f>
        <v>1.5827998282841693</v>
      </c>
    </row>
    <row r="99" spans="1:9" x14ac:dyDescent="0.25">
      <c r="A99" s="7" t="str">
        <f t="shared" ref="A99:B99" si="98">A70</f>
        <v>Procure3B</v>
      </c>
      <c r="B99" s="7" t="str">
        <f t="shared" si="98"/>
        <v>500 Mt</v>
      </c>
      <c r="C99">
        <f t="shared" si="89"/>
        <v>4.0670809313292864</v>
      </c>
      <c r="D99" s="8">
        <f t="shared" si="90"/>
        <v>0.36638009527595833</v>
      </c>
      <c r="G99" s="8">
        <f>C99</f>
        <v>4.0670809313292864</v>
      </c>
    </row>
    <row r="100" spans="1:9" x14ac:dyDescent="0.25">
      <c r="A100" s="7" t="str">
        <f t="shared" ref="A100:B100" si="99">A71</f>
        <v>ProcureRhodium</v>
      </c>
      <c r="B100" s="7" t="str">
        <f t="shared" si="99"/>
        <v>500 Mt</v>
      </c>
      <c r="C100">
        <f t="shared" si="89"/>
        <v>10.956263412283258</v>
      </c>
      <c r="D100" s="8">
        <f t="shared" si="90"/>
        <v>1.1959723569841303</v>
      </c>
      <c r="G100" s="8">
        <f>C100</f>
        <v>10.956263412283258</v>
      </c>
    </row>
    <row r="101" spans="1:9" x14ac:dyDescent="0.25">
      <c r="A101" s="7" t="str">
        <f t="shared" ref="A101:B101" si="100">A72</f>
        <v>ProcureScaling</v>
      </c>
      <c r="B101" s="7" t="str">
        <f t="shared" si="100"/>
        <v>500 Mt</v>
      </c>
      <c r="C101">
        <f t="shared" si="89"/>
        <v>1.9108299722709272</v>
      </c>
      <c r="D101" s="8">
        <f t="shared" si="90"/>
        <v>0.36328086889841033</v>
      </c>
      <c r="G101" s="8">
        <f>C101</f>
        <v>1.9108299722709272</v>
      </c>
    </row>
    <row r="102" spans="1:9" x14ac:dyDescent="0.25">
      <c r="A102" s="7" t="str">
        <f t="shared" ref="A102:B102" si="101">A73</f>
        <v>45Q-2040</v>
      </c>
      <c r="B102" s="7" t="str">
        <f t="shared" si="101"/>
        <v>1.5 Gt</v>
      </c>
      <c r="C102">
        <f t="shared" si="89"/>
        <v>2.9242921759498324</v>
      </c>
      <c r="D102" s="8">
        <f t="shared" si="90"/>
        <v>1.0676371229122197</v>
      </c>
      <c r="F102" s="8">
        <f>C102</f>
        <v>2.9242921759498324</v>
      </c>
    </row>
    <row r="103" spans="1:9" x14ac:dyDescent="0.25">
      <c r="A103" s="7" t="str">
        <f t="shared" ref="A103:B103" si="102">A74</f>
        <v>45Q-2050</v>
      </c>
      <c r="B103" s="7" t="str">
        <f t="shared" si="102"/>
        <v>1.5 Gt</v>
      </c>
      <c r="C103">
        <f t="shared" si="89"/>
        <v>3.2080184026842988</v>
      </c>
      <c r="D103" s="8">
        <f t="shared" si="90"/>
        <v>0.46865683829263816</v>
      </c>
      <c r="F103" s="8">
        <f>C103</f>
        <v>3.2080184026842988</v>
      </c>
    </row>
    <row r="104" spans="1:9" x14ac:dyDescent="0.25">
      <c r="A104" s="7" t="str">
        <f t="shared" ref="A104:B104" si="103">A75</f>
        <v>High Baseline</v>
      </c>
      <c r="B104" s="7" t="str">
        <f t="shared" si="103"/>
        <v>1.5 Gt</v>
      </c>
      <c r="C104">
        <f t="shared" si="89"/>
        <v>4.0371470003985861</v>
      </c>
      <c r="D104" s="8">
        <f t="shared" si="90"/>
        <v>2.3727693973872075</v>
      </c>
      <c r="I104" s="8">
        <f>C104</f>
        <v>4.0371470003985861</v>
      </c>
    </row>
    <row r="105" spans="1:9" x14ac:dyDescent="0.25">
      <c r="A105" s="7" t="str">
        <f t="shared" ref="A105:B105" si="104">A76</f>
        <v>Innovation-DACHubs</v>
      </c>
      <c r="B105" s="7" t="str">
        <f t="shared" si="104"/>
        <v>1.5 Gt</v>
      </c>
      <c r="C105">
        <f t="shared" si="89"/>
        <v>2.693095733872942</v>
      </c>
      <c r="D105" s="8">
        <f t="shared" si="90"/>
        <v>-1.0959771479748042</v>
      </c>
      <c r="E105" s="8">
        <f>C105</f>
        <v>2.693095733872942</v>
      </c>
    </row>
    <row r="106" spans="1:9" x14ac:dyDescent="0.25">
      <c r="A106" s="7" t="str">
        <f t="shared" ref="A106:B106" si="105">A77</f>
        <v>Innovation-maintain</v>
      </c>
      <c r="B106" s="7" t="str">
        <f t="shared" si="105"/>
        <v>1.5 Gt</v>
      </c>
      <c r="C106">
        <f t="shared" si="89"/>
        <v>3.5163830940418412</v>
      </c>
      <c r="D106" s="8">
        <f t="shared" si="90"/>
        <v>-0.67455579376899111</v>
      </c>
      <c r="E106" s="8">
        <f>C106</f>
        <v>3.5163830940418412</v>
      </c>
    </row>
    <row r="107" spans="1:9" x14ac:dyDescent="0.25">
      <c r="A107" s="7" t="str">
        <f t="shared" ref="A107:B107" si="106">A78</f>
        <v>Innovation-rhodium18b</v>
      </c>
      <c r="B107" s="7" t="str">
        <f t="shared" si="106"/>
        <v>1.5 Gt</v>
      </c>
      <c r="C107">
        <f t="shared" si="89"/>
        <v>4.2476127361252409</v>
      </c>
      <c r="D107" s="8">
        <f t="shared" si="90"/>
        <v>-4.6305696962614666</v>
      </c>
      <c r="E107" s="8">
        <f>C107</f>
        <v>4.2476127361252409</v>
      </c>
    </row>
    <row r="108" spans="1:9" x14ac:dyDescent="0.25">
      <c r="A108" s="7" t="str">
        <f t="shared" ref="A108:B108" si="107">A79</f>
        <v>Innovation-rhodium6b</v>
      </c>
      <c r="B108" s="7" t="str">
        <f t="shared" si="107"/>
        <v>1.5 Gt</v>
      </c>
      <c r="C108">
        <f t="shared" si="89"/>
        <v>3.7562358691096911</v>
      </c>
      <c r="D108" s="8">
        <f t="shared" si="90"/>
        <v>-1.319407624914968</v>
      </c>
      <c r="E108" s="8">
        <f>C108</f>
        <v>3.7562358691096911</v>
      </c>
    </row>
    <row r="109" spans="1:9" x14ac:dyDescent="0.25">
      <c r="A109" s="7" t="str">
        <f t="shared" ref="A109:B109" si="108">A80</f>
        <v>Innovation-triple</v>
      </c>
      <c r="B109" s="7" t="str">
        <f t="shared" si="108"/>
        <v>1.5 Gt</v>
      </c>
      <c r="C109">
        <f t="shared" si="89"/>
        <v>3.7941739897941655</v>
      </c>
      <c r="D109" s="8">
        <f t="shared" si="90"/>
        <v>-1.897612583824104</v>
      </c>
      <c r="E109" s="8">
        <f>C109</f>
        <v>3.7941739897941655</v>
      </c>
    </row>
    <row r="110" spans="1:9" x14ac:dyDescent="0.25">
      <c r="A110" s="7" t="str">
        <f t="shared" ref="A110:B110" si="109">A81</f>
        <v>Procure3B</v>
      </c>
      <c r="B110" s="7" t="str">
        <f t="shared" si="109"/>
        <v>1.5 Gt</v>
      </c>
      <c r="C110">
        <f t="shared" si="89"/>
        <v>6.1482838611335504</v>
      </c>
      <c r="D110" s="8">
        <f t="shared" si="90"/>
        <v>1.0363250084620061</v>
      </c>
      <c r="G110" s="8">
        <f>C110</f>
        <v>6.1482838611335504</v>
      </c>
    </row>
    <row r="111" spans="1:9" x14ac:dyDescent="0.25">
      <c r="A111" s="7" t="str">
        <f t="shared" ref="A111:B111" si="110">A82</f>
        <v>ProcureRhodium</v>
      </c>
      <c r="B111" s="7" t="str">
        <f t="shared" si="110"/>
        <v>1.5 Gt</v>
      </c>
      <c r="C111">
        <f t="shared" si="89"/>
        <v>12.663601837356222</v>
      </c>
      <c r="D111" s="8">
        <f t="shared" si="90"/>
        <v>2.923407082508354</v>
      </c>
      <c r="G111" s="8">
        <f>C111</f>
        <v>12.663601837356222</v>
      </c>
    </row>
    <row r="112" spans="1:9" x14ac:dyDescent="0.25">
      <c r="A112" s="7" t="str">
        <f t="shared" ref="A112:B112" si="111">A83</f>
        <v>ProcureScaling</v>
      </c>
      <c r="B112" s="7" t="str">
        <f t="shared" si="111"/>
        <v>1.5 Gt</v>
      </c>
      <c r="C112">
        <f t="shared" si="89"/>
        <v>4.293953690244436</v>
      </c>
      <c r="D112" s="8">
        <f t="shared" si="90"/>
        <v>0.91897387304034173</v>
      </c>
      <c r="G112" s="8">
        <f>C112</f>
        <v>4.293953690244436</v>
      </c>
    </row>
    <row r="113" spans="1:9" x14ac:dyDescent="0.25">
      <c r="A113" s="7" t="str">
        <f t="shared" ref="A113:B113" si="112">A84</f>
        <v>2.4 Gt Baseline</v>
      </c>
      <c r="B113" s="7" t="str">
        <f t="shared" si="112"/>
        <v>2.4 Gt</v>
      </c>
      <c r="C113">
        <f t="shared" si="89"/>
        <v>4.7441533574965318</v>
      </c>
      <c r="D113" s="8">
        <f t="shared" si="90"/>
        <v>-3.8617004313604051</v>
      </c>
      <c r="I113" s="8">
        <f>C113</f>
        <v>4.7441533574965318</v>
      </c>
    </row>
    <row r="114" spans="1:9" x14ac:dyDescent="0.25">
      <c r="A114" s="7" t="str">
        <f t="shared" ref="A114:B114" si="113">A85</f>
        <v>4.1 Gt Baseline</v>
      </c>
      <c r="B114" s="7" t="str">
        <f t="shared" si="113"/>
        <v>4.1 Gt</v>
      </c>
      <c r="C114">
        <f t="shared" si="89"/>
        <v>5.4960134486937662</v>
      </c>
      <c r="D114" s="8">
        <f t="shared" si="90"/>
        <v>23.306697574041493</v>
      </c>
      <c r="I114" s="8">
        <f>C114</f>
        <v>5.4960134486937662</v>
      </c>
    </row>
    <row r="115" spans="1:9" x14ac:dyDescent="0.25">
      <c r="A115" s="7" t="str">
        <f t="shared" ref="A115:B115" si="114">A86</f>
        <v>CDRIA-Rhodium18b</v>
      </c>
      <c r="B115" s="7" t="str">
        <f t="shared" si="114"/>
        <v>500 Mt</v>
      </c>
      <c r="C115">
        <f t="shared" si="89"/>
        <v>-4.1388574181998177</v>
      </c>
      <c r="D115" s="8">
        <f t="shared" si="90"/>
        <v>-1.4445409002888128</v>
      </c>
      <c r="H115" s="8">
        <f>C115</f>
        <v>-4.1388574181998177</v>
      </c>
    </row>
    <row r="116" spans="1:9" x14ac:dyDescent="0.25">
      <c r="A116" s="7" t="str">
        <f t="shared" ref="A116:B116" si="115">A87</f>
        <v>CDRIA-Rhodium18b</v>
      </c>
      <c r="B116" s="7" t="str">
        <f t="shared" si="115"/>
        <v>1.5 Gt</v>
      </c>
      <c r="C116">
        <f t="shared" si="89"/>
        <v>7.6155443923701611</v>
      </c>
      <c r="D116" s="8">
        <f t="shared" si="90"/>
        <v>-4.7728156685049763</v>
      </c>
      <c r="H116">
        <f>C116</f>
        <v>7.6155443923701611</v>
      </c>
    </row>
  </sheetData>
  <autoFilter ref="A1:H26" xr:uid="{66EF8D6B-AAC7-4D47-8A22-E3B6AC50568B}">
    <sortState xmlns:xlrd2="http://schemas.microsoft.com/office/spreadsheetml/2017/richdata2" ref="A14:H24">
      <sortCondition ref="A1:A26"/>
    </sortState>
  </autoFilter>
  <phoneticPr fontId="3" type="noConversion"/>
  <conditionalFormatting sqref="D2:D28 F2:F28 H2:I28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35:Z35 E36:E39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Low</vt:lpstr>
      <vt:lpstr>High</vt:lpstr>
      <vt:lpstr>Plotting Marginal CostsBenefits</vt:lpstr>
      <vt:lpstr>Marginal C emissions</vt:lpstr>
      <vt:lpstr>Net-Zero Mandate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2026-07-10T14:10:02Z</dcterms:modified>
</cp:coreProperties>
</file>