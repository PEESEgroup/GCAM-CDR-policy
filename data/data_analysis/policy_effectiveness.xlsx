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8608AD88-7CFA-41CD-98C8-0E24B6A850E6}" xr6:coauthVersionLast="47" xr6:coauthVersionMax="47" xr10:uidLastSave="{00000000-0000-0000-0000-000000000000}"/>
  <bookViews>
    <workbookView xWindow="-120" yWindow="-120" windowWidth="29040" windowHeight="17520" activeTab="1" xr2:uid="{5B094011-67C9-461D-BBBF-A6D3FE50B4AB}"/>
  </bookViews>
  <sheets>
    <sheet name="Low" sheetId="1" r:id="rId1"/>
    <sheet name="High" sheetId="2" r:id="rId2"/>
    <sheet name="Net-Zero Mandate" sheetId="3" r:id="rId3"/>
    <sheet name="Counterproductive Intervention" sheetId="4" r:id="rId4"/>
  </sheets>
  <definedNames>
    <definedName name="_xlnm._FilterDatabase" localSheetId="3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2" hidden="1">'Net-Zero Mandate'!$A$1:$H$26</definedName>
    <definedName name="_xlchart.v1.0" hidden="1">'Net-Zero Mandate'!$A$2:$B$26</definedName>
    <definedName name="_xlchart.v1.1" hidden="1">'Net-Zero Mandate'!$A$2:$B$28</definedName>
    <definedName name="_xlchart.v1.10" hidden="1">'Net-Zero Mandate'!$H$2:$H$28</definedName>
    <definedName name="_xlchart.v1.11" hidden="1">'Net-Zero Mandate'!$I$1</definedName>
    <definedName name="_xlchart.v1.12" hidden="1">'Net-Zero Mandate'!$I$2:$I$26</definedName>
    <definedName name="_xlchart.v1.13" hidden="1">'Net-Zero Mandate'!$I$2:$I$28</definedName>
    <definedName name="_xlchart.v1.2" hidden="1">'Net-Zero Mandate'!$D$1</definedName>
    <definedName name="_xlchart.v1.3" hidden="1">'Net-Zero Mandate'!$D$2:$D$26</definedName>
    <definedName name="_xlchart.v1.4" hidden="1">'Net-Zero Mandate'!$D$2:$D$28</definedName>
    <definedName name="_xlchart.v1.5" hidden="1">'Net-Zero Mandate'!$F$1</definedName>
    <definedName name="_xlchart.v1.6" hidden="1">'Net-Zero Mandate'!$F$2:$F$26</definedName>
    <definedName name="_xlchart.v1.7" hidden="1">'Net-Zero Mandate'!$F$2:$F$28</definedName>
    <definedName name="_xlchart.v1.8" hidden="1">'Net-Zero Mandate'!$H$1</definedName>
    <definedName name="_xlchart.v1.9" hidden="1">'Net-Zero Mandate'!$H$2:$H$26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" l="1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<sst xmlns="http://schemas.openxmlformats.org/spreadsheetml/2006/main" count="202" uniqueCount="60">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</sst>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val">
        <cx:f>_xlchart.v1.4</cx:f>
      </cx:numDim>
    </cx:data>
    <cx:data id="1">
      <cx:strDim type="cat">
        <cx:f>_xlchart.v1.1</cx:f>
      </cx:strDim>
      <cx:numDim type="val">
        <cx:f>_xlchart.v1.7</cx:f>
      </cx:numDim>
    </cx:data>
    <cx:data id="2">
      <cx:strDim type="cat">
        <cx:f>_xlchart.v1.1</cx:f>
      </cx:strDim>
      <cx:numDim type="val">
        <cx:f>_xlchart.v1.10</cx:f>
      </cx:numDim>
    </cx:data>
    <cx:data id="3">
      <cx:strDim type="cat">
        <cx:f>_xlchart.v1.1</cx:f>
      </cx:strDim>
      <cx:numDim type="val">
        <cx:f>_xlchart.v1.13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_xlchart.v1.2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_xlchart.v1.5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_xlchart.v1.8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_xlchart.v1.11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</cx:axis>
      <cx:axis id="1">
        <cx:valScaling/>
        <cx:title>
          <cx:tx>
            <cx:txData>
              <cx:v>% of the size of the CDR market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the size of the CDR market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zoomScaleNormal="100" workbookViewId="0">
      <selection activeCell="J20" sqref="J20"/>
    </sheetView>
  </sheetViews>
  <sheetFormatPr defaultRowHeight="15" x14ac:dyDescent="0.25"/>
  <cols>
    <col min="1" max="1" width="22.28515625" bestFit="1" customWidth="1"/>
    <col min="2" max="2" width="14.140625" bestFit="1" customWidth="1"/>
    <col min="3" max="3" width="11.8554687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  <col min="14" max="14" width="22.28515625" bestFit="1" customWidth="1"/>
  </cols>
  <sheetData>
    <row r="1" spans="1:42" x14ac:dyDescent="0.25">
      <c r="A1" s="3" t="s">
        <v>0</v>
      </c>
      <c r="B1" t="s">
        <v>42</v>
      </c>
      <c r="C1" t="s">
        <v>43</v>
      </c>
      <c r="D1" t="s">
        <v>44</v>
      </c>
      <c r="E1" t="s">
        <v>45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1">
        <v>-40991.392169844003</v>
      </c>
      <c r="C2" s="1">
        <v>73964.863896627197</v>
      </c>
      <c r="D2">
        <v>-0.55420087336513202</v>
      </c>
      <c r="E2" s="1">
        <f>B2+C2</f>
        <v>32973.471726783195</v>
      </c>
      <c r="F2" s="1">
        <v>-11644.658803537901</v>
      </c>
      <c r="G2" s="1">
        <v>32506.920082813402</v>
      </c>
      <c r="H2">
        <v>-0.358220919541823</v>
      </c>
      <c r="I2" s="1">
        <f>F2+G2</f>
        <v>20862.261279275503</v>
      </c>
      <c r="J2" s="1">
        <v>-5002.1063151110802</v>
      </c>
      <c r="K2" s="1">
        <v>20078.072923277199</v>
      </c>
      <c r="L2">
        <v>-0.24913278949754</v>
      </c>
      <c r="M2" s="1">
        <f>J2+K2</f>
        <v>15075.96660816612</v>
      </c>
      <c r="N2" t="s">
        <v>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1">
        <v>-190307.317572267</v>
      </c>
      <c r="C3" s="1">
        <v>341722.55580809899</v>
      </c>
      <c r="D3">
        <v>-0.55690592949661299</v>
      </c>
      <c r="E3" s="1">
        <f t="shared" ref="E3:E15" si="0">B3+C3</f>
        <v>151415.23823583199</v>
      </c>
      <c r="F3" s="1">
        <v>-30848.8092279228</v>
      </c>
      <c r="G3" s="1">
        <v>68806.729018270402</v>
      </c>
      <c r="H3">
        <v>-0.44834000493950898</v>
      </c>
      <c r="I3" s="1">
        <f t="shared" ref="I3:I15" si="1">F3+G3</f>
        <v>37957.919790347602</v>
      </c>
      <c r="J3" s="1">
        <v>-9394.0921605190797</v>
      </c>
      <c r="K3" s="1">
        <v>28774.349079517</v>
      </c>
      <c r="L3">
        <v>-0.32647453238850899</v>
      </c>
      <c r="M3" s="1">
        <f t="shared" ref="M3:M15" si="2">J3+K3</f>
        <v>19380.256918997919</v>
      </c>
      <c r="N3" t="s">
        <v>28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1">
        <v>-112322.040618713</v>
      </c>
      <c r="C4" s="1">
        <v>56741.484497939098</v>
      </c>
      <c r="D4">
        <v>-1.9795400422206499</v>
      </c>
      <c r="E4" s="1">
        <f t="shared" si="0"/>
        <v>-55580.556120773901</v>
      </c>
      <c r="F4" s="1">
        <v>-48889.259790475502</v>
      </c>
      <c r="G4" s="1">
        <v>28709.564463483799</v>
      </c>
      <c r="H4">
        <v>-1.7028910296656901</v>
      </c>
      <c r="I4" s="1">
        <f t="shared" si="1"/>
        <v>-20179.695326991703</v>
      </c>
      <c r="J4" s="1">
        <v>-28941.9181735079</v>
      </c>
      <c r="K4" s="1">
        <v>18022.833509243501</v>
      </c>
      <c r="L4">
        <v>-1.6058472802661199</v>
      </c>
      <c r="M4" s="1">
        <f t="shared" si="2"/>
        <v>-10919.084664264399</v>
      </c>
      <c r="N4" t="s">
        <v>28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1">
        <v>-611711.12191152503</v>
      </c>
      <c r="C5" s="1">
        <v>632967.09479468397</v>
      </c>
      <c r="D5">
        <v>-0.96641851834327297</v>
      </c>
      <c r="E5" s="1">
        <f t="shared" si="0"/>
        <v>21255.972883158945</v>
      </c>
      <c r="F5" s="1">
        <v>-124837.11295495099</v>
      </c>
      <c r="G5" s="1">
        <v>125786.37310764899</v>
      </c>
      <c r="H5">
        <v>-0.99245339436025104</v>
      </c>
      <c r="I5" s="1">
        <f t="shared" si="1"/>
        <v>949.26015269799973</v>
      </c>
      <c r="J5" s="1">
        <v>-49513.350620204001</v>
      </c>
      <c r="K5" s="1">
        <v>47841.174083838101</v>
      </c>
      <c r="L5">
        <v>-1.0349526651130101</v>
      </c>
      <c r="M5" s="1">
        <f t="shared" si="2"/>
        <v>-1672.1765363658997</v>
      </c>
      <c r="N5" t="s">
        <v>28</v>
      </c>
    </row>
    <row r="6" spans="1:42" x14ac:dyDescent="0.25">
      <c r="A6" t="s">
        <v>6</v>
      </c>
      <c r="B6" s="1">
        <v>-23639.052484741402</v>
      </c>
      <c r="C6" s="1">
        <v>19682.8288777735</v>
      </c>
      <c r="D6">
        <v>-1.20099872998618</v>
      </c>
      <c r="E6" s="1">
        <f t="shared" si="0"/>
        <v>-3956.223606967902</v>
      </c>
      <c r="F6" s="1">
        <v>-5718.2312864800897</v>
      </c>
      <c r="G6" s="1">
        <v>15677.5227380697</v>
      </c>
      <c r="H6">
        <v>-0.36474074265537498</v>
      </c>
      <c r="I6" s="1">
        <f t="shared" si="1"/>
        <v>9959.29145158961</v>
      </c>
      <c r="J6" s="1">
        <v>-2790.36636372676</v>
      </c>
      <c r="K6" s="1">
        <v>13463.719299594801</v>
      </c>
      <c r="L6">
        <v>-0.207250782761842</v>
      </c>
      <c r="M6" s="1">
        <f t="shared" si="2"/>
        <v>10673.352935868041</v>
      </c>
      <c r="N6" t="s">
        <v>28</v>
      </c>
    </row>
    <row r="7" spans="1:42" x14ac:dyDescent="0.25">
      <c r="A7" t="s">
        <v>5</v>
      </c>
      <c r="B7" s="1">
        <v>-30682.746255407401</v>
      </c>
      <c r="C7" s="1">
        <v>17090.916249983798</v>
      </c>
      <c r="D7">
        <v>-1.7952663161307201</v>
      </c>
      <c r="E7" s="1">
        <f t="shared" si="0"/>
        <v>-13591.830005423602</v>
      </c>
      <c r="F7" s="1">
        <v>-6100.3980291768003</v>
      </c>
      <c r="G7" s="1">
        <v>12692.2292408466</v>
      </c>
      <c r="H7">
        <v>-0.48064039133048803</v>
      </c>
      <c r="I7" s="1">
        <f t="shared" si="1"/>
        <v>6591.8312116697998</v>
      </c>
      <c r="J7" s="1">
        <v>-2360.7973050558699</v>
      </c>
      <c r="K7" s="1">
        <v>10689.1346820868</v>
      </c>
      <c r="L7">
        <v>-0.220859534028715</v>
      </c>
      <c r="M7" s="1">
        <f t="shared" si="2"/>
        <v>8328.3373770309299</v>
      </c>
      <c r="N7" t="s">
        <v>28</v>
      </c>
    </row>
    <row r="8" spans="1:42" x14ac:dyDescent="0.25">
      <c r="A8" t="s">
        <v>8</v>
      </c>
      <c r="B8" s="1">
        <v>-97079.650583780895</v>
      </c>
      <c r="C8" s="1">
        <v>29977.691435656099</v>
      </c>
      <c r="D8">
        <v>-3.2383964853381602</v>
      </c>
      <c r="E8" s="1">
        <f t="shared" si="0"/>
        <v>-67101.959148124792</v>
      </c>
      <c r="F8" s="1">
        <v>-20972.403124771499</v>
      </c>
      <c r="G8" s="1">
        <v>18375.511162999999</v>
      </c>
      <c r="H8">
        <v>-1.14132352230834</v>
      </c>
      <c r="I8" s="1">
        <f t="shared" si="1"/>
        <v>-2596.8919617715001</v>
      </c>
      <c r="J8" s="1">
        <v>-8406.4334333911793</v>
      </c>
      <c r="K8" s="1">
        <v>13832.566021950501</v>
      </c>
      <c r="L8">
        <v>-0.60772769275427296</v>
      </c>
      <c r="M8" s="1">
        <f t="shared" si="2"/>
        <v>5426.1325885593214</v>
      </c>
      <c r="N8" t="s">
        <v>28</v>
      </c>
    </row>
    <row r="9" spans="1:42" x14ac:dyDescent="0.25">
      <c r="A9" t="s">
        <v>7</v>
      </c>
      <c r="B9" s="1">
        <v>-43683.1580178394</v>
      </c>
      <c r="C9" s="1">
        <v>19701.6259138606</v>
      </c>
      <c r="D9">
        <v>-2.2172361920194099</v>
      </c>
      <c r="E9" s="1">
        <f t="shared" si="0"/>
        <v>-23981.5321039788</v>
      </c>
      <c r="F9" s="1">
        <v>-9175.9801601351992</v>
      </c>
      <c r="G9" s="1">
        <v>13838.706423644</v>
      </c>
      <c r="H9">
        <v>-0.66306632131870602</v>
      </c>
      <c r="I9" s="1">
        <f t="shared" si="1"/>
        <v>4662.7262635088009</v>
      </c>
      <c r="J9" s="1">
        <v>-3610.0129557775899</v>
      </c>
      <c r="K9" s="1">
        <v>11226.4948888167</v>
      </c>
      <c r="L9">
        <v>-0.32156189367473098</v>
      </c>
      <c r="M9" s="1">
        <f t="shared" si="2"/>
        <v>7616.4819330391101</v>
      </c>
      <c r="N9" t="s">
        <v>28</v>
      </c>
    </row>
    <row r="10" spans="1:42" x14ac:dyDescent="0.25">
      <c r="A10" t="s">
        <v>9</v>
      </c>
      <c r="B10" s="1">
        <v>-50470.5551048856</v>
      </c>
      <c r="C10" s="1">
        <v>22047.6456426271</v>
      </c>
      <c r="D10">
        <v>-2.2891584853534401</v>
      </c>
      <c r="E10" s="1">
        <f t="shared" si="0"/>
        <v>-28422.9094622585</v>
      </c>
      <c r="F10" s="1">
        <v>-10472.8845316388</v>
      </c>
      <c r="G10" s="1">
        <v>14865.3551125206</v>
      </c>
      <c r="H10">
        <v>-0.70451626970000103</v>
      </c>
      <c r="I10" s="1">
        <f t="shared" si="1"/>
        <v>4392.4705808817998</v>
      </c>
      <c r="J10" s="1">
        <v>-4213.4803805597603</v>
      </c>
      <c r="K10" s="1">
        <v>12164.270271887701</v>
      </c>
      <c r="L10">
        <v>-0.346381680641979</v>
      </c>
      <c r="M10" s="1">
        <f t="shared" si="2"/>
        <v>7950.7898913279405</v>
      </c>
      <c r="N10" t="s">
        <v>28</v>
      </c>
    </row>
    <row r="11" spans="1:42" x14ac:dyDescent="0.25">
      <c r="A11" t="s">
        <v>13</v>
      </c>
      <c r="B11" s="1">
        <v>0</v>
      </c>
      <c r="C11" s="1">
        <v>14486.1268858849</v>
      </c>
      <c r="D11">
        <v>0</v>
      </c>
      <c r="E11" s="1">
        <f t="shared" si="0"/>
        <v>14486.1268858849</v>
      </c>
      <c r="F11" s="1">
        <v>0</v>
      </c>
      <c r="G11" s="1">
        <v>11511.601320002699</v>
      </c>
      <c r="H11">
        <v>0</v>
      </c>
      <c r="I11" s="1">
        <f t="shared" si="1"/>
        <v>11511.601320002699</v>
      </c>
      <c r="J11" s="1">
        <v>0</v>
      </c>
      <c r="K11" s="1">
        <v>9874.8984398431494</v>
      </c>
      <c r="L11">
        <v>0</v>
      </c>
      <c r="M11" s="1">
        <f t="shared" si="2"/>
        <v>9874.8984398431494</v>
      </c>
      <c r="N11" t="s">
        <v>28</v>
      </c>
    </row>
    <row r="12" spans="1:42" x14ac:dyDescent="0.25">
      <c r="A12" t="s">
        <v>10</v>
      </c>
      <c r="B12" s="1">
        <v>-1404.5679010868701</v>
      </c>
      <c r="C12" s="1">
        <v>45132.0836071905</v>
      </c>
      <c r="D12">
        <v>-3.1121273134907899E-2</v>
      </c>
      <c r="E12" s="1">
        <f t="shared" si="0"/>
        <v>43727.51570610363</v>
      </c>
      <c r="F12" s="1">
        <v>-32.085743248811902</v>
      </c>
      <c r="G12" s="1">
        <v>32278.589396815001</v>
      </c>
      <c r="H12">
        <v>-9.9402557076976408E-4</v>
      </c>
      <c r="I12" s="1">
        <f t="shared" si="1"/>
        <v>32246.503653566189</v>
      </c>
      <c r="J12" s="1">
        <v>-227.43782558660999</v>
      </c>
      <c r="K12" s="1">
        <v>26285.648960687002</v>
      </c>
      <c r="L12">
        <v>-8.6525474766389696E-3</v>
      </c>
      <c r="M12" s="1">
        <f t="shared" si="2"/>
        <v>26058.211135100391</v>
      </c>
      <c r="N12" t="s">
        <v>28</v>
      </c>
    </row>
    <row r="13" spans="1:42" x14ac:dyDescent="0.25">
      <c r="A13" t="s">
        <v>11</v>
      </c>
      <c r="B13" s="1">
        <v>40603.4193094004</v>
      </c>
      <c r="C13" s="1">
        <v>828169.20249635505</v>
      </c>
      <c r="D13">
        <v>4.9027927127704499E-2</v>
      </c>
      <c r="E13" s="1">
        <f t="shared" si="0"/>
        <v>868772.62180575542</v>
      </c>
      <c r="F13" s="1">
        <v>4460.6170443716501</v>
      </c>
      <c r="G13" s="1">
        <v>222303.607323328</v>
      </c>
      <c r="H13">
        <v>2.0065428078654302E-2</v>
      </c>
      <c r="I13" s="1">
        <f t="shared" si="1"/>
        <v>226764.22436769964</v>
      </c>
      <c r="J13" s="1">
        <v>-1031.07110519603</v>
      </c>
      <c r="K13" s="1">
        <v>108783.803081255</v>
      </c>
      <c r="L13">
        <v>-9.4781674844175191E-3</v>
      </c>
      <c r="M13" s="1">
        <f t="shared" si="2"/>
        <v>107752.73197605897</v>
      </c>
      <c r="N13" t="s">
        <v>28</v>
      </c>
    </row>
    <row r="14" spans="1:42" x14ac:dyDescent="0.25">
      <c r="A14" t="s">
        <v>12</v>
      </c>
      <c r="B14" s="1">
        <v>-2626.77829541446</v>
      </c>
      <c r="C14" s="1">
        <v>25767.324754375601</v>
      </c>
      <c r="D14">
        <v>-0.10194222025196401</v>
      </c>
      <c r="E14" s="1">
        <f t="shared" si="0"/>
        <v>23140.54645896114</v>
      </c>
      <c r="F14" s="1">
        <v>-184.162683612303</v>
      </c>
      <c r="G14" s="1">
        <v>17829.693968081301</v>
      </c>
      <c r="H14">
        <v>-1.0328987359064601E-2</v>
      </c>
      <c r="I14" s="1">
        <f t="shared" si="1"/>
        <v>17645.531284468998</v>
      </c>
      <c r="J14" s="1">
        <v>-125.237709722896</v>
      </c>
      <c r="K14" s="1">
        <v>14163.2689710182</v>
      </c>
      <c r="L14">
        <v>-8.84242966642553E-3</v>
      </c>
      <c r="M14" s="1">
        <f t="shared" si="2"/>
        <v>14038.031261295304</v>
      </c>
      <c r="N14" t="s">
        <v>28</v>
      </c>
    </row>
    <row r="15" spans="1:42" x14ac:dyDescent="0.25">
      <c r="A15" t="s">
        <v>59</v>
      </c>
      <c r="B15" s="1">
        <v>-177560.27976733001</v>
      </c>
      <c r="C15" s="1">
        <v>84648.601837562499</v>
      </c>
      <c r="D15">
        <v>-2.0976162147138702</v>
      </c>
      <c r="E15" s="1">
        <f t="shared" si="0"/>
        <v>-92911.677929767509</v>
      </c>
      <c r="F15" s="1">
        <v>-55394.240300793303</v>
      </c>
      <c r="G15" s="1">
        <v>44328.768128424897</v>
      </c>
      <c r="H15">
        <v>-1.2496228214668701</v>
      </c>
      <c r="I15" s="1">
        <f t="shared" si="1"/>
        <v>-11065.472172368405</v>
      </c>
      <c r="J15" s="1">
        <v>-27847.218892906101</v>
      </c>
      <c r="K15" s="1">
        <v>28922.694502216698</v>
      </c>
      <c r="L15">
        <v>-0.96281551121635001</v>
      </c>
      <c r="M15" s="1">
        <f t="shared" si="2"/>
        <v>1075.4756093105971</v>
      </c>
      <c r="N15" t="s">
        <v>28</v>
      </c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tabSelected="1" workbookViewId="0">
      <selection activeCell="M2" sqref="M2:M15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3.570312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</cols>
  <sheetData>
    <row r="1" spans="1:42" x14ac:dyDescent="0.25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</row>
    <row r="2" spans="1:42" x14ac:dyDescent="0.25">
      <c r="A2" t="s">
        <v>1</v>
      </c>
      <c r="B2" s="1">
        <v>-94864.731470308194</v>
      </c>
      <c r="C2" s="1">
        <v>121535.566517909</v>
      </c>
      <c r="D2">
        <v>-0.78055119327006905</v>
      </c>
      <c r="E2" s="1">
        <f>B2+C2</f>
        <v>26670.835047600805</v>
      </c>
      <c r="F2" s="1">
        <v>-24012.4014868552</v>
      </c>
      <c r="G2" s="1">
        <v>48730.788212699401</v>
      </c>
      <c r="H2">
        <v>-0.49275627108772002</v>
      </c>
      <c r="I2" s="1">
        <f>F2+G2</f>
        <v>24718.386725844201</v>
      </c>
      <c r="J2" s="1">
        <v>-9686.1108143464007</v>
      </c>
      <c r="K2" s="1">
        <v>27914.545327342599</v>
      </c>
      <c r="L2">
        <v>-0.346991530786594</v>
      </c>
      <c r="M2" s="1">
        <f>J2+K2</f>
        <v>18228.434512996198</v>
      </c>
      <c r="N2" t="s">
        <v>28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1">
        <v>-573819.81405192497</v>
      </c>
      <c r="C3" s="1">
        <v>815193.62386759603</v>
      </c>
      <c r="D3">
        <v>-0.70390616075908496</v>
      </c>
      <c r="E3" s="1">
        <f t="shared" ref="E3:E15" si="0">B3+C3</f>
        <v>241373.80981567106</v>
      </c>
      <c r="F3" s="1">
        <v>-84257.525916830593</v>
      </c>
      <c r="G3" s="1">
        <v>140944.522706794</v>
      </c>
      <c r="H3">
        <v>-0.59780631626324898</v>
      </c>
      <c r="I3" s="1">
        <f t="shared" ref="I3:I15" si="1">F3+G3</f>
        <v>56686.996789963407</v>
      </c>
      <c r="J3" s="1">
        <v>-23204.8464252616</v>
      </c>
      <c r="K3" s="1">
        <v>49651.190773092399</v>
      </c>
      <c r="L3">
        <v>-0.46735729927019298</v>
      </c>
      <c r="M3" s="1">
        <f t="shared" ref="M3:M15" si="2">J3+K3</f>
        <v>26446.3443478308</v>
      </c>
      <c r="N3" t="s">
        <v>28</v>
      </c>
    </row>
    <row r="4" spans="1:42" x14ac:dyDescent="0.25">
      <c r="A4" t="s">
        <v>3</v>
      </c>
      <c r="B4" s="1">
        <v>-189547.67770812401</v>
      </c>
      <c r="C4" s="1">
        <v>81242.480945637202</v>
      </c>
      <c r="D4">
        <v>-2.3331104060566301</v>
      </c>
      <c r="E4" s="1">
        <f t="shared" si="0"/>
        <v>-108305.19676248681</v>
      </c>
      <c r="F4" s="1">
        <v>-74162.1476601756</v>
      </c>
      <c r="G4" s="1">
        <v>40207.866336966101</v>
      </c>
      <c r="H4">
        <v>-1.8444686181219401</v>
      </c>
      <c r="I4" s="1">
        <f t="shared" si="1"/>
        <v>-33954.2813232095</v>
      </c>
      <c r="J4" s="1">
        <v>-41535.203838220703</v>
      </c>
      <c r="K4" s="1">
        <v>24697.2770423121</v>
      </c>
      <c r="L4">
        <v>-1.68177260056083</v>
      </c>
      <c r="M4" s="1">
        <f t="shared" si="2"/>
        <v>-16837.926795908603</v>
      </c>
      <c r="N4" t="s">
        <v>28</v>
      </c>
    </row>
    <row r="5" spans="1:42" x14ac:dyDescent="0.25">
      <c r="A5" t="s">
        <v>4</v>
      </c>
      <c r="B5" s="1">
        <v>-1529260.70418628</v>
      </c>
      <c r="C5" s="1">
        <v>1535271.1979602601</v>
      </c>
      <c r="D5">
        <v>-0.99608506055349399</v>
      </c>
      <c r="E5" s="1">
        <f t="shared" si="0"/>
        <v>6010.4937739800662</v>
      </c>
      <c r="F5" s="1">
        <v>-265902.76421105402</v>
      </c>
      <c r="G5" s="1">
        <v>266640.44285571203</v>
      </c>
      <c r="H5">
        <v>-0.99723343302029399</v>
      </c>
      <c r="I5" s="1">
        <f t="shared" si="1"/>
        <v>737.67864465800812</v>
      </c>
      <c r="J5" s="1">
        <v>-90741.464406757499</v>
      </c>
      <c r="K5" s="1">
        <v>89320.816158220798</v>
      </c>
      <c r="L5">
        <v>-1.0159050074735101</v>
      </c>
      <c r="M5" s="1">
        <f t="shared" si="2"/>
        <v>-1420.6482485367014</v>
      </c>
      <c r="N5" t="s">
        <v>28</v>
      </c>
    </row>
    <row r="6" spans="1:42" x14ac:dyDescent="0.25">
      <c r="A6" t="s">
        <v>14</v>
      </c>
      <c r="B6" s="1">
        <v>0</v>
      </c>
      <c r="C6" s="1">
        <v>16454.604553368801</v>
      </c>
      <c r="D6">
        <v>0</v>
      </c>
      <c r="E6" s="1">
        <f t="shared" si="0"/>
        <v>16454.604553368801</v>
      </c>
      <c r="F6" s="1">
        <v>0</v>
      </c>
      <c r="G6" s="1">
        <v>12922.5120645157</v>
      </c>
      <c r="H6">
        <v>0</v>
      </c>
      <c r="I6" s="1">
        <f t="shared" si="1"/>
        <v>12922.5120645157</v>
      </c>
      <c r="J6" s="1">
        <v>0</v>
      </c>
      <c r="K6" s="1">
        <v>10988.815786839299</v>
      </c>
      <c r="L6">
        <v>0</v>
      </c>
      <c r="M6" s="1">
        <f t="shared" si="2"/>
        <v>10988.815786839299</v>
      </c>
      <c r="N6" t="s">
        <v>28</v>
      </c>
    </row>
    <row r="7" spans="1:42" x14ac:dyDescent="0.25">
      <c r="A7" t="s">
        <v>6</v>
      </c>
      <c r="B7" s="1">
        <v>-81711.783899172602</v>
      </c>
      <c r="C7" s="1">
        <v>22059.733037833099</v>
      </c>
      <c r="D7">
        <v>-3.7041148122252601</v>
      </c>
      <c r="E7" s="1">
        <f t="shared" si="0"/>
        <v>-59652.050861339507</v>
      </c>
      <c r="F7" s="1">
        <v>-14041.807010664401</v>
      </c>
      <c r="G7" s="1">
        <v>17381.240704187301</v>
      </c>
      <c r="H7">
        <v>-0.8078713855727</v>
      </c>
      <c r="I7" s="1">
        <f t="shared" si="1"/>
        <v>3339.4336935229003</v>
      </c>
      <c r="J7" s="1">
        <v>-5067.3328268512496</v>
      </c>
      <c r="K7" s="1">
        <v>14808.855061788299</v>
      </c>
      <c r="L7">
        <v>-0.34218262017612899</v>
      </c>
      <c r="M7" s="1">
        <f t="shared" si="2"/>
        <v>9741.5222349370488</v>
      </c>
      <c r="N7" t="s">
        <v>28</v>
      </c>
    </row>
    <row r="8" spans="1:42" x14ac:dyDescent="0.25">
      <c r="A8" t="s">
        <v>5</v>
      </c>
      <c r="B8" s="1">
        <v>-74787.623200904796</v>
      </c>
      <c r="C8" s="1">
        <v>19094.971222653399</v>
      </c>
      <c r="D8">
        <v>-3.9166135590809201</v>
      </c>
      <c r="E8" s="1">
        <f t="shared" si="0"/>
        <v>-55692.651978251393</v>
      </c>
      <c r="F8" s="1">
        <v>-12795.920628411601</v>
      </c>
      <c r="G8" s="1">
        <v>14128.7206300791</v>
      </c>
      <c r="H8">
        <v>-0.90566732568623198</v>
      </c>
      <c r="I8" s="1">
        <f t="shared" si="1"/>
        <v>1332.8000016674996</v>
      </c>
      <c r="J8" s="1">
        <v>-4277.3243685469497</v>
      </c>
      <c r="K8" s="1">
        <v>11823.3041249241</v>
      </c>
      <c r="L8">
        <v>-0.361770645781675</v>
      </c>
      <c r="M8" s="1">
        <f t="shared" si="2"/>
        <v>7545.9797563771499</v>
      </c>
      <c r="N8" t="s">
        <v>28</v>
      </c>
    </row>
    <row r="9" spans="1:42" x14ac:dyDescent="0.25">
      <c r="A9" t="s">
        <v>8</v>
      </c>
      <c r="B9" s="1">
        <v>-201382.40255214801</v>
      </c>
      <c r="C9" s="1">
        <v>32071.308412600101</v>
      </c>
      <c r="D9">
        <v>-6.2792075696240897</v>
      </c>
      <c r="E9" s="1">
        <f t="shared" si="0"/>
        <v>-169311.0941395479</v>
      </c>
      <c r="F9" s="1">
        <v>-38626.101035459098</v>
      </c>
      <c r="G9" s="1">
        <v>19876.195905398199</v>
      </c>
      <c r="H9">
        <v>-1.9433346913716201</v>
      </c>
      <c r="I9" s="1">
        <f t="shared" si="1"/>
        <v>-18749.905130060899</v>
      </c>
      <c r="J9" s="1">
        <v>-14104.8743016727</v>
      </c>
      <c r="K9" s="1">
        <v>15017.4159804518</v>
      </c>
      <c r="L9">
        <v>-0.93923444086739505</v>
      </c>
      <c r="M9" s="1">
        <f t="shared" si="2"/>
        <v>912.54167877910004</v>
      </c>
      <c r="N9" t="s">
        <v>28</v>
      </c>
    </row>
    <row r="10" spans="1:42" x14ac:dyDescent="0.25">
      <c r="A10" t="s">
        <v>7</v>
      </c>
      <c r="B10" s="1">
        <v>-98338.675448048598</v>
      </c>
      <c r="C10" s="1">
        <v>21722.272439247401</v>
      </c>
      <c r="D10">
        <v>-4.5270896828626404</v>
      </c>
      <c r="E10" s="1">
        <f t="shared" si="0"/>
        <v>-76616.403008801193</v>
      </c>
      <c r="F10" s="1">
        <v>-17986.986790839499</v>
      </c>
      <c r="G10" s="1">
        <v>15287.094538355101</v>
      </c>
      <c r="H10">
        <v>-1.1766125175526601</v>
      </c>
      <c r="I10" s="1">
        <f t="shared" si="1"/>
        <v>-2699.8922524843983</v>
      </c>
      <c r="J10" s="1">
        <v>-6302.0903447309802</v>
      </c>
      <c r="K10" s="1">
        <v>12370.0600946878</v>
      </c>
      <c r="L10">
        <v>-0.50946319552944896</v>
      </c>
      <c r="M10" s="1">
        <f t="shared" si="2"/>
        <v>6067.9697499568201</v>
      </c>
      <c r="N10" t="s">
        <v>28</v>
      </c>
    </row>
    <row r="11" spans="1:42" x14ac:dyDescent="0.25">
      <c r="A11" t="s">
        <v>9</v>
      </c>
      <c r="B11" s="1">
        <v>-112560.083841115</v>
      </c>
      <c r="C11" s="1">
        <v>24071.699131444799</v>
      </c>
      <c r="D11">
        <v>-4.6760340109967</v>
      </c>
      <c r="E11" s="1">
        <f t="shared" si="0"/>
        <v>-88488.384709670208</v>
      </c>
      <c r="F11" s="1">
        <v>-20252.154009836198</v>
      </c>
      <c r="G11" s="1">
        <v>16316.162333554499</v>
      </c>
      <c r="H11">
        <v>-1.2412326866954</v>
      </c>
      <c r="I11" s="1">
        <f t="shared" si="1"/>
        <v>-3935.9916762816993</v>
      </c>
      <c r="J11" s="1">
        <v>-7133.5598014398502</v>
      </c>
      <c r="K11" s="1">
        <v>13309.729450819899</v>
      </c>
      <c r="L11">
        <v>-0.535965800642205</v>
      </c>
      <c r="M11" s="1">
        <f t="shared" si="2"/>
        <v>6176.1696493800491</v>
      </c>
      <c r="N11" t="s">
        <v>28</v>
      </c>
    </row>
    <row r="12" spans="1:42" x14ac:dyDescent="0.25">
      <c r="A12" t="s">
        <v>10</v>
      </c>
      <c r="B12" s="1">
        <v>-20612.841126253501</v>
      </c>
      <c r="C12" s="1">
        <v>47147.659759674803</v>
      </c>
      <c r="D12">
        <v>-0.43719754556903001</v>
      </c>
      <c r="E12" s="1">
        <f t="shared" si="0"/>
        <v>26534.818633421302</v>
      </c>
      <c r="F12" s="1">
        <v>-2555.2191726661399</v>
      </c>
      <c r="G12" s="1">
        <v>33709.460372616202</v>
      </c>
      <c r="H12">
        <v>-7.58012482081101E-2</v>
      </c>
      <c r="I12" s="1">
        <f t="shared" si="1"/>
        <v>31154.241199950062</v>
      </c>
      <c r="J12" s="1">
        <v>-817.00285092435604</v>
      </c>
      <c r="K12" s="1">
        <v>27410.213109250599</v>
      </c>
      <c r="L12">
        <v>-2.9806512180987999E-2</v>
      </c>
      <c r="M12" s="1">
        <f t="shared" si="2"/>
        <v>26593.210258326242</v>
      </c>
      <c r="N12" t="s">
        <v>28</v>
      </c>
    </row>
    <row r="13" spans="1:42" x14ac:dyDescent="0.25">
      <c r="A13" t="s">
        <v>11</v>
      </c>
      <c r="B13" s="1">
        <v>33750.559282223403</v>
      </c>
      <c r="C13" s="1">
        <v>913639.44245667802</v>
      </c>
      <c r="D13">
        <v>3.6940786172137897E-2</v>
      </c>
      <c r="E13" s="1">
        <f t="shared" si="0"/>
        <v>947390.00173890148</v>
      </c>
      <c r="F13" s="1">
        <v>5157.5221174354301</v>
      </c>
      <c r="G13" s="1">
        <v>235929.47854249101</v>
      </c>
      <c r="H13">
        <v>2.1860439608043899E-2</v>
      </c>
      <c r="I13" s="1">
        <f t="shared" si="1"/>
        <v>241087.00065992645</v>
      </c>
      <c r="J13" s="1">
        <v>-354.46081332431601</v>
      </c>
      <c r="K13" s="1">
        <v>113106.55812487499</v>
      </c>
      <c r="L13">
        <v>-3.1338661453474098E-3</v>
      </c>
      <c r="M13" s="1">
        <f t="shared" si="2"/>
        <v>112752.09731155068</v>
      </c>
      <c r="N13" t="s">
        <v>28</v>
      </c>
    </row>
    <row r="14" spans="1:42" x14ac:dyDescent="0.25">
      <c r="A14" t="s">
        <v>12</v>
      </c>
      <c r="B14" s="1">
        <v>-22101.075343330998</v>
      </c>
      <c r="C14" s="1">
        <v>27762.780358668701</v>
      </c>
      <c r="D14">
        <v>-0.79606851539385404</v>
      </c>
      <c r="E14" s="1">
        <f t="shared" si="0"/>
        <v>5661.7050153377022</v>
      </c>
      <c r="F14" s="1">
        <v>-2707.91448460225</v>
      </c>
      <c r="G14" s="1">
        <v>19251.584572950102</v>
      </c>
      <c r="H14">
        <v>-0.140659303879175</v>
      </c>
      <c r="I14" s="1">
        <f t="shared" si="1"/>
        <v>16543.670088347852</v>
      </c>
      <c r="J14" s="1">
        <v>-692.01167725153198</v>
      </c>
      <c r="K14" s="1">
        <v>15282.8414246461</v>
      </c>
      <c r="L14">
        <v>-4.5280302139073698E-2</v>
      </c>
      <c r="M14" s="1">
        <f t="shared" si="2"/>
        <v>14590.829747394568</v>
      </c>
      <c r="N14" t="s">
        <v>28</v>
      </c>
    </row>
    <row r="15" spans="1:42" x14ac:dyDescent="0.25">
      <c r="A15" t="s">
        <v>59</v>
      </c>
      <c r="B15" s="1">
        <v>-343064.27648368402</v>
      </c>
      <c r="C15" s="1">
        <v>96166.745901482194</v>
      </c>
      <c r="D15">
        <v>-3.5673898837664302</v>
      </c>
      <c r="E15" s="1">
        <f t="shared" si="0"/>
        <v>-246897.53058220184</v>
      </c>
      <c r="F15" s="1">
        <v>-100078.99781724501</v>
      </c>
      <c r="G15" s="1">
        <v>46662.644528508899</v>
      </c>
      <c r="H15">
        <v>-2.14473480507734</v>
      </c>
      <c r="I15" s="1">
        <f t="shared" si="1"/>
        <v>-53416.353288736107</v>
      </c>
      <c r="J15" s="1">
        <v>-49751.588765194501</v>
      </c>
      <c r="K15" s="1">
        <v>28330.3209334069</v>
      </c>
      <c r="L15">
        <v>-1.75612513822699</v>
      </c>
      <c r="M15" s="1">
        <f t="shared" si="2"/>
        <v>-21421.267831787602</v>
      </c>
      <c r="N15" s="1" t="s">
        <v>28</v>
      </c>
      <c r="O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28"/>
  <sheetViews>
    <sheetView workbookViewId="0">
      <selection activeCell="F31" sqref="F31"/>
    </sheetView>
  </sheetViews>
  <sheetFormatPr defaultRowHeight="15" x14ac:dyDescent="0.25"/>
  <cols>
    <col min="1" max="1" width="22.28515625" bestFit="1" customWidth="1"/>
    <col min="2" max="2" width="10.85546875" bestFit="1" customWidth="1"/>
  </cols>
  <sheetData>
    <row r="1" spans="1:10" x14ac:dyDescent="0.25">
      <c r="A1" t="s">
        <v>0</v>
      </c>
      <c r="B1" t="s">
        <v>32</v>
      </c>
      <c r="C1" t="s">
        <v>46</v>
      </c>
      <c r="D1" t="s">
        <v>56</v>
      </c>
      <c r="E1" t="s">
        <v>38</v>
      </c>
      <c r="F1" t="s">
        <v>55</v>
      </c>
      <c r="G1" t="s">
        <v>39</v>
      </c>
      <c r="H1" t="s">
        <v>57</v>
      </c>
      <c r="I1" t="s">
        <v>54</v>
      </c>
      <c r="J1" t="s">
        <v>47</v>
      </c>
    </row>
    <row r="2" spans="1:10" x14ac:dyDescent="0.25">
      <c r="A2" t="s">
        <v>31</v>
      </c>
      <c r="B2" t="s">
        <v>33</v>
      </c>
      <c r="C2">
        <v>5.4175769899473796</v>
      </c>
      <c r="D2">
        <v>0</v>
      </c>
      <c r="E2">
        <v>1.21462324059764</v>
      </c>
      <c r="F2">
        <v>0</v>
      </c>
      <c r="G2">
        <v>0.50517645710506498</v>
      </c>
      <c r="H2">
        <v>0</v>
      </c>
      <c r="I2">
        <v>0</v>
      </c>
      <c r="J2">
        <v>0.84290901691641495</v>
      </c>
    </row>
    <row r="3" spans="1:10" x14ac:dyDescent="0.25">
      <c r="A3" t="s">
        <v>1</v>
      </c>
      <c r="B3" t="s">
        <v>34</v>
      </c>
      <c r="C3">
        <v>5.4526751392889503</v>
      </c>
      <c r="D3">
        <v>7.9722193986204699</v>
      </c>
      <c r="E3">
        <v>1.2265993616247699</v>
      </c>
      <c r="F3">
        <v>12.943976807287701</v>
      </c>
      <c r="G3">
        <v>0.51196546571708901</v>
      </c>
      <c r="H3">
        <v>17.3256530369916</v>
      </c>
      <c r="I3">
        <v>2.1065459229826602</v>
      </c>
      <c r="J3">
        <v>0.84470017355869997</v>
      </c>
    </row>
    <row r="4" spans="1:10" x14ac:dyDescent="0.25">
      <c r="A4" t="s">
        <v>2</v>
      </c>
      <c r="B4" t="s">
        <v>34</v>
      </c>
      <c r="C4">
        <v>5.4176986655229298</v>
      </c>
      <c r="D4">
        <v>4.18215697221197E-2</v>
      </c>
      <c r="E4">
        <v>1.2200220480936199</v>
      </c>
      <c r="F4">
        <v>7.3634914210611901</v>
      </c>
      <c r="G4">
        <v>0.50945647219154799</v>
      </c>
      <c r="H4">
        <v>12.3014623706724</v>
      </c>
      <c r="I4">
        <v>-32.193007747667103</v>
      </c>
      <c r="J4">
        <v>0.83139861124438796</v>
      </c>
    </row>
    <row r="5" spans="1:10" x14ac:dyDescent="0.25">
      <c r="A5" t="s">
        <v>6</v>
      </c>
      <c r="B5" t="s">
        <v>34</v>
      </c>
      <c r="C5">
        <v>5.4325606637280597</v>
      </c>
      <c r="D5">
        <v>3.27434679522118</v>
      </c>
      <c r="E5">
        <v>1.2224848613141599</v>
      </c>
      <c r="F5">
        <v>7.9854624669163199</v>
      </c>
      <c r="G5">
        <v>0.51069933585084104</v>
      </c>
      <c r="H5">
        <v>13.341427664723501</v>
      </c>
      <c r="I5">
        <v>-4.7661224787360901</v>
      </c>
      <c r="J5">
        <v>0.83899992545385804</v>
      </c>
    </row>
    <row r="6" spans="1:10" x14ac:dyDescent="0.25">
      <c r="A6" t="s">
        <v>5</v>
      </c>
      <c r="B6" t="s">
        <v>34</v>
      </c>
      <c r="C6">
        <v>5.4675026820248398</v>
      </c>
      <c r="D6">
        <v>11.080702210154501</v>
      </c>
      <c r="E6">
        <v>1.23111451544623</v>
      </c>
      <c r="F6">
        <v>16.816335761750899</v>
      </c>
      <c r="G6">
        <v>0.513737215902481</v>
      </c>
      <c r="H6">
        <v>20.4675390471334</v>
      </c>
      <c r="I6">
        <v>-1.6578001841819501</v>
      </c>
      <c r="J6">
        <v>0.84157377260607302</v>
      </c>
    </row>
    <row r="7" spans="1:10" x14ac:dyDescent="0.25">
      <c r="A7" t="s">
        <v>8</v>
      </c>
      <c r="B7" t="s">
        <v>34</v>
      </c>
      <c r="C7">
        <v>5.4690262916548296</v>
      </c>
      <c r="D7">
        <v>13.3924163736789</v>
      </c>
      <c r="E7">
        <v>1.24274587562168</v>
      </c>
      <c r="F7">
        <v>33.8032802979519</v>
      </c>
      <c r="G7">
        <v>0.52159577509564503</v>
      </c>
      <c r="H7">
        <v>45.889149664641799</v>
      </c>
      <c r="I7">
        <v>-17.610796138934401</v>
      </c>
      <c r="J7">
        <v>0.83026724806194996</v>
      </c>
    </row>
    <row r="8" spans="1:10" x14ac:dyDescent="0.25">
      <c r="A8" t="s">
        <v>7</v>
      </c>
      <c r="B8" t="s">
        <v>34</v>
      </c>
      <c r="C8">
        <v>5.4704807351999003</v>
      </c>
      <c r="D8">
        <v>12.090518117610101</v>
      </c>
      <c r="E8">
        <v>1.2344805645724799</v>
      </c>
      <c r="F8">
        <v>20.904336245338801</v>
      </c>
      <c r="G8">
        <v>0.51580994167138305</v>
      </c>
      <c r="H8">
        <v>26.205814883550801</v>
      </c>
      <c r="I8">
        <v>-4.2330036189303399</v>
      </c>
      <c r="J8">
        <v>0.83955683086218402</v>
      </c>
    </row>
    <row r="9" spans="1:10" x14ac:dyDescent="0.25">
      <c r="A9" t="s">
        <v>9</v>
      </c>
      <c r="B9" t="s">
        <v>34</v>
      </c>
      <c r="C9">
        <v>5.4684294412951697</v>
      </c>
      <c r="D9">
        <v>11.804833462263</v>
      </c>
      <c r="E9">
        <v>1.23469984643818</v>
      </c>
      <c r="F9">
        <v>21.4277299143567</v>
      </c>
      <c r="G9">
        <v>0.51633662594582996</v>
      </c>
      <c r="H9">
        <v>27.919026065915698</v>
      </c>
      <c r="I9">
        <v>-5.6982743163725003</v>
      </c>
      <c r="J9">
        <v>0.83849573801586097</v>
      </c>
    </row>
    <row r="10" spans="1:10" x14ac:dyDescent="0.25">
      <c r="A10" t="s">
        <v>13</v>
      </c>
      <c r="B10" t="s">
        <v>34</v>
      </c>
      <c r="C10">
        <v>5.5007324623894398</v>
      </c>
      <c r="D10">
        <v>17.279164053851499</v>
      </c>
      <c r="E10">
        <v>1.2333937815064</v>
      </c>
      <c r="F10">
        <v>18.019593931069998</v>
      </c>
      <c r="G10">
        <v>0.513172389200656</v>
      </c>
      <c r="H10">
        <v>18.0957375351921</v>
      </c>
      <c r="I10">
        <v>10.550045036612699</v>
      </c>
      <c r="J10">
        <v>0.85202798348279696</v>
      </c>
    </row>
    <row r="11" spans="1:10" x14ac:dyDescent="0.25">
      <c r="A11" t="s">
        <v>10</v>
      </c>
      <c r="B11" t="s">
        <v>34</v>
      </c>
      <c r="C11">
        <v>5.4984718932521197</v>
      </c>
      <c r="D11">
        <v>16.858636173362701</v>
      </c>
      <c r="E11">
        <v>1.2461970757383001</v>
      </c>
      <c r="F11">
        <v>30.32001009859</v>
      </c>
      <c r="G11">
        <v>0.52572239246154995</v>
      </c>
      <c r="H11">
        <v>46.738446809391498</v>
      </c>
      <c r="I11">
        <v>3.6313721464693201</v>
      </c>
      <c r="J11">
        <v>0.84599726777568296</v>
      </c>
    </row>
    <row r="12" spans="1:10" x14ac:dyDescent="0.25">
      <c r="A12" t="s">
        <v>11</v>
      </c>
      <c r="B12" t="s">
        <v>34</v>
      </c>
      <c r="C12">
        <v>5.7243968175114803</v>
      </c>
      <c r="D12">
        <v>58.794583510587898</v>
      </c>
      <c r="E12">
        <v>1.3160625148040399</v>
      </c>
      <c r="F12">
        <v>93.382246268824602</v>
      </c>
      <c r="G12">
        <v>0.56052492044233604</v>
      </c>
      <c r="H12">
        <v>128.25279781669599</v>
      </c>
      <c r="I12">
        <v>11.060630810043</v>
      </c>
      <c r="J12">
        <v>0.85298997575326196</v>
      </c>
    </row>
    <row r="13" spans="1:10" x14ac:dyDescent="0.25">
      <c r="A13" t="s">
        <v>12</v>
      </c>
      <c r="B13" t="s">
        <v>34</v>
      </c>
      <c r="C13">
        <v>5.4812879541932098</v>
      </c>
      <c r="D13">
        <v>13.3113794026041</v>
      </c>
      <c r="E13">
        <v>1.2334114219814001</v>
      </c>
      <c r="F13">
        <v>18.068472816125901</v>
      </c>
      <c r="G13">
        <v>0.51482952026028495</v>
      </c>
      <c r="H13">
        <v>21.908114265485199</v>
      </c>
      <c r="I13">
        <v>3.6008171018680599</v>
      </c>
      <c r="J13">
        <v>0.84597114411709196</v>
      </c>
    </row>
    <row r="14" spans="1:10" x14ac:dyDescent="0.25">
      <c r="A14" t="s">
        <v>1</v>
      </c>
      <c r="B14" t="s">
        <v>36</v>
      </c>
      <c r="C14">
        <v>5.5417657965940101</v>
      </c>
      <c r="D14">
        <v>10.5657233468163</v>
      </c>
      <c r="E14">
        <v>1.2457635282608599</v>
      </c>
      <c r="F14">
        <v>15.427706085558601</v>
      </c>
      <c r="G14">
        <v>0.51994929271492896</v>
      </c>
      <c r="H14">
        <v>21.036516548608301</v>
      </c>
      <c r="I14">
        <v>2.9193308209991198</v>
      </c>
      <c r="J14">
        <v>0.85190822649338904</v>
      </c>
    </row>
    <row r="15" spans="1:10" x14ac:dyDescent="0.25">
      <c r="A15" t="s">
        <v>2</v>
      </c>
      <c r="B15" t="s">
        <v>36</v>
      </c>
      <c r="C15">
        <v>5.5469377878581998</v>
      </c>
      <c r="D15">
        <v>18.574625943324801</v>
      </c>
      <c r="E15">
        <v>1.24906589704301</v>
      </c>
      <c r="F15">
        <v>24.3236703991907</v>
      </c>
      <c r="G15">
        <v>0.52138261081502402</v>
      </c>
      <c r="H15">
        <v>28.5792634483009</v>
      </c>
      <c r="I15">
        <v>2.9106502559085001</v>
      </c>
      <c r="J15">
        <v>0.84685936766477898</v>
      </c>
    </row>
    <row r="16" spans="1:10" x14ac:dyDescent="0.25">
      <c r="A16" t="s">
        <v>14</v>
      </c>
      <c r="B16" t="s">
        <v>36</v>
      </c>
      <c r="C16">
        <v>5.6382572848615498</v>
      </c>
      <c r="D16">
        <v>17.3728711500404</v>
      </c>
      <c r="E16">
        <v>1.26406672926263</v>
      </c>
      <c r="F16">
        <v>21.891315429941098</v>
      </c>
      <c r="G16">
        <v>0.52557117328980196</v>
      </c>
      <c r="H16">
        <v>25.521841091825902</v>
      </c>
      <c r="I16">
        <v>6.3225799064404198</v>
      </c>
      <c r="J16">
        <v>0.86290930411762501</v>
      </c>
    </row>
    <row r="17" spans="1:10" x14ac:dyDescent="0.25">
      <c r="A17" t="s">
        <v>6</v>
      </c>
      <c r="B17" t="s">
        <v>36</v>
      </c>
      <c r="C17">
        <v>5.4997560593119497</v>
      </c>
      <c r="D17">
        <v>6.9142507501659596</v>
      </c>
      <c r="E17">
        <v>1.2403987076644101</v>
      </c>
      <c r="F17">
        <v>12.1687368263228</v>
      </c>
      <c r="G17">
        <v>0.51878134271989196</v>
      </c>
      <c r="H17">
        <v>18.177778055381498</v>
      </c>
      <c r="I17">
        <v>-3.1562896930530902</v>
      </c>
      <c r="J17">
        <v>0.83367092671279197</v>
      </c>
    </row>
    <row r="18" spans="1:10" x14ac:dyDescent="0.25">
      <c r="A18" t="s">
        <v>5</v>
      </c>
      <c r="B18" t="s">
        <v>36</v>
      </c>
      <c r="C18">
        <v>5.54833513221618</v>
      </c>
      <c r="D18">
        <v>10.9377981211906</v>
      </c>
      <c r="E18">
        <v>1.2520633936749701</v>
      </c>
      <c r="F18">
        <v>17.572339232378901</v>
      </c>
      <c r="G18">
        <v>0.52294039663778702</v>
      </c>
      <c r="H18">
        <v>23.486863841748999</v>
      </c>
      <c r="I18">
        <v>-1.91250657480905</v>
      </c>
      <c r="J18">
        <v>0.83722312530660403</v>
      </c>
    </row>
    <row r="19" spans="1:10" x14ac:dyDescent="0.25">
      <c r="A19" t="s">
        <v>8</v>
      </c>
      <c r="B19" t="s">
        <v>36</v>
      </c>
      <c r="C19">
        <v>5.4635976264752202</v>
      </c>
      <c r="D19">
        <v>4.3055182785194903</v>
      </c>
      <c r="E19">
        <v>1.24990611993794</v>
      </c>
      <c r="F19">
        <v>18.844388223606401</v>
      </c>
      <c r="G19">
        <v>0.52663439663696598</v>
      </c>
      <c r="H19">
        <v>32.607896734475098</v>
      </c>
      <c r="I19">
        <v>-14.256171407604199</v>
      </c>
      <c r="J19">
        <v>0.803877527412028</v>
      </c>
    </row>
    <row r="20" spans="1:10" x14ac:dyDescent="0.25">
      <c r="A20" t="s">
        <v>7</v>
      </c>
      <c r="B20" t="s">
        <v>36</v>
      </c>
      <c r="C20">
        <v>5.5358720502600303</v>
      </c>
      <c r="D20">
        <v>10.094129555691</v>
      </c>
      <c r="E20">
        <v>1.2527627412573199</v>
      </c>
      <c r="F20">
        <v>18.347595088783098</v>
      </c>
      <c r="G20">
        <v>0.52415207638914296</v>
      </c>
      <c r="H20">
        <v>25.7790287192941</v>
      </c>
      <c r="I20">
        <v>-3.7834628368867498</v>
      </c>
      <c r="J20">
        <v>0.83178761107612398</v>
      </c>
    </row>
    <row r="21" spans="1:10" x14ac:dyDescent="0.25">
      <c r="A21" t="s">
        <v>9</v>
      </c>
      <c r="B21" t="s">
        <v>36</v>
      </c>
      <c r="C21">
        <v>5.5232699771311804</v>
      </c>
      <c r="D21">
        <v>9.1295821492606297</v>
      </c>
      <c r="E21">
        <v>1.2516020094135401</v>
      </c>
      <c r="F21">
        <v>17.985190607705601</v>
      </c>
      <c r="G21">
        <v>0.52434373084310903</v>
      </c>
      <c r="H21">
        <v>26.336894077588902</v>
      </c>
      <c r="I21">
        <v>-5.5231217389472302</v>
      </c>
      <c r="J21">
        <v>0.82691386934122102</v>
      </c>
    </row>
    <row r="22" spans="1:10" x14ac:dyDescent="0.25">
      <c r="A22" t="s">
        <v>10</v>
      </c>
      <c r="B22" t="s">
        <v>36</v>
      </c>
      <c r="C22">
        <v>5.6119825340455902</v>
      </c>
      <c r="D22">
        <v>15.5568590322536</v>
      </c>
      <c r="E22">
        <v>1.2719189458234801</v>
      </c>
      <c r="F22">
        <v>25.6581977557504</v>
      </c>
      <c r="G22">
        <v>0.53623613968750194</v>
      </c>
      <c r="H22">
        <v>39.269411978856098</v>
      </c>
      <c r="I22">
        <v>2.8341151029912499</v>
      </c>
      <c r="J22">
        <v>0.851644293857301</v>
      </c>
    </row>
    <row r="23" spans="1:10" x14ac:dyDescent="0.25">
      <c r="A23" t="s">
        <v>11</v>
      </c>
      <c r="B23" t="s">
        <v>36</v>
      </c>
      <c r="C23">
        <v>5.8166522657457698</v>
      </c>
      <c r="D23">
        <v>30.603730057832198</v>
      </c>
      <c r="E23">
        <v>1.3364385232365401</v>
      </c>
      <c r="F23">
        <v>52.730135299082299</v>
      </c>
      <c r="G23">
        <v>0.56914999220891305</v>
      </c>
      <c r="H23">
        <v>80.412834541766998</v>
      </c>
      <c r="I23">
        <v>7.8453238562851402</v>
      </c>
      <c r="J23">
        <v>0.86755067881605097</v>
      </c>
    </row>
    <row r="24" spans="1:10" x14ac:dyDescent="0.25">
      <c r="A24" t="s">
        <v>12</v>
      </c>
      <c r="B24" t="s">
        <v>36</v>
      </c>
      <c r="C24">
        <v>5.5985806170975803</v>
      </c>
      <c r="D24">
        <v>14.5016716897262</v>
      </c>
      <c r="E24">
        <v>1.2617380288169799</v>
      </c>
      <c r="F24">
        <v>21.1134106483448</v>
      </c>
      <c r="G24">
        <v>0.52686850022717402</v>
      </c>
      <c r="H24">
        <v>27.382435589819298</v>
      </c>
      <c r="I24">
        <v>2.51401455023696</v>
      </c>
      <c r="J24">
        <v>0.850655130555378</v>
      </c>
    </row>
    <row r="25" spans="1:10" x14ac:dyDescent="0.25">
      <c r="A25" t="s">
        <v>29</v>
      </c>
      <c r="B25" t="s">
        <v>35</v>
      </c>
      <c r="C25">
        <v>5.59858089366009</v>
      </c>
      <c r="D25">
        <v>8.9909705744803396</v>
      </c>
      <c r="E25">
        <v>1.26706396066733</v>
      </c>
      <c r="F25">
        <v>15.740247717615199</v>
      </c>
      <c r="G25">
        <v>0.52914280295609695</v>
      </c>
      <c r="H25">
        <v>21.9644485184402</v>
      </c>
      <c r="I25">
        <v>-5.8747233323781796</v>
      </c>
      <c r="J25">
        <v>0.81035839577417801</v>
      </c>
    </row>
    <row r="26" spans="1:10" x14ac:dyDescent="0.25">
      <c r="A26" t="s">
        <v>30</v>
      </c>
      <c r="B26" t="s">
        <v>37</v>
      </c>
      <c r="C26">
        <v>5.6764675158573299</v>
      </c>
      <c r="D26">
        <v>7.5077860222692498</v>
      </c>
      <c r="E26">
        <v>1.2753904629780699</v>
      </c>
      <c r="F26">
        <v>11.388571489914501</v>
      </c>
      <c r="G26">
        <v>0.53294102312719405</v>
      </c>
      <c r="H26">
        <v>17.1908399626004</v>
      </c>
      <c r="I26">
        <v>18.9014044107759</v>
      </c>
      <c r="J26">
        <v>1.03936327231345</v>
      </c>
    </row>
    <row r="27" spans="1:10" x14ac:dyDescent="0.25">
      <c r="A27" t="s">
        <v>58</v>
      </c>
      <c r="B27" t="s">
        <v>34</v>
      </c>
      <c r="C27">
        <v>5.3010462151932503</v>
      </c>
      <c r="D27">
        <v>-38.3720249610137</v>
      </c>
      <c r="E27">
        <v>1.1731321959108101</v>
      </c>
      <c r="F27">
        <v>-85.069436552493201</v>
      </c>
      <c r="G27">
        <v>0.48426792383517298</v>
      </c>
      <c r="H27">
        <v>-127.962275149492</v>
      </c>
      <c r="I27">
        <v>-16.938204157826199</v>
      </c>
      <c r="J27">
        <v>0.83073285141483499</v>
      </c>
    </row>
    <row r="28" spans="1:10" x14ac:dyDescent="0.25">
      <c r="A28" t="s">
        <v>58</v>
      </c>
      <c r="B28" t="s">
        <v>36</v>
      </c>
      <c r="C28">
        <v>5.5504529880081197</v>
      </c>
      <c r="D28">
        <v>14.3309846710661</v>
      </c>
      <c r="E28">
        <v>1.28812765278595</v>
      </c>
      <c r="F28">
        <v>58.438907219487298</v>
      </c>
      <c r="G28">
        <v>0.54364839445570401</v>
      </c>
      <c r="H28">
        <v>127.562664353183</v>
      </c>
      <c r="I28">
        <v>-14.693518666643</v>
      </c>
      <c r="J28">
        <v>0.80267852328578704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B35:Z35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D2:D28 F2:F28 H2:I28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M11" sqref="M11"/>
    </sheetView>
  </sheetViews>
  <sheetFormatPr defaultRowHeight="15" x14ac:dyDescent="0.25"/>
  <cols>
    <col min="1" max="1" width="22.28515625" bestFit="1" customWidth="1"/>
    <col min="2" max="2" width="8.5703125" bestFit="1" customWidth="1"/>
  </cols>
  <sheetData>
    <row r="1" spans="1:15" x14ac:dyDescent="0.25">
      <c r="A1" t="s">
        <v>0</v>
      </c>
      <c r="B1" t="s">
        <v>32</v>
      </c>
      <c r="C1" t="s">
        <v>40</v>
      </c>
      <c r="D1" t="s">
        <v>41</v>
      </c>
      <c r="E1" t="s">
        <v>52</v>
      </c>
      <c r="F1" t="s">
        <v>53</v>
      </c>
      <c r="G1" t="s">
        <v>50</v>
      </c>
      <c r="H1" t="s">
        <v>51</v>
      </c>
      <c r="K1" s="3" t="s">
        <v>48</v>
      </c>
      <c r="L1">
        <f>CORREL(D2:D23,F2:F23)</f>
        <v>0.67272727272727262</v>
      </c>
      <c r="N1" s="3" t="s">
        <v>49</v>
      </c>
      <c r="O1">
        <f>CORREL(C2:C23,H2:H23)</f>
        <v>3.8878507412835051E-2</v>
      </c>
    </row>
    <row r="2" spans="1:15" x14ac:dyDescent="0.25">
      <c r="A2" t="s">
        <v>2</v>
      </c>
      <c r="B2" t="s">
        <v>36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36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36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36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36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36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36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36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36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36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36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34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34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34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34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34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34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34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34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34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34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34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Low</vt:lpstr>
      <vt:lpstr>High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2025-12-05T14:48:17Z</dcterms:modified>
</cp:coreProperties>
</file>