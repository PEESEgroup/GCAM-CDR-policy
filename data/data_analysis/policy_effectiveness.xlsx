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Ex1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9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0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1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2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3.xml" ContentType="application/vnd.openxmlformats-officedocument.drawing+xml"/>
  <Override PartName="/xl/charts/chartEx2.xml" ContentType="application/vnd.ms-office.chartex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natha\PycharmProjects\GCAM-CDR-policy\data\data_analysis\"/>
    </mc:Choice>
  </mc:AlternateContent>
  <xr:revisionPtr revIDLastSave="0" documentId="13_ncr:1_{84090143-AFB5-4C78-99D4-BA752A344FFF}" xr6:coauthVersionLast="47" xr6:coauthVersionMax="47" xr10:uidLastSave="{00000000-0000-0000-0000-000000000000}"/>
  <bookViews>
    <workbookView xWindow="-120" yWindow="-120" windowWidth="29040" windowHeight="17520" firstSheet="3" activeTab="5" xr2:uid="{5B094011-67C9-461D-BBBF-A6D3FE50B4AB}"/>
  </bookViews>
  <sheets>
    <sheet name="Low" sheetId="1" r:id="rId1"/>
    <sheet name="High" sheetId="2" r:id="rId2"/>
    <sheet name="Plotting Marginal CostsBenefits" sheetId="5" r:id="rId3"/>
    <sheet name="Marginal C emissions" sheetId="6" r:id="rId4"/>
    <sheet name="Net-Zero Mandate" sheetId="3" r:id="rId5"/>
    <sheet name="CDR Cost Reduction" sheetId="7" r:id="rId6"/>
  </sheets>
  <definedNames>
    <definedName name="_xlnm._FilterDatabase" localSheetId="1" hidden="1">High!$A$1:$N$1</definedName>
    <definedName name="_xlnm._FilterDatabase" localSheetId="0" hidden="1">Low!$A$1:$N$1</definedName>
    <definedName name="_xlnm._FilterDatabase" localSheetId="4" hidden="1">'Net-Zero Mandate'!$A$1:$H$30</definedName>
    <definedName name="_xlchart.v1.0" hidden="1">'Net-Zero Mandate'!$A$2:$B$32</definedName>
    <definedName name="_xlchart.v1.1" hidden="1">'Net-Zero Mandate'!$D$1</definedName>
    <definedName name="_xlchart.v1.10" hidden="1">'CDR Cost Reduction'!$C$1:$C$2</definedName>
    <definedName name="_xlchart.v1.11" hidden="1">'CDR Cost Reduction'!$C$3:$C$30</definedName>
    <definedName name="_xlchart.v1.12" hidden="1">'CDR Cost Reduction'!$D$1:$D$2</definedName>
    <definedName name="_xlchart.v1.13" hidden="1">'CDR Cost Reduction'!$D$3:$D$30</definedName>
    <definedName name="_xlchart.v1.14" hidden="1">'CDR Cost Reduction'!$E$1:$E$2</definedName>
    <definedName name="_xlchart.v1.15" hidden="1">'CDR Cost Reduction'!$E$3:$E$30</definedName>
    <definedName name="_xlchart.v1.16" hidden="1">'CDR Cost Reduction'!$F$1:$F$2</definedName>
    <definedName name="_xlchart.v1.17" hidden="1">'CDR Cost Reduction'!$F$3:$F$30</definedName>
    <definedName name="_xlchart.v1.18" hidden="1">'CDR Cost Reduction'!$G$1:$G$2</definedName>
    <definedName name="_xlchart.v1.19" hidden="1">'CDR Cost Reduction'!$G$3:$G$30</definedName>
    <definedName name="_xlchart.v1.2" hidden="1">'Net-Zero Mandate'!$D$2:$D$32</definedName>
    <definedName name="_xlchart.v1.20" hidden="1">'CDR Cost Reduction'!$H$1:$H$2</definedName>
    <definedName name="_xlchart.v1.21" hidden="1">'CDR Cost Reduction'!$H$3:$H$30</definedName>
    <definedName name="_xlchart.v1.22" hidden="1">'CDR Cost Reduction'!$I$1:$I$2</definedName>
    <definedName name="_xlchart.v1.23" hidden="1">'CDR Cost Reduction'!$I$3:$I$30</definedName>
    <definedName name="_xlchart.v1.24" hidden="1">'CDR Cost Reduction'!$J$1:$J$2</definedName>
    <definedName name="_xlchart.v1.25" hidden="1">'CDR Cost Reduction'!$J$3:$J$30</definedName>
    <definedName name="_xlchart.v1.26" hidden="1">'CDR Cost Reduction'!$O$10:$P$10</definedName>
    <definedName name="_xlchart.v1.27" hidden="1">'CDR Cost Reduction'!$O$11</definedName>
    <definedName name="_xlchart.v1.28" hidden="1">'CDR Cost Reduction'!$O$3:$P$3</definedName>
    <definedName name="_xlchart.v1.29" hidden="1">'CDR Cost Reduction'!$O$4:$O$10</definedName>
    <definedName name="_xlchart.v1.3" hidden="1">'Net-Zero Mandate'!$F$1</definedName>
    <definedName name="_xlchart.v1.30" hidden="1">'CDR Cost Reduction'!$O$4:$O$11</definedName>
    <definedName name="_xlchart.v1.31" hidden="1">'CDR Cost Reduction'!$O$4:$P$4</definedName>
    <definedName name="_xlchart.v1.32" hidden="1">'CDR Cost Reduction'!$O$5:$P$5</definedName>
    <definedName name="_xlchart.v1.33" hidden="1">'CDR Cost Reduction'!$O$6:$P$6</definedName>
    <definedName name="_xlchart.v1.34" hidden="1">'CDR Cost Reduction'!$O$7:$P$7</definedName>
    <definedName name="_xlchart.v1.35" hidden="1">'CDR Cost Reduction'!$O$8:$P$8</definedName>
    <definedName name="_xlchart.v1.36" hidden="1">'CDR Cost Reduction'!$O$9:$P$9</definedName>
    <definedName name="_xlchart.v1.37" hidden="1">'CDR Cost Reduction'!$P$2:$AT$2</definedName>
    <definedName name="_xlchart.v1.38" hidden="1">'CDR Cost Reduction'!$Q$10:$AT$10</definedName>
    <definedName name="_xlchart.v1.39" hidden="1">'CDR Cost Reduction'!$Q$1:$AT$2</definedName>
    <definedName name="_xlchart.v1.4" hidden="1">'Net-Zero Mandate'!$F$2:$F$32</definedName>
    <definedName name="_xlchart.v1.40" hidden="1">'CDR Cost Reduction'!$Q$3:$AT$3</definedName>
    <definedName name="_xlchart.v1.41" hidden="1">'CDR Cost Reduction'!$Q$4:$AT$4</definedName>
    <definedName name="_xlchart.v1.42" hidden="1">'CDR Cost Reduction'!$Q$5:$AT$5</definedName>
    <definedName name="_xlchart.v1.43" hidden="1">'CDR Cost Reduction'!$Q$6:$AT$6</definedName>
    <definedName name="_xlchart.v1.44" hidden="1">'CDR Cost Reduction'!$Q$7:$AT$7</definedName>
    <definedName name="_xlchart.v1.45" hidden="1">'CDR Cost Reduction'!$Q$8:$AT$8</definedName>
    <definedName name="_xlchart.v1.46" hidden="1">'CDR Cost Reduction'!$Q$9:$AT$9</definedName>
    <definedName name="_xlchart.v1.47" hidden="1">'CDR Cost Reduction'!$B$3:$B$32</definedName>
    <definedName name="_xlchart.v1.48" hidden="1">'CDR Cost Reduction'!$C$1:$C$2</definedName>
    <definedName name="_xlchart.v1.49" hidden="1">'CDR Cost Reduction'!$C$3:$C$32</definedName>
    <definedName name="_xlchart.v1.5" hidden="1">'Net-Zero Mandate'!$H$1</definedName>
    <definedName name="_xlchart.v1.50" hidden="1">'CDR Cost Reduction'!$D$1:$D$2</definedName>
    <definedName name="_xlchart.v1.51" hidden="1">'CDR Cost Reduction'!$D$3:$D$32</definedName>
    <definedName name="_xlchart.v1.52" hidden="1">'CDR Cost Reduction'!$E$1:$E$2</definedName>
    <definedName name="_xlchart.v1.53" hidden="1">'CDR Cost Reduction'!$E$3:$E$32</definedName>
    <definedName name="_xlchart.v1.54" hidden="1">'CDR Cost Reduction'!$F$1:$F$2</definedName>
    <definedName name="_xlchart.v1.55" hidden="1">'CDR Cost Reduction'!$F$3:$F$32</definedName>
    <definedName name="_xlchart.v1.56" hidden="1">'CDR Cost Reduction'!$G$1:$G$2</definedName>
    <definedName name="_xlchart.v1.57" hidden="1">'CDR Cost Reduction'!$G$3:$G$32</definedName>
    <definedName name="_xlchart.v1.58" hidden="1">'CDR Cost Reduction'!$H$1:$H$2</definedName>
    <definedName name="_xlchart.v1.59" hidden="1">'CDR Cost Reduction'!$H$3:$H$32</definedName>
    <definedName name="_xlchart.v1.6" hidden="1">'Net-Zero Mandate'!$H$2:$H$32</definedName>
    <definedName name="_xlchart.v1.60" hidden="1">'CDR Cost Reduction'!$I$1:$I$2</definedName>
    <definedName name="_xlchart.v1.61" hidden="1">'CDR Cost Reduction'!$I$3:$I$32</definedName>
    <definedName name="_xlchart.v1.62" hidden="1">'CDR Cost Reduction'!$J$1:$J$2</definedName>
    <definedName name="_xlchart.v1.63" hidden="1">'CDR Cost Reduction'!$J$3:$J$32</definedName>
    <definedName name="_xlchart.v1.64" hidden="1">'CDR Cost Reduction'!$B$3:$B$30</definedName>
    <definedName name="_xlchart.v1.65" hidden="1">'CDR Cost Reduction'!$C$1:$C$2</definedName>
    <definedName name="_xlchart.v1.66" hidden="1">'CDR Cost Reduction'!$C$3:$C$30</definedName>
    <definedName name="_xlchart.v1.67" hidden="1">'CDR Cost Reduction'!$D$1:$D$2</definedName>
    <definedName name="_xlchart.v1.68" hidden="1">'CDR Cost Reduction'!$D$3:$D$30</definedName>
    <definedName name="_xlchart.v1.69" hidden="1">'CDR Cost Reduction'!$E$1:$E$2</definedName>
    <definedName name="_xlchart.v1.7" hidden="1">'Net-Zero Mandate'!$I$1</definedName>
    <definedName name="_xlchart.v1.70" hidden="1">'CDR Cost Reduction'!$E$3:$E$30</definedName>
    <definedName name="_xlchart.v1.71" hidden="1">'CDR Cost Reduction'!$F$1:$F$2</definedName>
    <definedName name="_xlchart.v1.72" hidden="1">'CDR Cost Reduction'!$F$3:$F$30</definedName>
    <definedName name="_xlchart.v1.73" hidden="1">'CDR Cost Reduction'!$G$1:$G$2</definedName>
    <definedName name="_xlchart.v1.74" hidden="1">'CDR Cost Reduction'!$G$3:$G$30</definedName>
    <definedName name="_xlchart.v1.75" hidden="1">'CDR Cost Reduction'!$H$1:$H$2</definedName>
    <definedName name="_xlchart.v1.76" hidden="1">'CDR Cost Reduction'!$H$3:$H$30</definedName>
    <definedName name="_xlchart.v1.77" hidden="1">'CDR Cost Reduction'!$I$1:$I$2</definedName>
    <definedName name="_xlchart.v1.78" hidden="1">'CDR Cost Reduction'!$I$3:$I$30</definedName>
    <definedName name="_xlchart.v1.79" hidden="1">'CDR Cost Reduction'!$J$1:$J$2</definedName>
    <definedName name="_xlchart.v1.8" hidden="1">'Net-Zero Mandate'!$I$2:$I$32</definedName>
    <definedName name="_xlchart.v1.80" hidden="1">'CDR Cost Reduction'!$J$3:$J$30</definedName>
    <definedName name="_xlchart.v1.9" hidden="1">'CDR Cost Reduction'!$B$3:$B$30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3" l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D52" i="3" s="1"/>
  <c r="D85" i="3" s="1"/>
  <c r="D118" i="3" s="1"/>
  <c r="I19" i="3"/>
  <c r="D53" i="3" s="1"/>
  <c r="D86" i="3" s="1"/>
  <c r="D119" i="3" s="1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C118" i="3" s="1"/>
  <c r="F118" i="3" s="1"/>
  <c r="H19" i="3"/>
  <c r="C119" i="3" s="1"/>
  <c r="F119" i="3" s="1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2" i="3"/>
  <c r="F3" i="3"/>
  <c r="F4" i="3"/>
  <c r="F5" i="3"/>
  <c r="F6" i="3"/>
  <c r="C73" i="3" s="1"/>
  <c r="F73" i="3" s="1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C86" i="3" s="1"/>
  <c r="F86" i="3" s="1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2" i="3"/>
  <c r="D3" i="3"/>
  <c r="D4" i="3"/>
  <c r="D5" i="3"/>
  <c r="C39" i="3" s="1"/>
  <c r="F39" i="3" s="1"/>
  <c r="D6" i="3"/>
  <c r="C40" i="3" s="1"/>
  <c r="F40" i="3" s="1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2" i="3"/>
  <c r="C72" i="3"/>
  <c r="F72" i="3" s="1"/>
  <c r="C53" i="3"/>
  <c r="F53" i="3" s="1"/>
  <c r="M2" i="3"/>
  <c r="O9" i="3"/>
  <c r="O8" i="3"/>
  <c r="A118" i="3"/>
  <c r="B118" i="3"/>
  <c r="A119" i="3"/>
  <c r="B119" i="3"/>
  <c r="C105" i="3"/>
  <c r="F105" i="3"/>
  <c r="C106" i="3"/>
  <c r="F106" i="3"/>
  <c r="C85" i="3"/>
  <c r="F85" i="3"/>
  <c r="A52" i="3"/>
  <c r="A85" i="3" s="1"/>
  <c r="B52" i="3"/>
  <c r="B85" i="3" s="1"/>
  <c r="C52" i="3"/>
  <c r="F52" i="3" s="1"/>
  <c r="A53" i="3"/>
  <c r="A86" i="3" s="1"/>
  <c r="B53" i="3"/>
  <c r="B86" i="3" s="1"/>
  <c r="A39" i="3"/>
  <c r="A72" i="3" s="1"/>
  <c r="A105" i="3" s="1"/>
  <c r="B39" i="3"/>
  <c r="B72" i="3" s="1"/>
  <c r="B105" i="3" s="1"/>
  <c r="D39" i="3"/>
  <c r="D72" i="3" s="1"/>
  <c r="D105" i="3" s="1"/>
  <c r="A40" i="3"/>
  <c r="A73" i="3" s="1"/>
  <c r="A106" i="3" s="1"/>
  <c r="B40" i="3"/>
  <c r="B73" i="3" s="1"/>
  <c r="B106" i="3" s="1"/>
  <c r="D40" i="3"/>
  <c r="D73" i="3" s="1"/>
  <c r="D106" i="3" s="1"/>
  <c r="E12" i="6"/>
  <c r="E9" i="6"/>
  <c r="E10" i="6"/>
  <c r="E11" i="6"/>
  <c r="E13" i="6"/>
  <c r="E8" i="6"/>
  <c r="D3" i="6" l="1"/>
  <c r="C3" i="6"/>
  <c r="D2" i="6"/>
  <c r="C2" i="6"/>
  <c r="D24" i="6"/>
  <c r="E24" i="6" s="1"/>
  <c r="D23" i="6"/>
  <c r="E23" i="6" s="1"/>
  <c r="D22" i="6"/>
  <c r="E22" i="6" s="1"/>
  <c r="B22" i="6"/>
  <c r="D21" i="6"/>
  <c r="E21" i="6" s="1"/>
  <c r="D20" i="6"/>
  <c r="E20" i="6" s="1"/>
  <c r="B20" i="6"/>
  <c r="D19" i="6"/>
  <c r="E19" i="6" s="1"/>
  <c r="D18" i="6"/>
  <c r="C81" i="5"/>
  <c r="D81" i="5"/>
  <c r="C82" i="5"/>
  <c r="J82" i="5" s="1"/>
  <c r="D82" i="5"/>
  <c r="C83" i="5"/>
  <c r="D83" i="5"/>
  <c r="C84" i="5"/>
  <c r="D84" i="5"/>
  <c r="C85" i="5"/>
  <c r="D85" i="5"/>
  <c r="C86" i="5"/>
  <c r="D86" i="5"/>
  <c r="C87" i="5"/>
  <c r="D87" i="5"/>
  <c r="C88" i="5"/>
  <c r="D88" i="5"/>
  <c r="C89" i="5"/>
  <c r="K89" i="5" s="1"/>
  <c r="D89" i="5"/>
  <c r="C90" i="5"/>
  <c r="K90" i="5" s="1"/>
  <c r="D90" i="5"/>
  <c r="C91" i="5"/>
  <c r="D91" i="5"/>
  <c r="D80" i="5"/>
  <c r="C80" i="5"/>
  <c r="J80" i="5" s="1"/>
  <c r="C68" i="5"/>
  <c r="F68" i="5" s="1"/>
  <c r="D68" i="5"/>
  <c r="C69" i="5"/>
  <c r="D69" i="5"/>
  <c r="C70" i="5"/>
  <c r="D70" i="5"/>
  <c r="C71" i="5"/>
  <c r="D71" i="5"/>
  <c r="C72" i="5"/>
  <c r="D72" i="5"/>
  <c r="C73" i="5"/>
  <c r="D73" i="5"/>
  <c r="C74" i="5"/>
  <c r="E74" i="5" s="1"/>
  <c r="D74" i="5"/>
  <c r="C75" i="5"/>
  <c r="E75" i="5" s="1"/>
  <c r="D75" i="5"/>
  <c r="C76" i="5"/>
  <c r="D76" i="5"/>
  <c r="C77" i="5"/>
  <c r="G77" i="5" s="1"/>
  <c r="D77" i="5"/>
  <c r="C78" i="5"/>
  <c r="G78" i="5" s="1"/>
  <c r="D78" i="5"/>
  <c r="C79" i="5"/>
  <c r="D79" i="5"/>
  <c r="D67" i="5"/>
  <c r="C67" i="5"/>
  <c r="F67" i="5" s="1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C46" i="5"/>
  <c r="D46" i="5"/>
  <c r="C47" i="5"/>
  <c r="J47" i="5" s="1"/>
  <c r="D47" i="5"/>
  <c r="C48" i="5"/>
  <c r="D48" i="5"/>
  <c r="C49" i="5"/>
  <c r="D49" i="5"/>
  <c r="C50" i="5"/>
  <c r="I50" i="5" s="1"/>
  <c r="D50" i="5"/>
  <c r="C51" i="5"/>
  <c r="I51" i="5" s="1"/>
  <c r="D51" i="5"/>
  <c r="C52" i="5"/>
  <c r="I52" i="5" s="1"/>
  <c r="D52" i="5"/>
  <c r="C53" i="5"/>
  <c r="I53" i="5" s="1"/>
  <c r="D53" i="5"/>
  <c r="C54" i="5"/>
  <c r="K54" i="5" s="1"/>
  <c r="D54" i="5"/>
  <c r="C55" i="5"/>
  <c r="K55" i="5" s="1"/>
  <c r="D55" i="5"/>
  <c r="C56" i="5"/>
  <c r="D56" i="5"/>
  <c r="D45" i="5"/>
  <c r="C45" i="5"/>
  <c r="C33" i="5"/>
  <c r="F33" i="5" s="1"/>
  <c r="D33" i="5"/>
  <c r="C34" i="5"/>
  <c r="F34" i="5" s="1"/>
  <c r="D34" i="5"/>
  <c r="C35" i="5"/>
  <c r="F35" i="5" s="1"/>
  <c r="D35" i="5"/>
  <c r="C36" i="5"/>
  <c r="E36" i="5" s="1"/>
  <c r="D36" i="5"/>
  <c r="C37" i="5"/>
  <c r="E37" i="5" s="1"/>
  <c r="D37" i="5"/>
  <c r="C38" i="5"/>
  <c r="E38" i="5" s="1"/>
  <c r="D38" i="5"/>
  <c r="C39" i="5"/>
  <c r="E39" i="5" s="1"/>
  <c r="D39" i="5"/>
  <c r="C40" i="5"/>
  <c r="E40" i="5" s="1"/>
  <c r="D40" i="5"/>
  <c r="C41" i="5"/>
  <c r="G41" i="5" s="1"/>
  <c r="D41" i="5"/>
  <c r="C42" i="5"/>
  <c r="D42" i="5"/>
  <c r="C43" i="5"/>
  <c r="G43" i="5" s="1"/>
  <c r="D43" i="5"/>
  <c r="C44" i="5"/>
  <c r="H44" i="5" s="1"/>
  <c r="D44" i="5"/>
  <c r="D32" i="5"/>
  <c r="C32" i="5"/>
  <c r="F32" i="5" s="1"/>
  <c r="A46" i="5"/>
  <c r="A51" i="5"/>
  <c r="A52" i="5"/>
  <c r="A53" i="5"/>
  <c r="A54" i="5"/>
  <c r="A55" i="5"/>
  <c r="A56" i="5"/>
  <c r="A57" i="5"/>
  <c r="A32" i="5"/>
  <c r="A67" i="5" s="1"/>
  <c r="C16" i="5"/>
  <c r="D16" i="5"/>
  <c r="C17" i="5"/>
  <c r="D17" i="5"/>
  <c r="C18" i="5"/>
  <c r="D18" i="5"/>
  <c r="C19" i="5"/>
  <c r="D19" i="5"/>
  <c r="C20" i="5"/>
  <c r="D20" i="5"/>
  <c r="C21" i="5"/>
  <c r="D21" i="5"/>
  <c r="C22" i="5"/>
  <c r="D22" i="5"/>
  <c r="C23" i="5"/>
  <c r="D23" i="5"/>
  <c r="C24" i="5"/>
  <c r="D24" i="5"/>
  <c r="C25" i="5"/>
  <c r="D25" i="5"/>
  <c r="C26" i="5"/>
  <c r="D26" i="5"/>
  <c r="D15" i="5"/>
  <c r="C15" i="5"/>
  <c r="A16" i="5"/>
  <c r="A17" i="5"/>
  <c r="A47" i="5" s="1"/>
  <c r="A18" i="5"/>
  <c r="A48" i="5" s="1"/>
  <c r="A19" i="5"/>
  <c r="A49" i="5" s="1"/>
  <c r="A20" i="5"/>
  <c r="A50" i="5" s="1"/>
  <c r="A21" i="5"/>
  <c r="A22" i="5"/>
  <c r="A23" i="5"/>
  <c r="A24" i="5"/>
  <c r="A25" i="5"/>
  <c r="A26" i="5"/>
  <c r="A27" i="5"/>
  <c r="A15" i="5"/>
  <c r="A45" i="5" s="1"/>
  <c r="C3" i="5"/>
  <c r="D3" i="5"/>
  <c r="C4" i="5"/>
  <c r="D4" i="5"/>
  <c r="C5" i="5"/>
  <c r="D5" i="5"/>
  <c r="C6" i="5"/>
  <c r="D6" i="5"/>
  <c r="C7" i="5"/>
  <c r="D7" i="5"/>
  <c r="C8" i="5"/>
  <c r="D8" i="5"/>
  <c r="C9" i="5"/>
  <c r="D9" i="5"/>
  <c r="C10" i="5"/>
  <c r="D10" i="5"/>
  <c r="C11" i="5"/>
  <c r="D11" i="5"/>
  <c r="C12" i="5"/>
  <c r="D12" i="5"/>
  <c r="C13" i="5"/>
  <c r="D13" i="5"/>
  <c r="C14" i="5"/>
  <c r="D14" i="5"/>
  <c r="A3" i="5"/>
  <c r="A33" i="5" s="1"/>
  <c r="A4" i="5"/>
  <c r="A34" i="5" s="1"/>
  <c r="A5" i="5"/>
  <c r="A35" i="5" s="1"/>
  <c r="A6" i="5"/>
  <c r="A36" i="5" s="1"/>
  <c r="A7" i="5"/>
  <c r="A37" i="5" s="1"/>
  <c r="A8" i="5"/>
  <c r="A38" i="5" s="1"/>
  <c r="A9" i="5"/>
  <c r="A39" i="5" s="1"/>
  <c r="A10" i="5"/>
  <c r="A40" i="5" s="1"/>
  <c r="A11" i="5"/>
  <c r="A41" i="5" s="1"/>
  <c r="A12" i="5"/>
  <c r="A42" i="5" s="1"/>
  <c r="A13" i="5"/>
  <c r="A43" i="5" s="1"/>
  <c r="A14" i="5"/>
  <c r="A44" i="5" s="1"/>
  <c r="A2" i="5"/>
  <c r="D2" i="5"/>
  <c r="C2" i="5"/>
  <c r="F2" i="5" s="1"/>
  <c r="I88" i="5"/>
  <c r="I87" i="5"/>
  <c r="I86" i="5"/>
  <c r="I85" i="5"/>
  <c r="I84" i="5"/>
  <c r="H79" i="5"/>
  <c r="G76" i="5"/>
  <c r="E73" i="5"/>
  <c r="E72" i="5"/>
  <c r="E71" i="5"/>
  <c r="F70" i="5"/>
  <c r="K91" i="5"/>
  <c r="J83" i="5"/>
  <c r="J81" i="5"/>
  <c r="F69" i="5"/>
  <c r="A66" i="5"/>
  <c r="N2" i="3"/>
  <c r="O2" i="3"/>
  <c r="K56" i="5"/>
  <c r="I49" i="5"/>
  <c r="J48" i="5"/>
  <c r="J46" i="5"/>
  <c r="J45" i="5"/>
  <c r="G42" i="5"/>
  <c r="A31" i="5"/>
  <c r="D11" i="6"/>
  <c r="D10" i="6"/>
  <c r="D13" i="6"/>
  <c r="D9" i="6"/>
  <c r="D12" i="6"/>
  <c r="D8" i="6"/>
  <c r="D7" i="6"/>
  <c r="C99" i="3"/>
  <c r="H99" i="3" s="1"/>
  <c r="C103" i="3"/>
  <c r="F103" i="3" s="1"/>
  <c r="C104" i="3"/>
  <c r="F104" i="3" s="1"/>
  <c r="C107" i="3"/>
  <c r="E107" i="3" s="1"/>
  <c r="C108" i="3"/>
  <c r="E108" i="3" s="1"/>
  <c r="C109" i="3"/>
  <c r="E109" i="3" s="1"/>
  <c r="C110" i="3"/>
  <c r="E110" i="3" s="1"/>
  <c r="C111" i="3"/>
  <c r="E111" i="3" s="1"/>
  <c r="C112" i="3"/>
  <c r="I112" i="3" s="1"/>
  <c r="C113" i="3"/>
  <c r="G113" i="3" s="1"/>
  <c r="C114" i="3"/>
  <c r="G114" i="3" s="1"/>
  <c r="C115" i="3"/>
  <c r="G115" i="3" s="1"/>
  <c r="C116" i="3"/>
  <c r="F116" i="3" s="1"/>
  <c r="C117" i="3"/>
  <c r="F117" i="3" s="1"/>
  <c r="C120" i="3"/>
  <c r="I120" i="3" s="1"/>
  <c r="C121" i="3"/>
  <c r="E121" i="3" s="1"/>
  <c r="C122" i="3"/>
  <c r="E122" i="3" s="1"/>
  <c r="C123" i="3"/>
  <c r="E123" i="3" s="1"/>
  <c r="C124" i="3"/>
  <c r="E124" i="3" s="1"/>
  <c r="C125" i="3"/>
  <c r="E125" i="3" s="1"/>
  <c r="C126" i="3"/>
  <c r="G126" i="3" s="1"/>
  <c r="C127" i="3"/>
  <c r="G127" i="3" s="1"/>
  <c r="C128" i="3"/>
  <c r="G128" i="3" s="1"/>
  <c r="C129" i="3"/>
  <c r="I129" i="3" s="1"/>
  <c r="C130" i="3"/>
  <c r="I130" i="3" s="1"/>
  <c r="C131" i="3"/>
  <c r="H131" i="3" s="1"/>
  <c r="C132" i="3"/>
  <c r="C102" i="3"/>
  <c r="C101" i="3"/>
  <c r="B101" i="3"/>
  <c r="C69" i="3"/>
  <c r="C70" i="3"/>
  <c r="F70" i="3" s="1"/>
  <c r="C71" i="3"/>
  <c r="F71" i="3" s="1"/>
  <c r="C74" i="3"/>
  <c r="E74" i="3" s="1"/>
  <c r="C75" i="3"/>
  <c r="E75" i="3" s="1"/>
  <c r="C76" i="3"/>
  <c r="E76" i="3" s="1"/>
  <c r="C77" i="3"/>
  <c r="E77" i="3" s="1"/>
  <c r="C78" i="3"/>
  <c r="E78" i="3" s="1"/>
  <c r="C79" i="3"/>
  <c r="I79" i="3" s="1"/>
  <c r="C80" i="3"/>
  <c r="G80" i="3" s="1"/>
  <c r="C81" i="3"/>
  <c r="G81" i="3" s="1"/>
  <c r="C82" i="3"/>
  <c r="G82" i="3" s="1"/>
  <c r="C83" i="3"/>
  <c r="F83" i="3" s="1"/>
  <c r="C84" i="3"/>
  <c r="F84" i="3" s="1"/>
  <c r="C87" i="3"/>
  <c r="I87" i="3" s="1"/>
  <c r="C88" i="3"/>
  <c r="E88" i="3" s="1"/>
  <c r="C89" i="3"/>
  <c r="E89" i="3" s="1"/>
  <c r="C90" i="3"/>
  <c r="E90" i="3" s="1"/>
  <c r="C91" i="3"/>
  <c r="E91" i="3" s="1"/>
  <c r="C92" i="3"/>
  <c r="E92" i="3" s="1"/>
  <c r="C93" i="3"/>
  <c r="G93" i="3" s="1"/>
  <c r="C94" i="3"/>
  <c r="G94" i="3" s="1"/>
  <c r="C95" i="3"/>
  <c r="G95" i="3" s="1"/>
  <c r="C96" i="3"/>
  <c r="I96" i="3" s="1"/>
  <c r="C97" i="3"/>
  <c r="I97" i="3" s="1"/>
  <c r="C98" i="3"/>
  <c r="H98" i="3" s="1"/>
  <c r="C68" i="3"/>
  <c r="K30" i="2"/>
  <c r="D92" i="5" s="1"/>
  <c r="J30" i="2"/>
  <c r="C92" i="5" s="1"/>
  <c r="L92" i="5" s="1"/>
  <c r="G30" i="2"/>
  <c r="D27" i="5" s="1"/>
  <c r="F30" i="2"/>
  <c r="C27" i="5" s="1"/>
  <c r="C30" i="2"/>
  <c r="D57" i="5" s="1"/>
  <c r="B30" i="2"/>
  <c r="E30" i="2" s="1"/>
  <c r="K29" i="2"/>
  <c r="J29" i="2"/>
  <c r="M29" i="2" s="1"/>
  <c r="G29" i="2"/>
  <c r="F29" i="2"/>
  <c r="I29" i="2" s="1"/>
  <c r="C29" i="2"/>
  <c r="B29" i="2"/>
  <c r="K28" i="2"/>
  <c r="J28" i="2"/>
  <c r="G28" i="2"/>
  <c r="F28" i="2"/>
  <c r="C28" i="2"/>
  <c r="B28" i="2"/>
  <c r="E28" i="2" s="1"/>
  <c r="K27" i="2"/>
  <c r="J27" i="2"/>
  <c r="M27" i="2" s="1"/>
  <c r="G27" i="2"/>
  <c r="F27" i="2"/>
  <c r="C27" i="2"/>
  <c r="B27" i="2"/>
  <c r="K26" i="2"/>
  <c r="J26" i="2"/>
  <c r="M26" i="2" s="1"/>
  <c r="G26" i="2"/>
  <c r="F26" i="2"/>
  <c r="C26" i="2"/>
  <c r="B26" i="2"/>
  <c r="K25" i="2"/>
  <c r="J25" i="2"/>
  <c r="G25" i="2"/>
  <c r="F25" i="2"/>
  <c r="C25" i="2"/>
  <c r="B25" i="2"/>
  <c r="K24" i="2"/>
  <c r="J24" i="2"/>
  <c r="M24" i="2" s="1"/>
  <c r="G24" i="2"/>
  <c r="F24" i="2"/>
  <c r="C24" i="2"/>
  <c r="B24" i="2"/>
  <c r="K23" i="2"/>
  <c r="J23" i="2"/>
  <c r="M23" i="2" s="1"/>
  <c r="G23" i="2"/>
  <c r="F23" i="2"/>
  <c r="C23" i="2"/>
  <c r="B23" i="2"/>
  <c r="E23" i="2" s="1"/>
  <c r="K22" i="2"/>
  <c r="J22" i="2"/>
  <c r="G22" i="2"/>
  <c r="F22" i="2"/>
  <c r="C22" i="2"/>
  <c r="B22" i="2"/>
  <c r="K21" i="2"/>
  <c r="J21" i="2"/>
  <c r="G21" i="2"/>
  <c r="F21" i="2"/>
  <c r="I21" i="2" s="1"/>
  <c r="C21" i="2"/>
  <c r="B21" i="2"/>
  <c r="E21" i="2" s="1"/>
  <c r="K20" i="2"/>
  <c r="J20" i="2"/>
  <c r="G20" i="2"/>
  <c r="F20" i="2"/>
  <c r="I20" i="2" s="1"/>
  <c r="C20" i="2"/>
  <c r="B20" i="2"/>
  <c r="K19" i="2"/>
  <c r="J19" i="2"/>
  <c r="M19" i="2" s="1"/>
  <c r="G19" i="2"/>
  <c r="F19" i="2"/>
  <c r="C19" i="2"/>
  <c r="B19" i="2"/>
  <c r="E19" i="2" s="1"/>
  <c r="K18" i="2"/>
  <c r="J18" i="2"/>
  <c r="M18" i="2" s="1"/>
  <c r="G18" i="2"/>
  <c r="F18" i="2"/>
  <c r="C18" i="2"/>
  <c r="B18" i="2"/>
  <c r="J19" i="1"/>
  <c r="K19" i="1"/>
  <c r="J20" i="1"/>
  <c r="K20" i="1"/>
  <c r="J21" i="1"/>
  <c r="K21" i="1"/>
  <c r="J22" i="1"/>
  <c r="K22" i="1"/>
  <c r="J23" i="1"/>
  <c r="K23" i="1"/>
  <c r="J24" i="1"/>
  <c r="L24" i="1" s="1"/>
  <c r="K24" i="1"/>
  <c r="J25" i="1"/>
  <c r="K25" i="1"/>
  <c r="J26" i="1"/>
  <c r="K26" i="1"/>
  <c r="M26" i="1" s="1"/>
  <c r="J27" i="1"/>
  <c r="K27" i="1"/>
  <c r="J28" i="1"/>
  <c r="K28" i="1"/>
  <c r="J29" i="1"/>
  <c r="K29" i="1"/>
  <c r="J30" i="1"/>
  <c r="K30" i="1"/>
  <c r="F19" i="1"/>
  <c r="G19" i="1"/>
  <c r="F20" i="1"/>
  <c r="G20" i="1"/>
  <c r="H20" i="1" s="1"/>
  <c r="F21" i="1"/>
  <c r="G21" i="1"/>
  <c r="F22" i="1"/>
  <c r="G22" i="1"/>
  <c r="F23" i="1"/>
  <c r="G23" i="1"/>
  <c r="I23" i="1" s="1"/>
  <c r="F24" i="1"/>
  <c r="G24" i="1"/>
  <c r="F25" i="1"/>
  <c r="G25" i="1"/>
  <c r="I25" i="1" s="1"/>
  <c r="F26" i="1"/>
  <c r="G26" i="1"/>
  <c r="I26" i="1" s="1"/>
  <c r="F27" i="1"/>
  <c r="G27" i="1"/>
  <c r="F28" i="1"/>
  <c r="G28" i="1"/>
  <c r="F29" i="1"/>
  <c r="G29" i="1"/>
  <c r="F30" i="1"/>
  <c r="G30" i="1"/>
  <c r="K18" i="1"/>
  <c r="J18" i="1"/>
  <c r="L18" i="1" s="1"/>
  <c r="G18" i="1"/>
  <c r="F18" i="1"/>
  <c r="I18" i="1" s="1"/>
  <c r="B19" i="1"/>
  <c r="C19" i="1"/>
  <c r="B20" i="1"/>
  <c r="C20" i="1"/>
  <c r="B21" i="1"/>
  <c r="C21" i="1"/>
  <c r="B22" i="1"/>
  <c r="C22" i="1"/>
  <c r="B23" i="1"/>
  <c r="C23" i="1"/>
  <c r="B24" i="1"/>
  <c r="C24" i="1"/>
  <c r="B25" i="1"/>
  <c r="C25" i="1"/>
  <c r="B26" i="1"/>
  <c r="C26" i="1"/>
  <c r="B27" i="1"/>
  <c r="C27" i="1"/>
  <c r="B28" i="1"/>
  <c r="C28" i="1"/>
  <c r="B29" i="1"/>
  <c r="C29" i="1"/>
  <c r="B30" i="1"/>
  <c r="C30" i="1"/>
  <c r="C18" i="1"/>
  <c r="B18" i="1"/>
  <c r="Q2" i="3" l="1"/>
  <c r="P2" i="3"/>
  <c r="E3" i="6"/>
  <c r="C57" i="5"/>
  <c r="L57" i="5" s="1"/>
  <c r="M28" i="2"/>
  <c r="E26" i="2"/>
  <c r="I23" i="2"/>
  <c r="I30" i="2"/>
  <c r="E22" i="2"/>
  <c r="I25" i="2"/>
  <c r="M20" i="2"/>
  <c r="M22" i="2"/>
  <c r="I19" i="2"/>
  <c r="E25" i="2"/>
  <c r="I28" i="2"/>
  <c r="M24" i="1"/>
  <c r="D23" i="1"/>
  <c r="I27" i="1"/>
  <c r="M29" i="1"/>
  <c r="E24" i="1"/>
  <c r="D29" i="1"/>
  <c r="D24" i="1"/>
  <c r="H26" i="1"/>
  <c r="E20" i="1"/>
  <c r="L28" i="1"/>
  <c r="D30" i="1"/>
  <c r="H19" i="1"/>
  <c r="M21" i="1"/>
  <c r="L20" i="1"/>
  <c r="H25" i="1"/>
  <c r="E23" i="1"/>
  <c r="D18" i="1"/>
  <c r="I28" i="1"/>
  <c r="M30" i="1"/>
  <c r="D28" i="1"/>
  <c r="D27" i="1"/>
  <c r="E27" i="1"/>
  <c r="D22" i="1"/>
  <c r="I19" i="1"/>
  <c r="E30" i="1"/>
  <c r="E19" i="1"/>
  <c r="L27" i="1"/>
  <c r="L30" i="1"/>
  <c r="E28" i="1"/>
  <c r="L25" i="1"/>
  <c r="E29" i="1"/>
  <c r="D20" i="1"/>
  <c r="I30" i="1"/>
  <c r="H21" i="1"/>
  <c r="I29" i="1"/>
  <c r="L21" i="1"/>
  <c r="M20" i="1"/>
  <c r="E22" i="1"/>
  <c r="L22" i="1"/>
  <c r="H27" i="1"/>
  <c r="L23" i="1"/>
  <c r="D19" i="1"/>
  <c r="M28" i="1"/>
  <c r="M19" i="1"/>
  <c r="I20" i="1"/>
  <c r="E21" i="1"/>
  <c r="H28" i="1"/>
  <c r="D21" i="1"/>
  <c r="L29" i="1"/>
  <c r="M27" i="1"/>
  <c r="E26" i="1"/>
  <c r="E25" i="1"/>
  <c r="D25" i="1"/>
  <c r="D26" i="1"/>
  <c r="H22" i="1"/>
  <c r="H23" i="1"/>
  <c r="I24" i="1"/>
  <c r="L26" i="1"/>
  <c r="M21" i="2"/>
  <c r="M30" i="2"/>
  <c r="M25" i="2"/>
  <c r="I18" i="2"/>
  <c r="I24" i="2"/>
  <c r="I22" i="2"/>
  <c r="I26" i="2"/>
  <c r="I27" i="2"/>
  <c r="E24" i="2"/>
  <c r="E20" i="2"/>
  <c r="E29" i="2"/>
  <c r="E18" i="2"/>
  <c r="E27" i="2"/>
  <c r="H18" i="2"/>
  <c r="D20" i="2"/>
  <c r="L21" i="2"/>
  <c r="H22" i="2"/>
  <c r="D24" i="2"/>
  <c r="L25" i="2"/>
  <c r="H27" i="2"/>
  <c r="D29" i="2"/>
  <c r="L30" i="2"/>
  <c r="L18" i="2"/>
  <c r="H20" i="2"/>
  <c r="L22" i="2"/>
  <c r="H24" i="2"/>
  <c r="D26" i="2"/>
  <c r="L27" i="2"/>
  <c r="H29" i="2"/>
  <c r="D19" i="2"/>
  <c r="L20" i="2"/>
  <c r="D23" i="2"/>
  <c r="L24" i="2"/>
  <c r="H26" i="2"/>
  <c r="D28" i="2"/>
  <c r="L29" i="2"/>
  <c r="H19" i="2"/>
  <c r="D21" i="2"/>
  <c r="H23" i="2"/>
  <c r="D25" i="2"/>
  <c r="L26" i="2"/>
  <c r="H28" i="2"/>
  <c r="D30" i="2"/>
  <c r="D18" i="2"/>
  <c r="L19" i="2"/>
  <c r="H21" i="2"/>
  <c r="D22" i="2"/>
  <c r="L23" i="2"/>
  <c r="H25" i="2"/>
  <c r="D27" i="2"/>
  <c r="L28" i="2"/>
  <c r="H30" i="2"/>
  <c r="M22" i="1"/>
  <c r="L19" i="1"/>
  <c r="M23" i="1"/>
  <c r="M25" i="1"/>
  <c r="H24" i="1"/>
  <c r="H29" i="1"/>
  <c r="H30" i="1"/>
  <c r="I21" i="1"/>
  <c r="I22" i="1"/>
  <c r="M18" i="1"/>
  <c r="H18" i="1"/>
  <c r="E18" i="1"/>
  <c r="K25" i="5"/>
  <c r="K26" i="5"/>
  <c r="K24" i="5"/>
  <c r="L27" i="5"/>
  <c r="J18" i="5"/>
  <c r="J17" i="5"/>
  <c r="J16" i="5"/>
  <c r="J15" i="5"/>
  <c r="I20" i="5"/>
  <c r="I21" i="5"/>
  <c r="I22" i="5"/>
  <c r="I23" i="5"/>
  <c r="I19" i="5"/>
  <c r="E10" i="5"/>
  <c r="E6" i="5"/>
  <c r="F3" i="5"/>
  <c r="F4" i="5"/>
  <c r="F5" i="5"/>
  <c r="E7" i="5"/>
  <c r="E8" i="5"/>
  <c r="E9" i="5"/>
  <c r="G11" i="5"/>
  <c r="G12" i="5"/>
  <c r="G13" i="5"/>
  <c r="H14" i="5"/>
  <c r="A1" i="5"/>
  <c r="C35" i="3"/>
  <c r="A65" i="3"/>
  <c r="A98" i="3" s="1"/>
  <c r="A131" i="3" s="1"/>
  <c r="B65" i="3"/>
  <c r="B98" i="3" s="1"/>
  <c r="B131" i="3" s="1"/>
  <c r="C65" i="3"/>
  <c r="H65" i="3" s="1"/>
  <c r="D65" i="3"/>
  <c r="D98" i="3" s="1"/>
  <c r="A66" i="3"/>
  <c r="A99" i="3" s="1"/>
  <c r="A132" i="3" s="1"/>
  <c r="B66" i="3"/>
  <c r="B99" i="3" s="1"/>
  <c r="B132" i="3" s="1"/>
  <c r="C66" i="3"/>
  <c r="H66" i="3" s="1"/>
  <c r="D66" i="3"/>
  <c r="D99" i="3" s="1"/>
  <c r="D132" i="3" s="1"/>
  <c r="A36" i="3"/>
  <c r="A69" i="3" s="1"/>
  <c r="A102" i="3" s="1"/>
  <c r="B36" i="3"/>
  <c r="B69" i="3" s="1"/>
  <c r="B102" i="3" s="1"/>
  <c r="C36" i="3"/>
  <c r="D36" i="3"/>
  <c r="D69" i="3" s="1"/>
  <c r="D102" i="3" s="1"/>
  <c r="A37" i="3"/>
  <c r="A70" i="3" s="1"/>
  <c r="A103" i="3" s="1"/>
  <c r="B37" i="3"/>
  <c r="B70" i="3" s="1"/>
  <c r="B103" i="3" s="1"/>
  <c r="C37" i="3"/>
  <c r="F37" i="3" s="1"/>
  <c r="D37" i="3"/>
  <c r="D70" i="3" s="1"/>
  <c r="D103" i="3" s="1"/>
  <c r="A38" i="3"/>
  <c r="A71" i="3" s="1"/>
  <c r="A104" i="3" s="1"/>
  <c r="B38" i="3"/>
  <c r="B71" i="3" s="1"/>
  <c r="B104" i="3" s="1"/>
  <c r="C38" i="3"/>
  <c r="F38" i="3" s="1"/>
  <c r="D38" i="3"/>
  <c r="D71" i="3" s="1"/>
  <c r="D104" i="3" s="1"/>
  <c r="A41" i="3"/>
  <c r="A74" i="3" s="1"/>
  <c r="A107" i="3" s="1"/>
  <c r="B41" i="3"/>
  <c r="B74" i="3" s="1"/>
  <c r="B107" i="3" s="1"/>
  <c r="C41" i="3"/>
  <c r="E41" i="3" s="1"/>
  <c r="D41" i="3"/>
  <c r="D74" i="3" s="1"/>
  <c r="D107" i="3" s="1"/>
  <c r="A42" i="3"/>
  <c r="A75" i="3" s="1"/>
  <c r="A108" i="3" s="1"/>
  <c r="B42" i="3"/>
  <c r="B75" i="3" s="1"/>
  <c r="B108" i="3" s="1"/>
  <c r="C42" i="3"/>
  <c r="E42" i="3" s="1"/>
  <c r="D42" i="3"/>
  <c r="D75" i="3" s="1"/>
  <c r="D108" i="3" s="1"/>
  <c r="A43" i="3"/>
  <c r="A76" i="3" s="1"/>
  <c r="A109" i="3" s="1"/>
  <c r="B43" i="3"/>
  <c r="B76" i="3" s="1"/>
  <c r="B109" i="3" s="1"/>
  <c r="C43" i="3"/>
  <c r="E43" i="3" s="1"/>
  <c r="D43" i="3"/>
  <c r="D76" i="3" s="1"/>
  <c r="D109" i="3" s="1"/>
  <c r="A44" i="3"/>
  <c r="A77" i="3" s="1"/>
  <c r="A110" i="3" s="1"/>
  <c r="B44" i="3"/>
  <c r="B77" i="3" s="1"/>
  <c r="B110" i="3" s="1"/>
  <c r="C44" i="3"/>
  <c r="E44" i="3" s="1"/>
  <c r="D44" i="3"/>
  <c r="D77" i="3" s="1"/>
  <c r="D110" i="3" s="1"/>
  <c r="A45" i="3"/>
  <c r="A78" i="3" s="1"/>
  <c r="A111" i="3" s="1"/>
  <c r="B45" i="3"/>
  <c r="B78" i="3" s="1"/>
  <c r="B111" i="3" s="1"/>
  <c r="C45" i="3"/>
  <c r="E45" i="3" s="1"/>
  <c r="D45" i="3"/>
  <c r="D78" i="3" s="1"/>
  <c r="D111" i="3" s="1"/>
  <c r="A46" i="3"/>
  <c r="A79" i="3" s="1"/>
  <c r="A112" i="3" s="1"/>
  <c r="B46" i="3"/>
  <c r="B79" i="3" s="1"/>
  <c r="B112" i="3" s="1"/>
  <c r="C46" i="3"/>
  <c r="I46" i="3" s="1"/>
  <c r="D46" i="3"/>
  <c r="D79" i="3" s="1"/>
  <c r="D112" i="3" s="1"/>
  <c r="A47" i="3"/>
  <c r="A80" i="3" s="1"/>
  <c r="A113" i="3" s="1"/>
  <c r="B47" i="3"/>
  <c r="B80" i="3" s="1"/>
  <c r="B113" i="3" s="1"/>
  <c r="C47" i="3"/>
  <c r="G47" i="3" s="1"/>
  <c r="D47" i="3"/>
  <c r="D80" i="3" s="1"/>
  <c r="D113" i="3" s="1"/>
  <c r="A48" i="3"/>
  <c r="A81" i="3" s="1"/>
  <c r="A114" i="3" s="1"/>
  <c r="B48" i="3"/>
  <c r="B81" i="3" s="1"/>
  <c r="B114" i="3" s="1"/>
  <c r="C48" i="3"/>
  <c r="G48" i="3" s="1"/>
  <c r="D48" i="3"/>
  <c r="D81" i="3" s="1"/>
  <c r="D114" i="3" s="1"/>
  <c r="A49" i="3"/>
  <c r="A82" i="3" s="1"/>
  <c r="A115" i="3" s="1"/>
  <c r="B49" i="3"/>
  <c r="B82" i="3" s="1"/>
  <c r="B115" i="3" s="1"/>
  <c r="C49" i="3"/>
  <c r="G49" i="3" s="1"/>
  <c r="D49" i="3"/>
  <c r="D82" i="3" s="1"/>
  <c r="D115" i="3" s="1"/>
  <c r="A50" i="3"/>
  <c r="A83" i="3" s="1"/>
  <c r="A116" i="3" s="1"/>
  <c r="B50" i="3"/>
  <c r="B83" i="3" s="1"/>
  <c r="B116" i="3" s="1"/>
  <c r="C50" i="3"/>
  <c r="F50" i="3" s="1"/>
  <c r="D50" i="3"/>
  <c r="D83" i="3" s="1"/>
  <c r="D116" i="3" s="1"/>
  <c r="A51" i="3"/>
  <c r="A84" i="3" s="1"/>
  <c r="A117" i="3" s="1"/>
  <c r="B51" i="3"/>
  <c r="B84" i="3" s="1"/>
  <c r="B117" i="3" s="1"/>
  <c r="C51" i="3"/>
  <c r="F51" i="3" s="1"/>
  <c r="D51" i="3"/>
  <c r="D84" i="3" s="1"/>
  <c r="D117" i="3" s="1"/>
  <c r="A54" i="3"/>
  <c r="A87" i="3" s="1"/>
  <c r="A120" i="3" s="1"/>
  <c r="B54" i="3"/>
  <c r="B87" i="3" s="1"/>
  <c r="B120" i="3" s="1"/>
  <c r="C54" i="3"/>
  <c r="I54" i="3" s="1"/>
  <c r="D54" i="3"/>
  <c r="D87" i="3" s="1"/>
  <c r="D120" i="3" s="1"/>
  <c r="A55" i="3"/>
  <c r="A88" i="3" s="1"/>
  <c r="A121" i="3" s="1"/>
  <c r="B55" i="3"/>
  <c r="B88" i="3" s="1"/>
  <c r="B121" i="3" s="1"/>
  <c r="C55" i="3"/>
  <c r="E55" i="3" s="1"/>
  <c r="D55" i="3"/>
  <c r="D88" i="3" s="1"/>
  <c r="D121" i="3" s="1"/>
  <c r="A56" i="3"/>
  <c r="A89" i="3" s="1"/>
  <c r="A122" i="3" s="1"/>
  <c r="B56" i="3"/>
  <c r="B89" i="3" s="1"/>
  <c r="B122" i="3" s="1"/>
  <c r="C56" i="3"/>
  <c r="E56" i="3" s="1"/>
  <c r="D56" i="3"/>
  <c r="D89" i="3" s="1"/>
  <c r="D122" i="3" s="1"/>
  <c r="A57" i="3"/>
  <c r="A90" i="3" s="1"/>
  <c r="A123" i="3" s="1"/>
  <c r="B57" i="3"/>
  <c r="B90" i="3" s="1"/>
  <c r="B123" i="3" s="1"/>
  <c r="C57" i="3"/>
  <c r="E57" i="3" s="1"/>
  <c r="D57" i="3"/>
  <c r="D90" i="3" s="1"/>
  <c r="D123" i="3" s="1"/>
  <c r="A58" i="3"/>
  <c r="A91" i="3" s="1"/>
  <c r="A124" i="3" s="1"/>
  <c r="B58" i="3"/>
  <c r="B91" i="3" s="1"/>
  <c r="B124" i="3" s="1"/>
  <c r="C58" i="3"/>
  <c r="E58" i="3" s="1"/>
  <c r="D58" i="3"/>
  <c r="D91" i="3" s="1"/>
  <c r="D124" i="3" s="1"/>
  <c r="A59" i="3"/>
  <c r="A92" i="3" s="1"/>
  <c r="A125" i="3" s="1"/>
  <c r="B59" i="3"/>
  <c r="B92" i="3" s="1"/>
  <c r="B125" i="3" s="1"/>
  <c r="C59" i="3"/>
  <c r="E59" i="3" s="1"/>
  <c r="D59" i="3"/>
  <c r="D92" i="3" s="1"/>
  <c r="D125" i="3" s="1"/>
  <c r="A60" i="3"/>
  <c r="A93" i="3" s="1"/>
  <c r="A126" i="3" s="1"/>
  <c r="B60" i="3"/>
  <c r="B93" i="3" s="1"/>
  <c r="B126" i="3" s="1"/>
  <c r="C60" i="3"/>
  <c r="G60" i="3" s="1"/>
  <c r="D60" i="3"/>
  <c r="D93" i="3" s="1"/>
  <c r="D126" i="3" s="1"/>
  <c r="A61" i="3"/>
  <c r="A94" i="3" s="1"/>
  <c r="A127" i="3" s="1"/>
  <c r="B61" i="3"/>
  <c r="B94" i="3" s="1"/>
  <c r="B127" i="3" s="1"/>
  <c r="C61" i="3"/>
  <c r="G61" i="3" s="1"/>
  <c r="D61" i="3"/>
  <c r="D94" i="3" s="1"/>
  <c r="D127" i="3" s="1"/>
  <c r="A62" i="3"/>
  <c r="A95" i="3" s="1"/>
  <c r="A128" i="3" s="1"/>
  <c r="B62" i="3"/>
  <c r="B95" i="3" s="1"/>
  <c r="B128" i="3" s="1"/>
  <c r="C62" i="3"/>
  <c r="G62" i="3" s="1"/>
  <c r="D62" i="3"/>
  <c r="D95" i="3" s="1"/>
  <c r="D128" i="3" s="1"/>
  <c r="A63" i="3"/>
  <c r="A96" i="3" s="1"/>
  <c r="A129" i="3" s="1"/>
  <c r="B63" i="3"/>
  <c r="B96" i="3" s="1"/>
  <c r="B129" i="3" s="1"/>
  <c r="C63" i="3"/>
  <c r="I63" i="3" s="1"/>
  <c r="D63" i="3"/>
  <c r="D96" i="3" s="1"/>
  <c r="D129" i="3" s="1"/>
  <c r="A64" i="3"/>
  <c r="A97" i="3" s="1"/>
  <c r="A130" i="3" s="1"/>
  <c r="B64" i="3"/>
  <c r="B97" i="3" s="1"/>
  <c r="B130" i="3" s="1"/>
  <c r="C64" i="3"/>
  <c r="I64" i="3" s="1"/>
  <c r="D64" i="3"/>
  <c r="D97" i="3" s="1"/>
  <c r="D130" i="3" s="1"/>
  <c r="D35" i="3"/>
  <c r="D68" i="3" s="1"/>
  <c r="D101" i="3" s="1"/>
  <c r="B35" i="3"/>
  <c r="B68" i="3" s="1"/>
  <c r="H132" i="3" l="1"/>
  <c r="D131" i="3"/>
</calcChain>
</file>

<file path=xl/sharedStrings.xml><?xml version="1.0" encoding="utf-8"?>
<sst xmlns="http://schemas.openxmlformats.org/spreadsheetml/2006/main" count="495" uniqueCount="95">
  <si>
    <t>Scenario</t>
  </si>
  <si>
    <t>45Q-2040</t>
  </si>
  <si>
    <t>45Q-2050</t>
  </si>
  <si>
    <t>CDRIA-2035</t>
  </si>
  <si>
    <t>CDRIA-2050</t>
  </si>
  <si>
    <t>Innovation-maintain</t>
  </si>
  <si>
    <t>Innovation-DACHubs</t>
  </si>
  <si>
    <t>Innovation-rhodium6b</t>
  </si>
  <si>
    <t>Innovation-rhodium18b</t>
  </si>
  <si>
    <t>Innovation-triple</t>
  </si>
  <si>
    <t>Procure3B</t>
  </si>
  <si>
    <t>ProcureRhodium</t>
  </si>
  <si>
    <t>ProcureScaling</t>
  </si>
  <si>
    <t>Low Baseline</t>
  </si>
  <si>
    <t>High Baseline</t>
  </si>
  <si>
    <t>Benefits | 12.0%</t>
  </si>
  <si>
    <t>Costs | 12.0%</t>
  </si>
  <si>
    <t>Benefits/Costs | 12.0%</t>
  </si>
  <si>
    <t>Benefits-Costs | 12.0%</t>
  </si>
  <si>
    <t>Benefits | 20.0%</t>
  </si>
  <si>
    <t>Costs | 20.0%</t>
  </si>
  <si>
    <t>Benefits/Costs | 20.0%</t>
  </si>
  <si>
    <t>Benefits-Costs | 20.0%</t>
  </si>
  <si>
    <t>Units</t>
  </si>
  <si>
    <t>Million $USD or unitless</t>
  </si>
  <si>
    <t>2.4 Gt Baseline</t>
  </si>
  <si>
    <t>4.1 Gt Baseline</t>
  </si>
  <si>
    <t>100 Mt Baseline</t>
  </si>
  <si>
    <t>Baseline</t>
  </si>
  <si>
    <t>100 Mt</t>
  </si>
  <si>
    <t>500 Mt</t>
  </si>
  <si>
    <t>2.4 Gt</t>
  </si>
  <si>
    <t>1.5 Gt</t>
  </si>
  <si>
    <t>4.1 Gt</t>
  </si>
  <si>
    <t>NPV of Net Zero Mandate | 12.0% | Trillion $USD</t>
  </si>
  <si>
    <t>NPV of Net Zero Mandate | 20.0% | Trillion $USD</t>
  </si>
  <si>
    <t>Benefits | 2.0%</t>
  </si>
  <si>
    <t>Costs | 2.0%</t>
  </si>
  <si>
    <t>Benefits/Costs | 2.0%</t>
  </si>
  <si>
    <t>Benefits-Costs | 2.0%</t>
  </si>
  <si>
    <t>NPV of Net Zero Mandate | 2.0% | Trillion $USD</t>
  </si>
  <si>
    <t>Abatement size in 2050</t>
  </si>
  <si>
    <t>Optimal</t>
  </si>
  <si>
    <t>Marginal</t>
  </si>
  <si>
    <t>2% Benefits</t>
  </si>
  <si>
    <t>2% Costs</t>
  </si>
  <si>
    <t>12% Benefits</t>
  </si>
  <si>
    <t>12% Costs</t>
  </si>
  <si>
    <t>20% Benefits</t>
  </si>
  <si>
    <t>20% Costs</t>
  </si>
  <si>
    <t>Effectiveness of CDR</t>
  </si>
  <si>
    <t>CDR (Mt)</t>
  </si>
  <si>
    <t>rhodium100b low</t>
  </si>
  <si>
    <t>rhodium100b high</t>
  </si>
  <si>
    <t>C emissions (Mt C)</t>
  </si>
  <si>
    <t>C emission (Mt CO2-eq)</t>
  </si>
  <si>
    <t>N/A</t>
  </si>
  <si>
    <t>Additionality of CDR</t>
  </si>
  <si>
    <t>Innovation Scenarios</t>
  </si>
  <si>
    <t>Subsidy Scenarios</t>
  </si>
  <si>
    <t>Procurement Scenarios</t>
  </si>
  <si>
    <t>Optimal Scenarios</t>
  </si>
  <si>
    <t>Baseline Pathways</t>
  </si>
  <si>
    <t>Innovation - 500 Mt</t>
  </si>
  <si>
    <t>Subsidy - 500 Mt</t>
  </si>
  <si>
    <t>Procurement - 500 Mt</t>
  </si>
  <si>
    <t>Optimal - 500 Mt</t>
  </si>
  <si>
    <t>Innovation - 1.5 Gt</t>
  </si>
  <si>
    <t>Subsidy - 1.5 Gt</t>
  </si>
  <si>
    <t>Procurement - 1.5 Gt</t>
  </si>
  <si>
    <t>Optimal - 1.5 Gt</t>
  </si>
  <si>
    <t>Negative Benefits are Bad</t>
  </si>
  <si>
    <t>Median Under 12%</t>
  </si>
  <si>
    <t>CI</t>
  </si>
  <si>
    <t>Lower Range</t>
  </si>
  <si>
    <t>Upper Range</t>
  </si>
  <si>
    <t>Mean under 12%</t>
  </si>
  <si>
    <t>500 Mt Baseline</t>
  </si>
  <si>
    <t>1500 Mt Baseline</t>
  </si>
  <si>
    <t>Benefits have sign changed compared to Supplementary Tables 19-30</t>
  </si>
  <si>
    <t>From CO2-CDR Social Costs .csv</t>
  </si>
  <si>
    <t>500 Mt baseline</t>
  </si>
  <si>
    <t>100 Mt baseline</t>
  </si>
  <si>
    <t>1500 Mt baseline</t>
  </si>
  <si>
    <t>2400 Mt baseline</t>
  </si>
  <si>
    <t>4100 Mt baseline</t>
  </si>
  <si>
    <t>45Q-2040-maintain-l</t>
  </si>
  <si>
    <t>procure-scaling-maintain-h</t>
  </si>
  <si>
    <t>Count</t>
  </si>
  <si>
    <t>St. Dev</t>
  </si>
  <si>
    <t>2% Discount Rate</t>
  </si>
  <si>
    <t>12% Discount Rate</t>
  </si>
  <si>
    <t>20% Discount Rate</t>
  </si>
  <si>
    <t>Cost of Mitigation in 2050</t>
  </si>
  <si>
    <t>2050 Snapshot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</si>
</sst>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$&quot;#,##0.00_);[Red]\(&quot;$&quot;#,##0.00\)"/>
    <numFmt numFmtId="164" formatCode="&quot;$&quot;#,##0.00"/>
    <numFmt numFmtId="165" formatCode="0.000"/>
    <numFmt numFmtId="166" formatCode="&quot;$&quot;#,##0"/>
    <numFmt numFmtId="167" formatCode="0.000%"/>
    <numFmt numFmtId="170" formatCode="0.000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6">
    <xf numFmtId="0" fontId="0" fillId="0" borderId="0" xfId="0"/>
    <xf numFmtId="8" fontId="0" fillId="0" borderId="0" xfId="0" applyNumberFormat="1"/>
    <xf numFmtId="0" fontId="2" fillId="0" borderId="0" xfId="0" applyFont="1"/>
    <xf numFmtId="0" fontId="1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9" fontId="0" fillId="0" borderId="0" xfId="0" applyNumberFormat="1"/>
    <xf numFmtId="2" fontId="0" fillId="0" borderId="0" xfId="0" applyNumberFormat="1"/>
    <xf numFmtId="167" fontId="0" fillId="0" borderId="0" xfId="1" applyNumberFormat="1" applyFont="1"/>
    <xf numFmtId="9" fontId="0" fillId="0" borderId="0" xfId="1" applyFont="1"/>
    <xf numFmtId="10" fontId="0" fillId="0" borderId="0" xfId="1" applyNumberFormat="1" applyFont="1"/>
    <xf numFmtId="170" fontId="0" fillId="0" borderId="0" xfId="1" applyNumberFormat="1" applyFont="1"/>
    <xf numFmtId="0" fontId="0" fillId="0" borderId="0" xfId="1" applyNumberFormat="1" applyFont="1"/>
    <xf numFmtId="11" fontId="0" fillId="0" borderId="0" xfId="0" applyNumberFormat="1"/>
    <xf numFmtId="0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00102A"/>
      <color rgb="FF004E60"/>
      <color rgb="FF005041"/>
      <color rgb="FF3A1235"/>
      <color rgb="FF00809E"/>
      <color rgb="FF002B70"/>
      <color rgb="FF0047BB"/>
      <color rgb="FF00B5E2"/>
      <color rgb="FF75246C"/>
      <color rgb="FF00AE8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111209726705136"/>
          <c:y val="3.5891588464031364E-2"/>
          <c:w val="0.69301392117781824"/>
          <c:h val="0.85183951497832233"/>
        </c:manualLayout>
      </c:layout>
      <c:scatterChart>
        <c:scatterStyle val="lineMarker"/>
        <c:varyColors val="0"/>
        <c:ser>
          <c:idx val="0"/>
          <c:order val="0"/>
          <c:tx>
            <c:strRef>
              <c:f>'Plotting Marginal CostsBenefits'!$E$1</c:f>
              <c:strCache>
                <c:ptCount val="1"/>
                <c:pt idx="0">
                  <c:v>Innovation - 500 Mt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'Plotting Marginal CostsBenefits'!$D$2:$D$27</c:f>
              <c:numCache>
                <c:formatCode>"$"#,##0.00_);[Red]\("$"#,##0.00\)</c:formatCode>
                <c:ptCount val="26"/>
                <c:pt idx="0">
                  <c:v>19.507666627389298</c:v>
                </c:pt>
                <c:pt idx="1">
                  <c:v>49.024106181054101</c:v>
                </c:pt>
                <c:pt idx="2">
                  <c:v>30.778911794356603</c:v>
                </c:pt>
                <c:pt idx="3">
                  <c:v>123.20310413121541</c:v>
                </c:pt>
                <c:pt idx="4">
                  <c:v>3.4180807765760002</c:v>
                </c:pt>
                <c:pt idx="5">
                  <c:v>0.97928706998899906</c:v>
                </c:pt>
                <c:pt idx="6">
                  <c:v>6.2991855513266</c:v>
                </c:pt>
                <c:pt idx="7">
                  <c:v>2.0690140113137985</c:v>
                </c:pt>
                <c:pt idx="8">
                  <c:v>2.9827319463466995</c:v>
                </c:pt>
                <c:pt idx="9">
                  <c:v>16.321083694048699</c:v>
                </c:pt>
                <c:pt idx="10">
                  <c:v>297.38680981420038</c:v>
                </c:pt>
                <c:pt idx="11">
                  <c:v>6.3563921801898999</c:v>
                </c:pt>
                <c:pt idx="12">
                  <c:v>20.2996698744101</c:v>
                </c:pt>
                <c:pt idx="13">
                  <c:v>32.373756119478799</c:v>
                </c:pt>
                <c:pt idx="14">
                  <c:v>118.44825738800961</c:v>
                </c:pt>
                <c:pt idx="15">
                  <c:v>43.7023472377834</c:v>
                </c:pt>
                <c:pt idx="16">
                  <c:v>258.09705269067859</c:v>
                </c:pt>
                <c:pt idx="17">
                  <c:v>3.4782184226562003</c:v>
                </c:pt>
                <c:pt idx="18">
                  <c:v>0.97127899051760136</c:v>
                </c:pt>
                <c:pt idx="19">
                  <c:v>6.2458449505176015</c:v>
                </c:pt>
                <c:pt idx="20">
                  <c:v>2.0450444705176016</c:v>
                </c:pt>
                <c:pt idx="21">
                  <c:v>2.9637267405176009</c:v>
                </c:pt>
                <c:pt idx="22">
                  <c:v>16.349541010517601</c:v>
                </c:pt>
                <c:pt idx="23">
                  <c:v>302.97254611755056</c:v>
                </c:pt>
                <c:pt idx="24">
                  <c:v>6.3875267705175993</c:v>
                </c:pt>
                <c:pt idx="25">
                  <c:v>7.4631232878893004</c:v>
                </c:pt>
              </c:numCache>
            </c:numRef>
          </c:xVal>
          <c:yVal>
            <c:numRef>
              <c:f>'Plotting Marginal CostsBenefits'!$E$2:$E$27</c:f>
              <c:numCache>
                <c:formatCode>General</c:formatCode>
                <c:ptCount val="26"/>
                <c:pt idx="4" formatCode="&quot;$&quot;#,##0.00_);[Red]\(&quot;$&quot;#,##0.00\)">
                  <c:v>0.41248126069827401</c:v>
                </c:pt>
                <c:pt idx="5" formatCode="&quot;$&quot;#,##0.00_);[Red]\(&quot;$&quot;#,##0.00\)">
                  <c:v>5.0253693987003301</c:v>
                </c:pt>
                <c:pt idx="6" formatCode="&quot;$&quot;#,##0.00_);[Red]\(&quot;$&quot;#,##0.00\)">
                  <c:v>12.921435586799699</c:v>
                </c:pt>
                <c:pt idx="7" formatCode="&quot;$&quot;#,##0.00_);[Red]\(&quot;$&quot;#,##0.00\)">
                  <c:v>8.0272493380455501</c:v>
                </c:pt>
                <c:pt idx="8" formatCode="&quot;$&quot;#,##0.00_);[Red]\(&quot;$&quot;#,##0.00\)">
                  <c:v>9.3501536406274504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F02-4BEA-8473-035688DC5CEE}"/>
            </c:ext>
          </c:extLst>
        </c:ser>
        <c:ser>
          <c:idx val="1"/>
          <c:order val="1"/>
          <c:tx>
            <c:strRef>
              <c:f>'Plotting Marginal CostsBenefits'!$F$1</c:f>
              <c:strCache>
                <c:ptCount val="1"/>
                <c:pt idx="0">
                  <c:v>Subsidy - 500 Mt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'Plotting Marginal CostsBenefits'!$D$2:$D$27</c:f>
              <c:numCache>
                <c:formatCode>"$"#,##0.00_);[Red]\("$"#,##0.00\)</c:formatCode>
                <c:ptCount val="26"/>
                <c:pt idx="0">
                  <c:v>19.507666627389298</c:v>
                </c:pt>
                <c:pt idx="1">
                  <c:v>49.024106181054101</c:v>
                </c:pt>
                <c:pt idx="2">
                  <c:v>30.778911794356603</c:v>
                </c:pt>
                <c:pt idx="3">
                  <c:v>123.20310413121541</c:v>
                </c:pt>
                <c:pt idx="4">
                  <c:v>3.4180807765760002</c:v>
                </c:pt>
                <c:pt idx="5">
                  <c:v>0.97928706998899906</c:v>
                </c:pt>
                <c:pt idx="6">
                  <c:v>6.2991855513266</c:v>
                </c:pt>
                <c:pt idx="7">
                  <c:v>2.0690140113137985</c:v>
                </c:pt>
                <c:pt idx="8">
                  <c:v>2.9827319463466995</c:v>
                </c:pt>
                <c:pt idx="9">
                  <c:v>16.321083694048699</c:v>
                </c:pt>
                <c:pt idx="10">
                  <c:v>297.38680981420038</c:v>
                </c:pt>
                <c:pt idx="11">
                  <c:v>6.3563921801898999</c:v>
                </c:pt>
                <c:pt idx="12">
                  <c:v>20.2996698744101</c:v>
                </c:pt>
                <c:pt idx="13">
                  <c:v>32.373756119478799</c:v>
                </c:pt>
                <c:pt idx="14">
                  <c:v>118.44825738800961</c:v>
                </c:pt>
                <c:pt idx="15">
                  <c:v>43.7023472377834</c:v>
                </c:pt>
                <c:pt idx="16">
                  <c:v>258.09705269067859</c:v>
                </c:pt>
                <c:pt idx="17">
                  <c:v>3.4782184226562003</c:v>
                </c:pt>
                <c:pt idx="18">
                  <c:v>0.97127899051760136</c:v>
                </c:pt>
                <c:pt idx="19">
                  <c:v>6.2458449505176015</c:v>
                </c:pt>
                <c:pt idx="20">
                  <c:v>2.0450444705176016</c:v>
                </c:pt>
                <c:pt idx="21">
                  <c:v>2.9637267405176009</c:v>
                </c:pt>
                <c:pt idx="22">
                  <c:v>16.349541010517601</c:v>
                </c:pt>
                <c:pt idx="23">
                  <c:v>302.97254611755056</c:v>
                </c:pt>
                <c:pt idx="24">
                  <c:v>6.3875267705175993</c:v>
                </c:pt>
                <c:pt idx="25">
                  <c:v>7.4631232878893004</c:v>
                </c:pt>
              </c:numCache>
            </c:numRef>
          </c:xVal>
          <c:yVal>
            <c:numRef>
              <c:f>'Plotting Marginal CostsBenefits'!$F$2:$F$27</c:f>
              <c:numCache>
                <c:formatCode>"$"#,##0.00_);[Red]\("$"#,##0.00\)</c:formatCode>
                <c:ptCount val="26"/>
                <c:pt idx="0">
                  <c:v>24.009774422884199</c:v>
                </c:pt>
                <c:pt idx="1">
                  <c:v>48.914657028755293</c:v>
                </c:pt>
                <c:pt idx="2">
                  <c:v>18.6341071918974</c:v>
                </c:pt>
                <c:pt idx="3">
                  <c:v>107.357135510147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F02-4BEA-8473-035688DC5CEE}"/>
            </c:ext>
          </c:extLst>
        </c:ser>
        <c:ser>
          <c:idx val="2"/>
          <c:order val="2"/>
          <c:tx>
            <c:strRef>
              <c:f>'Plotting Marginal CostsBenefits'!$G$1</c:f>
              <c:strCache>
                <c:ptCount val="1"/>
                <c:pt idx="0">
                  <c:v>Procurement - 500 Mt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'Plotting Marginal CostsBenefits'!$D$2:$D$27</c:f>
              <c:numCache>
                <c:formatCode>"$"#,##0.00_);[Red]\("$"#,##0.00\)</c:formatCode>
                <c:ptCount val="26"/>
                <c:pt idx="0">
                  <c:v>19.507666627389298</c:v>
                </c:pt>
                <c:pt idx="1">
                  <c:v>49.024106181054101</c:v>
                </c:pt>
                <c:pt idx="2">
                  <c:v>30.778911794356603</c:v>
                </c:pt>
                <c:pt idx="3">
                  <c:v>123.20310413121541</c:v>
                </c:pt>
                <c:pt idx="4">
                  <c:v>3.4180807765760002</c:v>
                </c:pt>
                <c:pt idx="5">
                  <c:v>0.97928706998899906</c:v>
                </c:pt>
                <c:pt idx="6">
                  <c:v>6.2991855513266</c:v>
                </c:pt>
                <c:pt idx="7">
                  <c:v>2.0690140113137985</c:v>
                </c:pt>
                <c:pt idx="8">
                  <c:v>2.9827319463466995</c:v>
                </c:pt>
                <c:pt idx="9">
                  <c:v>16.321083694048699</c:v>
                </c:pt>
                <c:pt idx="10">
                  <c:v>297.38680981420038</c:v>
                </c:pt>
                <c:pt idx="11">
                  <c:v>6.3563921801898999</c:v>
                </c:pt>
                <c:pt idx="12">
                  <c:v>20.2996698744101</c:v>
                </c:pt>
                <c:pt idx="13">
                  <c:v>32.373756119478799</c:v>
                </c:pt>
                <c:pt idx="14">
                  <c:v>118.44825738800961</c:v>
                </c:pt>
                <c:pt idx="15">
                  <c:v>43.7023472377834</c:v>
                </c:pt>
                <c:pt idx="16">
                  <c:v>258.09705269067859</c:v>
                </c:pt>
                <c:pt idx="17">
                  <c:v>3.4782184226562003</c:v>
                </c:pt>
                <c:pt idx="18">
                  <c:v>0.97127899051760136</c:v>
                </c:pt>
                <c:pt idx="19">
                  <c:v>6.2458449505176015</c:v>
                </c:pt>
                <c:pt idx="20">
                  <c:v>2.0450444705176016</c:v>
                </c:pt>
                <c:pt idx="21">
                  <c:v>2.9637267405176009</c:v>
                </c:pt>
                <c:pt idx="22">
                  <c:v>16.349541010517601</c:v>
                </c:pt>
                <c:pt idx="23">
                  <c:v>302.97254611755056</c:v>
                </c:pt>
                <c:pt idx="24">
                  <c:v>6.3875267705175993</c:v>
                </c:pt>
                <c:pt idx="25">
                  <c:v>7.4631232878893004</c:v>
                </c:pt>
              </c:numCache>
            </c:numRef>
          </c:xVal>
          <c:yVal>
            <c:numRef>
              <c:f>'Plotting Marginal CostsBenefits'!$G$2:$G$27</c:f>
              <c:numCache>
                <c:formatCode>General</c:formatCode>
                <c:ptCount val="26"/>
                <c:pt idx="9" formatCode="&quot;$&quot;#,##0.00_);[Red]\(&quot;$&quot;#,##0.00\)">
                  <c:v>10.7175437780061</c:v>
                </c:pt>
                <c:pt idx="10" formatCode="&quot;$&quot;#,##0.00_);[Red]\(&quot;$&quot;#,##0.00\)">
                  <c:v>43.6877465457071</c:v>
                </c:pt>
                <c:pt idx="11" formatCode="&quot;$&quot;#,##0.00_);[Red]\(&quot;$&quot;#,##0.00\)">
                  <c:v>6.6404507534377402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F02-4BEA-8473-035688DC5CEE}"/>
            </c:ext>
          </c:extLst>
        </c:ser>
        <c:ser>
          <c:idx val="3"/>
          <c:order val="3"/>
          <c:tx>
            <c:strRef>
              <c:f>'Plotting Marginal CostsBenefits'!$H$1</c:f>
              <c:strCache>
                <c:ptCount val="1"/>
                <c:pt idx="0">
                  <c:v>Optimal - 500 Mt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'Plotting Marginal CostsBenefits'!$D$2:$D$27</c:f>
              <c:numCache>
                <c:formatCode>"$"#,##0.00_);[Red]\("$"#,##0.00\)</c:formatCode>
                <c:ptCount val="26"/>
                <c:pt idx="0">
                  <c:v>19.507666627389298</c:v>
                </c:pt>
                <c:pt idx="1">
                  <c:v>49.024106181054101</c:v>
                </c:pt>
                <c:pt idx="2">
                  <c:v>30.778911794356603</c:v>
                </c:pt>
                <c:pt idx="3">
                  <c:v>123.20310413121541</c:v>
                </c:pt>
                <c:pt idx="4">
                  <c:v>3.4180807765760002</c:v>
                </c:pt>
                <c:pt idx="5">
                  <c:v>0.97928706998899906</c:v>
                </c:pt>
                <c:pt idx="6">
                  <c:v>6.2991855513266</c:v>
                </c:pt>
                <c:pt idx="7">
                  <c:v>2.0690140113137985</c:v>
                </c:pt>
                <c:pt idx="8">
                  <c:v>2.9827319463466995</c:v>
                </c:pt>
                <c:pt idx="9">
                  <c:v>16.321083694048699</c:v>
                </c:pt>
                <c:pt idx="10">
                  <c:v>297.38680981420038</c:v>
                </c:pt>
                <c:pt idx="11">
                  <c:v>6.3563921801898999</c:v>
                </c:pt>
                <c:pt idx="12">
                  <c:v>20.2996698744101</c:v>
                </c:pt>
                <c:pt idx="13">
                  <c:v>32.373756119478799</c:v>
                </c:pt>
                <c:pt idx="14">
                  <c:v>118.44825738800961</c:v>
                </c:pt>
                <c:pt idx="15">
                  <c:v>43.7023472377834</c:v>
                </c:pt>
                <c:pt idx="16">
                  <c:v>258.09705269067859</c:v>
                </c:pt>
                <c:pt idx="17">
                  <c:v>3.4782184226562003</c:v>
                </c:pt>
                <c:pt idx="18">
                  <c:v>0.97127899051760136</c:v>
                </c:pt>
                <c:pt idx="19">
                  <c:v>6.2458449505176015</c:v>
                </c:pt>
                <c:pt idx="20">
                  <c:v>2.0450444705176016</c:v>
                </c:pt>
                <c:pt idx="21">
                  <c:v>2.9637267405176009</c:v>
                </c:pt>
                <c:pt idx="22">
                  <c:v>16.349541010517601</c:v>
                </c:pt>
                <c:pt idx="23">
                  <c:v>302.97254611755056</c:v>
                </c:pt>
                <c:pt idx="24">
                  <c:v>6.3875267705175993</c:v>
                </c:pt>
                <c:pt idx="25">
                  <c:v>7.4631232878893004</c:v>
                </c:pt>
              </c:numCache>
            </c:numRef>
          </c:xVal>
          <c:yVal>
            <c:numRef>
              <c:f>'Plotting Marginal CostsBenefits'!$H$2:$H$27</c:f>
              <c:numCache>
                <c:formatCode>General</c:formatCode>
                <c:ptCount val="26"/>
                <c:pt idx="12" formatCode="&quot;$&quot;#,##0.00_);[Red]\(&quot;$&quot;#,##0.00\)">
                  <c:v>29.063628096181301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F02-4BEA-8473-035688DC5CEE}"/>
            </c:ext>
          </c:extLst>
        </c:ser>
        <c:ser>
          <c:idx val="5"/>
          <c:order val="4"/>
          <c:tx>
            <c:strRef>
              <c:f>'Plotting Marginal CostsBenefits'!$I$1</c:f>
              <c:strCache>
                <c:ptCount val="1"/>
                <c:pt idx="0">
                  <c:v>Innovation - 1.5 Gt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5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'Plotting Marginal CostsBenefits'!$D$2:$D$27</c:f>
              <c:numCache>
                <c:formatCode>"$"#,##0.00_);[Red]\("$"#,##0.00\)</c:formatCode>
                <c:ptCount val="26"/>
                <c:pt idx="0">
                  <c:v>19.507666627389298</c:v>
                </c:pt>
                <c:pt idx="1">
                  <c:v>49.024106181054101</c:v>
                </c:pt>
                <c:pt idx="2">
                  <c:v>30.778911794356603</c:v>
                </c:pt>
                <c:pt idx="3">
                  <c:v>123.20310413121541</c:v>
                </c:pt>
                <c:pt idx="4">
                  <c:v>3.4180807765760002</c:v>
                </c:pt>
                <c:pt idx="5">
                  <c:v>0.97928706998899906</c:v>
                </c:pt>
                <c:pt idx="6">
                  <c:v>6.2991855513266</c:v>
                </c:pt>
                <c:pt idx="7">
                  <c:v>2.0690140113137985</c:v>
                </c:pt>
                <c:pt idx="8">
                  <c:v>2.9827319463466995</c:v>
                </c:pt>
                <c:pt idx="9">
                  <c:v>16.321083694048699</c:v>
                </c:pt>
                <c:pt idx="10">
                  <c:v>297.38680981420038</c:v>
                </c:pt>
                <c:pt idx="11">
                  <c:v>6.3563921801898999</c:v>
                </c:pt>
                <c:pt idx="12">
                  <c:v>20.2996698744101</c:v>
                </c:pt>
                <c:pt idx="13">
                  <c:v>32.373756119478799</c:v>
                </c:pt>
                <c:pt idx="14">
                  <c:v>118.44825738800961</c:v>
                </c:pt>
                <c:pt idx="15">
                  <c:v>43.7023472377834</c:v>
                </c:pt>
                <c:pt idx="16">
                  <c:v>258.09705269067859</c:v>
                </c:pt>
                <c:pt idx="17">
                  <c:v>3.4782184226562003</c:v>
                </c:pt>
                <c:pt idx="18">
                  <c:v>0.97127899051760136</c:v>
                </c:pt>
                <c:pt idx="19">
                  <c:v>6.2458449505176015</c:v>
                </c:pt>
                <c:pt idx="20">
                  <c:v>2.0450444705176016</c:v>
                </c:pt>
                <c:pt idx="21">
                  <c:v>2.9637267405176009</c:v>
                </c:pt>
                <c:pt idx="22">
                  <c:v>16.349541010517601</c:v>
                </c:pt>
                <c:pt idx="23">
                  <c:v>302.97254611755056</c:v>
                </c:pt>
                <c:pt idx="24">
                  <c:v>6.3875267705175993</c:v>
                </c:pt>
                <c:pt idx="25">
                  <c:v>7.4631232878893004</c:v>
                </c:pt>
              </c:numCache>
            </c:numRef>
          </c:xVal>
          <c:yVal>
            <c:numRef>
              <c:f>'Plotting Marginal CostsBenefits'!$I$2:$I$27</c:f>
              <c:numCache>
                <c:formatCode>General</c:formatCode>
                <c:ptCount val="26"/>
                <c:pt idx="17" formatCode="&quot;$&quot;#,##0.00_);[Red]\(&quot;$&quot;#,##0.00\)">
                  <c:v>0.8791931619102249</c:v>
                </c:pt>
                <c:pt idx="18" formatCode="&quot;$&quot;#,##0.00_);[Red]\(&quot;$&quot;#,##0.00\)">
                  <c:v>8.6747509489999999</c:v>
                </c:pt>
                <c:pt idx="19" formatCode="&quot;$&quot;#,##0.00_);[Red]\(&quot;$&quot;#,##0.00\)">
                  <c:v>21.894339179999999</c:v>
                </c:pt>
                <c:pt idx="20" formatCode="&quot;$&quot;#,##0.00_);[Red]\(&quot;$&quot;#,##0.00\)">
                  <c:v>13.872357640000001</c:v>
                </c:pt>
                <c:pt idx="21" formatCode="&quot;$&quot;#,##0.00_);[Red]\(&quot;$&quot;#,##0.00\)">
                  <c:v>15.910768729999999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F02-4BEA-8473-035688DC5CEE}"/>
            </c:ext>
          </c:extLst>
        </c:ser>
        <c:ser>
          <c:idx val="6"/>
          <c:order val="5"/>
          <c:tx>
            <c:strRef>
              <c:f>'Plotting Marginal CostsBenefits'!$J$1</c:f>
              <c:strCache>
                <c:ptCount val="1"/>
                <c:pt idx="0">
                  <c:v>Subsidy - 1.5 Gt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5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'Plotting Marginal CostsBenefits'!$D$2:$D$27</c:f>
              <c:numCache>
                <c:formatCode>"$"#,##0.00_);[Red]\("$"#,##0.00\)</c:formatCode>
                <c:ptCount val="26"/>
                <c:pt idx="0">
                  <c:v>19.507666627389298</c:v>
                </c:pt>
                <c:pt idx="1">
                  <c:v>49.024106181054101</c:v>
                </c:pt>
                <c:pt idx="2">
                  <c:v>30.778911794356603</c:v>
                </c:pt>
                <c:pt idx="3">
                  <c:v>123.20310413121541</c:v>
                </c:pt>
                <c:pt idx="4">
                  <c:v>3.4180807765760002</c:v>
                </c:pt>
                <c:pt idx="5">
                  <c:v>0.97928706998899906</c:v>
                </c:pt>
                <c:pt idx="6">
                  <c:v>6.2991855513266</c:v>
                </c:pt>
                <c:pt idx="7">
                  <c:v>2.0690140113137985</c:v>
                </c:pt>
                <c:pt idx="8">
                  <c:v>2.9827319463466995</c:v>
                </c:pt>
                <c:pt idx="9">
                  <c:v>16.321083694048699</c:v>
                </c:pt>
                <c:pt idx="10">
                  <c:v>297.38680981420038</c:v>
                </c:pt>
                <c:pt idx="11">
                  <c:v>6.3563921801898999</c:v>
                </c:pt>
                <c:pt idx="12">
                  <c:v>20.2996698744101</c:v>
                </c:pt>
                <c:pt idx="13">
                  <c:v>32.373756119478799</c:v>
                </c:pt>
                <c:pt idx="14">
                  <c:v>118.44825738800961</c:v>
                </c:pt>
                <c:pt idx="15">
                  <c:v>43.7023472377834</c:v>
                </c:pt>
                <c:pt idx="16">
                  <c:v>258.09705269067859</c:v>
                </c:pt>
                <c:pt idx="17">
                  <c:v>3.4782184226562003</c:v>
                </c:pt>
                <c:pt idx="18">
                  <c:v>0.97127899051760136</c:v>
                </c:pt>
                <c:pt idx="19">
                  <c:v>6.2458449505176015</c:v>
                </c:pt>
                <c:pt idx="20">
                  <c:v>2.0450444705176016</c:v>
                </c:pt>
                <c:pt idx="21">
                  <c:v>2.9637267405176009</c:v>
                </c:pt>
                <c:pt idx="22">
                  <c:v>16.349541010517601</c:v>
                </c:pt>
                <c:pt idx="23">
                  <c:v>302.97254611755056</c:v>
                </c:pt>
                <c:pt idx="24">
                  <c:v>6.3875267705175993</c:v>
                </c:pt>
                <c:pt idx="25">
                  <c:v>7.4631232878893004</c:v>
                </c:pt>
              </c:numCache>
            </c:numRef>
          </c:xVal>
          <c:yVal>
            <c:numRef>
              <c:f>'Plotting Marginal CostsBenefits'!$J$2:$J$27</c:f>
              <c:numCache>
                <c:formatCode>General</c:formatCode>
                <c:ptCount val="26"/>
                <c:pt idx="13" formatCode="&quot;$&quot;#,##0.00_);[Red]\(&quot;$&quot;#,##0.00\)">
                  <c:v>44.358724472512797</c:v>
                </c:pt>
                <c:pt idx="14" formatCode="&quot;$&quot;#,##0.00_);[Red]\(&quot;$&quot;#,##0.00\)">
                  <c:v>118.63645174144401</c:v>
                </c:pt>
                <c:pt idx="15" formatCode="&quot;$&quot;#,##0.00_);[Red]\(&quot;$&quot;#,##0.00\)">
                  <c:v>26.414789086624101</c:v>
                </c:pt>
                <c:pt idx="16" formatCode="&quot;$&quot;#,##0.00_);[Red]\(&quot;$&quot;#,##0.00\)">
                  <c:v>244.02110904411501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F02-4BEA-8473-035688DC5CEE}"/>
            </c:ext>
          </c:extLst>
        </c:ser>
        <c:ser>
          <c:idx val="7"/>
          <c:order val="6"/>
          <c:tx>
            <c:strRef>
              <c:f>'Plotting Marginal CostsBenefits'!$K$1</c:f>
              <c:strCache>
                <c:ptCount val="1"/>
                <c:pt idx="0">
                  <c:v>Procurement - 1.5 Gt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5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'Plotting Marginal CostsBenefits'!$D$2:$D$27</c:f>
              <c:numCache>
                <c:formatCode>"$"#,##0.00_);[Red]\("$"#,##0.00\)</c:formatCode>
                <c:ptCount val="26"/>
                <c:pt idx="0">
                  <c:v>19.507666627389298</c:v>
                </c:pt>
                <c:pt idx="1">
                  <c:v>49.024106181054101</c:v>
                </c:pt>
                <c:pt idx="2">
                  <c:v>30.778911794356603</c:v>
                </c:pt>
                <c:pt idx="3">
                  <c:v>123.20310413121541</c:v>
                </c:pt>
                <c:pt idx="4">
                  <c:v>3.4180807765760002</c:v>
                </c:pt>
                <c:pt idx="5">
                  <c:v>0.97928706998899906</c:v>
                </c:pt>
                <c:pt idx="6">
                  <c:v>6.2991855513266</c:v>
                </c:pt>
                <c:pt idx="7">
                  <c:v>2.0690140113137985</c:v>
                </c:pt>
                <c:pt idx="8">
                  <c:v>2.9827319463466995</c:v>
                </c:pt>
                <c:pt idx="9">
                  <c:v>16.321083694048699</c:v>
                </c:pt>
                <c:pt idx="10">
                  <c:v>297.38680981420038</c:v>
                </c:pt>
                <c:pt idx="11">
                  <c:v>6.3563921801898999</c:v>
                </c:pt>
                <c:pt idx="12">
                  <c:v>20.2996698744101</c:v>
                </c:pt>
                <c:pt idx="13">
                  <c:v>32.373756119478799</c:v>
                </c:pt>
                <c:pt idx="14">
                  <c:v>118.44825738800961</c:v>
                </c:pt>
                <c:pt idx="15">
                  <c:v>43.7023472377834</c:v>
                </c:pt>
                <c:pt idx="16">
                  <c:v>258.09705269067859</c:v>
                </c:pt>
                <c:pt idx="17">
                  <c:v>3.4782184226562003</c:v>
                </c:pt>
                <c:pt idx="18">
                  <c:v>0.97127899051760136</c:v>
                </c:pt>
                <c:pt idx="19">
                  <c:v>6.2458449505176015</c:v>
                </c:pt>
                <c:pt idx="20">
                  <c:v>2.0450444705176016</c:v>
                </c:pt>
                <c:pt idx="21">
                  <c:v>2.9637267405176009</c:v>
                </c:pt>
                <c:pt idx="22">
                  <c:v>16.349541010517601</c:v>
                </c:pt>
                <c:pt idx="23">
                  <c:v>302.97254611755056</c:v>
                </c:pt>
                <c:pt idx="24">
                  <c:v>6.3875267705175993</c:v>
                </c:pt>
                <c:pt idx="25">
                  <c:v>7.4631232878893004</c:v>
                </c:pt>
              </c:numCache>
            </c:numRef>
          </c:xVal>
          <c:yVal>
            <c:numRef>
              <c:f>'Plotting Marginal CostsBenefits'!$K$2:$K$27</c:f>
              <c:numCache>
                <c:formatCode>General</c:formatCode>
                <c:ptCount val="26"/>
                <c:pt idx="22" formatCode="&quot;$&quot;#,##0.00_);[Red]\(&quot;$&quot;#,##0.00\)">
                  <c:v>16.549278579999999</c:v>
                </c:pt>
                <c:pt idx="23" formatCode="&quot;$&quot;#,##0.00_);[Red]\(&quot;$&quot;#,##0.00\)">
                  <c:v>50.271576977978299</c:v>
                </c:pt>
                <c:pt idx="24" formatCode="&quot;$&quot;#,##0.00_);[Red]\(&quot;$&quot;#,##0.00\)">
                  <c:v>11.192743119999999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F02-4BEA-8473-035688DC5CEE}"/>
            </c:ext>
          </c:extLst>
        </c:ser>
        <c:ser>
          <c:idx val="8"/>
          <c:order val="7"/>
          <c:tx>
            <c:strRef>
              <c:f>'Plotting Marginal CostsBenefits'!$L$1</c:f>
              <c:strCache>
                <c:ptCount val="1"/>
                <c:pt idx="0">
                  <c:v>Optimal - 1.5 Gt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5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'Plotting Marginal CostsBenefits'!$D$2:$D$27</c:f>
              <c:numCache>
                <c:formatCode>"$"#,##0.00_);[Red]\("$"#,##0.00\)</c:formatCode>
                <c:ptCount val="26"/>
                <c:pt idx="0">
                  <c:v>19.507666627389298</c:v>
                </c:pt>
                <c:pt idx="1">
                  <c:v>49.024106181054101</c:v>
                </c:pt>
                <c:pt idx="2">
                  <c:v>30.778911794356603</c:v>
                </c:pt>
                <c:pt idx="3">
                  <c:v>123.20310413121541</c:v>
                </c:pt>
                <c:pt idx="4">
                  <c:v>3.4180807765760002</c:v>
                </c:pt>
                <c:pt idx="5">
                  <c:v>0.97928706998899906</c:v>
                </c:pt>
                <c:pt idx="6">
                  <c:v>6.2991855513266</c:v>
                </c:pt>
                <c:pt idx="7">
                  <c:v>2.0690140113137985</c:v>
                </c:pt>
                <c:pt idx="8">
                  <c:v>2.9827319463466995</c:v>
                </c:pt>
                <c:pt idx="9">
                  <c:v>16.321083694048699</c:v>
                </c:pt>
                <c:pt idx="10">
                  <c:v>297.38680981420038</c:v>
                </c:pt>
                <c:pt idx="11">
                  <c:v>6.3563921801898999</c:v>
                </c:pt>
                <c:pt idx="12">
                  <c:v>20.2996698744101</c:v>
                </c:pt>
                <c:pt idx="13">
                  <c:v>32.373756119478799</c:v>
                </c:pt>
                <c:pt idx="14">
                  <c:v>118.44825738800961</c:v>
                </c:pt>
                <c:pt idx="15">
                  <c:v>43.7023472377834</c:v>
                </c:pt>
                <c:pt idx="16">
                  <c:v>258.09705269067859</c:v>
                </c:pt>
                <c:pt idx="17">
                  <c:v>3.4782184226562003</c:v>
                </c:pt>
                <c:pt idx="18">
                  <c:v>0.97127899051760136</c:v>
                </c:pt>
                <c:pt idx="19">
                  <c:v>6.2458449505176015</c:v>
                </c:pt>
                <c:pt idx="20">
                  <c:v>2.0450444705176016</c:v>
                </c:pt>
                <c:pt idx="21">
                  <c:v>2.9637267405176009</c:v>
                </c:pt>
                <c:pt idx="22">
                  <c:v>16.349541010517601</c:v>
                </c:pt>
                <c:pt idx="23">
                  <c:v>302.97254611755056</c:v>
                </c:pt>
                <c:pt idx="24">
                  <c:v>6.3875267705175993</c:v>
                </c:pt>
                <c:pt idx="25">
                  <c:v>7.4631232878893004</c:v>
                </c:pt>
              </c:numCache>
            </c:numRef>
          </c:xVal>
          <c:yVal>
            <c:numRef>
              <c:f>'Plotting Marginal CostsBenefits'!$L$2:$L$27</c:f>
              <c:numCache>
                <c:formatCode>General</c:formatCode>
                <c:ptCount val="26"/>
                <c:pt idx="25" formatCode="&quot;$&quot;#,##0.00_);[Red]\(&quot;$&quot;#,##0.00\)">
                  <c:v>20.872627605884098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F02-4BEA-8473-035688DC5C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8358192"/>
        <c:axId val="688359152"/>
      </c:scatterChart>
      <c:valAx>
        <c:axId val="688358192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bg2">
                        <a:lumMod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400" b="0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Costs (Billion $ NPV)</a:t>
                </a:r>
              </a:p>
            </c:rich>
          </c:tx>
          <c:layout>
            <c:manualLayout>
              <c:xMode val="edge"/>
              <c:yMode val="edge"/>
              <c:x val="0.2957181115719314"/>
              <c:y val="0.9400186800161075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bg2">
                      <a:lumMod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&quot;$&quot;#,##0_);[Red]\(&quot;$&quot;#,##0\)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bg2">
                <a:lumMod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bg2">
                    <a:lumMod val="2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88359152"/>
        <c:crossesAt val="-50"/>
        <c:crossBetween val="midCat"/>
      </c:valAx>
      <c:valAx>
        <c:axId val="688359152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0" i="0" u="none" strike="noStrike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Benefits (Billion $ NPV)</a:t>
                </a:r>
              </a:p>
            </c:rich>
          </c:tx>
          <c:layout>
            <c:manualLayout>
              <c:xMode val="edge"/>
              <c:yMode val="edge"/>
              <c:x val="4.4969831580597853E-3"/>
              <c:y val="0.3104262643222279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0"/>
        <c:majorTickMark val="in"/>
        <c:minorTickMark val="none"/>
        <c:tickLblPos val="low"/>
        <c:spPr>
          <a:noFill/>
          <a:ln w="9525" cap="flat" cmpd="sng" algn="ctr">
            <a:solidFill>
              <a:schemeClr val="bg2">
                <a:lumMod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t" anchorCtr="0"/>
          <a:lstStyle/>
          <a:p>
            <a:pPr>
              <a:defRPr sz="1200" b="0" i="0" u="none" strike="noStrike" kern="1200" baseline="0">
                <a:solidFill>
                  <a:schemeClr val="bg2">
                    <a:lumMod val="2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88358192"/>
        <c:crossesAt val="-10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4256139844419397"/>
          <c:y val="1.3046551451615566E-2"/>
          <c:w val="0.71286676951640582"/>
          <c:h val="0.11825775520630949"/>
        </c:manualLayout>
      </c:layout>
      <c:overlay val="0"/>
      <c:spPr>
        <a:solidFill>
          <a:schemeClr val="bg1">
            <a:alpha val="50000"/>
          </a:schemeClr>
        </a:solidFill>
        <a:ln>
          <a:solidFill>
            <a:schemeClr val="bg2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bg2">
                  <a:lumMod val="2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617497240267445"/>
          <c:y val="3.5891588464031364E-2"/>
          <c:w val="0.67262636206772464"/>
          <c:h val="0.85183951497832233"/>
        </c:manualLayout>
      </c:layout>
      <c:scatterChart>
        <c:scatterStyle val="lineMarker"/>
        <c:varyColors val="0"/>
        <c:ser>
          <c:idx val="0"/>
          <c:order val="0"/>
          <c:tx>
            <c:strRef>
              <c:f>'Plotting Marginal CostsBenefits'!$E$1</c:f>
              <c:strCache>
                <c:ptCount val="1"/>
                <c:pt idx="0">
                  <c:v>Innovation - 500 Mt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'Plotting Marginal CostsBenefits'!$D$32:$D$57</c:f>
              <c:numCache>
                <c:formatCode>"$"#,##0.00_);[Red]\("$"#,##0.00\)</c:formatCode>
                <c:ptCount val="26"/>
                <c:pt idx="0">
                  <c:v>55.215053146678599</c:v>
                </c:pt>
                <c:pt idx="1">
                  <c:v>272.17378966586114</c:v>
                </c:pt>
                <c:pt idx="2">
                  <c:v>60.824649079375007</c:v>
                </c:pt>
                <c:pt idx="3">
                  <c:v>630.34279779581107</c:v>
                </c:pt>
                <c:pt idx="4">
                  <c:v>4.1262415688571004</c:v>
                </c:pt>
                <c:pt idx="5">
                  <c:v>2.3370840578976004</c:v>
                </c:pt>
                <c:pt idx="6">
                  <c:v>14.708132878070801</c:v>
                </c:pt>
                <c:pt idx="7">
                  <c:v>4.8598610157378985</c:v>
                </c:pt>
                <c:pt idx="8">
                  <c:v>7.0714240773678014</c:v>
                </c:pt>
                <c:pt idx="9">
                  <c:v>27.844316551196702</c:v>
                </c:pt>
                <c:pt idx="10">
                  <c:v>1176.2483637984021</c:v>
                </c:pt>
                <c:pt idx="11">
                  <c:v>11.354460030213499</c:v>
                </c:pt>
                <c:pt idx="12">
                  <c:v>56.978455524179303</c:v>
                </c:pt>
                <c:pt idx="13">
                  <c:v>94.455205551250813</c:v>
                </c:pt>
                <c:pt idx="14">
                  <c:v>749.14981794569087</c:v>
                </c:pt>
                <c:pt idx="15">
                  <c:v>87.081623661185802</c:v>
                </c:pt>
                <c:pt idx="16">
                  <c:v>1470.3129361080937</c:v>
                </c:pt>
                <c:pt idx="17">
                  <c:v>4.2101375662191982</c:v>
                </c:pt>
                <c:pt idx="18">
                  <c:v>2.325912385023801</c:v>
                </c:pt>
                <c:pt idx="19">
                  <c:v>14.633717565023801</c:v>
                </c:pt>
                <c:pt idx="20">
                  <c:v>4.8264201050237991</c:v>
                </c:pt>
                <c:pt idx="21">
                  <c:v>7.0449094950238011</c:v>
                </c:pt>
                <c:pt idx="22">
                  <c:v>27.911243325023797</c:v>
                </c:pt>
                <c:pt idx="23">
                  <c:v>1207.1386077176137</c:v>
                </c:pt>
                <c:pt idx="24">
                  <c:v>11.419991415023802</c:v>
                </c:pt>
                <c:pt idx="25">
                  <c:v>13.903174194054902</c:v>
                </c:pt>
              </c:numCache>
            </c:numRef>
          </c:xVal>
          <c:yVal>
            <c:numRef>
              <c:f>'Plotting Marginal CostsBenefits'!$E$32:$E$57</c:f>
              <c:numCache>
                <c:formatCode>General</c:formatCode>
                <c:ptCount val="26"/>
                <c:pt idx="4" formatCode="&quot;$&quot;#,##0.00_);[Red]\(&quot;$&quot;#,##0.00\)">
                  <c:v>0.62911242305952997</c:v>
                </c:pt>
                <c:pt idx="5" formatCode="&quot;$&quot;#,##0.00_);[Red]\(&quot;$&quot;#,##0.00\)">
                  <c:v>24.1876785360786</c:v>
                </c:pt>
                <c:pt idx="6" formatCode="&quot;$&quot;#,##0.00_);[Red]\(&quot;$&quot;#,##0.00\)">
                  <c:v>58.217953069988795</c:v>
                </c:pt>
                <c:pt idx="7" formatCode="&quot;$&quot;#,##0.00_);[Red]\(&quot;$&quot;#,##0.00\)">
                  <c:v>36.532335702793603</c:v>
                </c:pt>
                <c:pt idx="8" formatCode="&quot;$&quot;#,##0.00_);[Red]\(&quot;$&quot;#,##0.00\)">
                  <c:v>43.040120277630102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F0B-4289-9AA8-700F5A538146}"/>
            </c:ext>
          </c:extLst>
        </c:ser>
        <c:ser>
          <c:idx val="1"/>
          <c:order val="1"/>
          <c:tx>
            <c:strRef>
              <c:f>'Plotting Marginal CostsBenefits'!$F$1</c:f>
              <c:strCache>
                <c:ptCount val="1"/>
                <c:pt idx="0">
                  <c:v>Subsidy - 500 Mt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'Plotting Marginal CostsBenefits'!$D$32:$D$57</c:f>
              <c:numCache>
                <c:formatCode>"$"#,##0.00_);[Red]\("$"#,##0.00\)</c:formatCode>
                <c:ptCount val="26"/>
                <c:pt idx="0">
                  <c:v>55.215053146678599</c:v>
                </c:pt>
                <c:pt idx="1">
                  <c:v>272.17378966586114</c:v>
                </c:pt>
                <c:pt idx="2">
                  <c:v>60.824649079375007</c:v>
                </c:pt>
                <c:pt idx="3">
                  <c:v>630.34279779581107</c:v>
                </c:pt>
                <c:pt idx="4">
                  <c:v>4.1262415688571004</c:v>
                </c:pt>
                <c:pt idx="5">
                  <c:v>2.3370840578976004</c:v>
                </c:pt>
                <c:pt idx="6">
                  <c:v>14.708132878070801</c:v>
                </c:pt>
                <c:pt idx="7">
                  <c:v>4.8598610157378985</c:v>
                </c:pt>
                <c:pt idx="8">
                  <c:v>7.0714240773678014</c:v>
                </c:pt>
                <c:pt idx="9">
                  <c:v>27.844316551196702</c:v>
                </c:pt>
                <c:pt idx="10">
                  <c:v>1176.2483637984021</c:v>
                </c:pt>
                <c:pt idx="11">
                  <c:v>11.354460030213499</c:v>
                </c:pt>
                <c:pt idx="12">
                  <c:v>56.978455524179303</c:v>
                </c:pt>
                <c:pt idx="13">
                  <c:v>94.455205551250813</c:v>
                </c:pt>
                <c:pt idx="14">
                  <c:v>749.14981794569087</c:v>
                </c:pt>
                <c:pt idx="15">
                  <c:v>87.081623661185802</c:v>
                </c:pt>
                <c:pt idx="16">
                  <c:v>1470.3129361080937</c:v>
                </c:pt>
                <c:pt idx="17">
                  <c:v>4.2101375662191982</c:v>
                </c:pt>
                <c:pt idx="18">
                  <c:v>2.325912385023801</c:v>
                </c:pt>
                <c:pt idx="19">
                  <c:v>14.633717565023801</c:v>
                </c:pt>
                <c:pt idx="20">
                  <c:v>4.8264201050237991</c:v>
                </c:pt>
                <c:pt idx="21">
                  <c:v>7.0449094950238011</c:v>
                </c:pt>
                <c:pt idx="22">
                  <c:v>27.911243325023797</c:v>
                </c:pt>
                <c:pt idx="23">
                  <c:v>1207.1386077176137</c:v>
                </c:pt>
                <c:pt idx="24">
                  <c:v>11.419991415023802</c:v>
                </c:pt>
                <c:pt idx="25">
                  <c:v>13.903174194054902</c:v>
                </c:pt>
              </c:numCache>
            </c:numRef>
          </c:xVal>
          <c:yVal>
            <c:numRef>
              <c:f>'Plotting Marginal CostsBenefits'!$F$32:$F$57</c:f>
              <c:numCache>
                <c:formatCode>"$"#,##0.00_);[Red]\("$"#,##0.00\)</c:formatCode>
                <c:ptCount val="26"/>
                <c:pt idx="0">
                  <c:v>87.041623714157296</c:v>
                </c:pt>
                <c:pt idx="1">
                  <c:v>277.18941464709002</c:v>
                </c:pt>
                <c:pt idx="2">
                  <c:v>52.7127567252818</c:v>
                </c:pt>
                <c:pt idx="3">
                  <c:v>568.35747058677691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F0B-4289-9AA8-700F5A538146}"/>
            </c:ext>
          </c:extLst>
        </c:ser>
        <c:ser>
          <c:idx val="2"/>
          <c:order val="2"/>
          <c:tx>
            <c:strRef>
              <c:f>'Plotting Marginal CostsBenefits'!$G$1</c:f>
              <c:strCache>
                <c:ptCount val="1"/>
                <c:pt idx="0">
                  <c:v>Procurement - 500 Mt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'Plotting Marginal CostsBenefits'!$D$32:$D$57</c:f>
              <c:numCache>
                <c:formatCode>"$"#,##0.00_);[Red]\("$"#,##0.00\)</c:formatCode>
                <c:ptCount val="26"/>
                <c:pt idx="0">
                  <c:v>55.215053146678599</c:v>
                </c:pt>
                <c:pt idx="1">
                  <c:v>272.17378966586114</c:v>
                </c:pt>
                <c:pt idx="2">
                  <c:v>60.824649079375007</c:v>
                </c:pt>
                <c:pt idx="3">
                  <c:v>630.34279779581107</c:v>
                </c:pt>
                <c:pt idx="4">
                  <c:v>4.1262415688571004</c:v>
                </c:pt>
                <c:pt idx="5">
                  <c:v>2.3370840578976004</c:v>
                </c:pt>
                <c:pt idx="6">
                  <c:v>14.708132878070801</c:v>
                </c:pt>
                <c:pt idx="7">
                  <c:v>4.8598610157378985</c:v>
                </c:pt>
                <c:pt idx="8">
                  <c:v>7.0714240773678014</c:v>
                </c:pt>
                <c:pt idx="9">
                  <c:v>27.844316551196702</c:v>
                </c:pt>
                <c:pt idx="10">
                  <c:v>1176.2483637984021</c:v>
                </c:pt>
                <c:pt idx="11">
                  <c:v>11.354460030213499</c:v>
                </c:pt>
                <c:pt idx="12">
                  <c:v>56.978455524179303</c:v>
                </c:pt>
                <c:pt idx="13">
                  <c:v>94.455205551250813</c:v>
                </c:pt>
                <c:pt idx="14">
                  <c:v>749.14981794569087</c:v>
                </c:pt>
                <c:pt idx="15">
                  <c:v>87.081623661185802</c:v>
                </c:pt>
                <c:pt idx="16">
                  <c:v>1470.3129361080937</c:v>
                </c:pt>
                <c:pt idx="17">
                  <c:v>4.2101375662191982</c:v>
                </c:pt>
                <c:pt idx="18">
                  <c:v>2.325912385023801</c:v>
                </c:pt>
                <c:pt idx="19">
                  <c:v>14.633717565023801</c:v>
                </c:pt>
                <c:pt idx="20">
                  <c:v>4.8264201050237991</c:v>
                </c:pt>
                <c:pt idx="21">
                  <c:v>7.0449094950238011</c:v>
                </c:pt>
                <c:pt idx="22">
                  <c:v>27.911243325023797</c:v>
                </c:pt>
                <c:pt idx="23">
                  <c:v>1207.1386077176137</c:v>
                </c:pt>
                <c:pt idx="24">
                  <c:v>11.419991415023802</c:v>
                </c:pt>
                <c:pt idx="25">
                  <c:v>13.903174194054902</c:v>
                </c:pt>
              </c:numCache>
            </c:numRef>
          </c:xVal>
          <c:yVal>
            <c:numRef>
              <c:f>'Plotting Marginal CostsBenefits'!$G$32:$G$57</c:f>
              <c:numCache>
                <c:formatCode>General</c:formatCode>
                <c:ptCount val="26"/>
                <c:pt idx="9" formatCode="&quot;$&quot;#,##0.00_);[Red]\(&quot;$&quot;#,##0.00\)">
                  <c:v>38.255645925858296</c:v>
                </c:pt>
                <c:pt idx="10" formatCode="&quot;$&quot;#,##0.00_);[Red]\(&quot;$&quot;#,##0.00\)">
                  <c:v>118.894246448717</c:v>
                </c:pt>
                <c:pt idx="11" formatCode="&quot;$&quot;#,##0.00_);[Red]\(&quot;$&quot;#,##0.00\)">
                  <c:v>27.8477754083363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F0B-4289-9AA8-700F5A538146}"/>
            </c:ext>
          </c:extLst>
        </c:ser>
        <c:ser>
          <c:idx val="3"/>
          <c:order val="3"/>
          <c:tx>
            <c:strRef>
              <c:f>'Plotting Marginal CostsBenefits'!$H$1</c:f>
              <c:strCache>
                <c:ptCount val="1"/>
                <c:pt idx="0">
                  <c:v>Optimal - 500 Mt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'Plotting Marginal CostsBenefits'!$D$32:$D$57</c:f>
              <c:numCache>
                <c:formatCode>"$"#,##0.00_);[Red]\("$"#,##0.00\)</c:formatCode>
                <c:ptCount val="26"/>
                <c:pt idx="0">
                  <c:v>55.215053146678599</c:v>
                </c:pt>
                <c:pt idx="1">
                  <c:v>272.17378966586114</c:v>
                </c:pt>
                <c:pt idx="2">
                  <c:v>60.824649079375007</c:v>
                </c:pt>
                <c:pt idx="3">
                  <c:v>630.34279779581107</c:v>
                </c:pt>
                <c:pt idx="4">
                  <c:v>4.1262415688571004</c:v>
                </c:pt>
                <c:pt idx="5">
                  <c:v>2.3370840578976004</c:v>
                </c:pt>
                <c:pt idx="6">
                  <c:v>14.708132878070801</c:v>
                </c:pt>
                <c:pt idx="7">
                  <c:v>4.8598610157378985</c:v>
                </c:pt>
                <c:pt idx="8">
                  <c:v>7.0714240773678014</c:v>
                </c:pt>
                <c:pt idx="9">
                  <c:v>27.844316551196702</c:v>
                </c:pt>
                <c:pt idx="10">
                  <c:v>1176.2483637984021</c:v>
                </c:pt>
                <c:pt idx="11">
                  <c:v>11.354460030213499</c:v>
                </c:pt>
                <c:pt idx="12">
                  <c:v>56.978455524179303</c:v>
                </c:pt>
                <c:pt idx="13">
                  <c:v>94.455205551250813</c:v>
                </c:pt>
                <c:pt idx="14">
                  <c:v>749.14981794569087</c:v>
                </c:pt>
                <c:pt idx="15">
                  <c:v>87.081623661185802</c:v>
                </c:pt>
                <c:pt idx="16">
                  <c:v>1470.3129361080937</c:v>
                </c:pt>
                <c:pt idx="17">
                  <c:v>4.2101375662191982</c:v>
                </c:pt>
                <c:pt idx="18">
                  <c:v>2.325912385023801</c:v>
                </c:pt>
                <c:pt idx="19">
                  <c:v>14.633717565023801</c:v>
                </c:pt>
                <c:pt idx="20">
                  <c:v>4.8264201050237991</c:v>
                </c:pt>
                <c:pt idx="21">
                  <c:v>7.0449094950238011</c:v>
                </c:pt>
                <c:pt idx="22">
                  <c:v>27.911243325023797</c:v>
                </c:pt>
                <c:pt idx="23">
                  <c:v>1207.1386077176137</c:v>
                </c:pt>
                <c:pt idx="24">
                  <c:v>11.419991415023802</c:v>
                </c:pt>
                <c:pt idx="25">
                  <c:v>13.903174194054902</c:v>
                </c:pt>
              </c:numCache>
            </c:numRef>
          </c:xVal>
          <c:yVal>
            <c:numRef>
              <c:f>'Plotting Marginal CostsBenefits'!$H$32:$H$57</c:f>
              <c:numCache>
                <c:formatCode>General</c:formatCode>
                <c:ptCount val="26"/>
                <c:pt idx="12" formatCode="&quot;$&quot;#,##0.00_);[Red]\(&quot;$&quot;#,##0.00\)">
                  <c:v>110.89849631853801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F0B-4289-9AA8-700F5A538146}"/>
            </c:ext>
          </c:extLst>
        </c:ser>
        <c:ser>
          <c:idx val="5"/>
          <c:order val="4"/>
          <c:tx>
            <c:strRef>
              <c:f>'Plotting Marginal CostsBenefits'!$I$1</c:f>
              <c:strCache>
                <c:ptCount val="1"/>
                <c:pt idx="0">
                  <c:v>Innovation - 1.5 Gt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5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'Plotting Marginal CostsBenefits'!$D$32:$D$57</c:f>
              <c:numCache>
                <c:formatCode>"$"#,##0.00_);[Red]\("$"#,##0.00\)</c:formatCode>
                <c:ptCount val="26"/>
                <c:pt idx="0">
                  <c:v>55.215053146678599</c:v>
                </c:pt>
                <c:pt idx="1">
                  <c:v>272.17378966586114</c:v>
                </c:pt>
                <c:pt idx="2">
                  <c:v>60.824649079375007</c:v>
                </c:pt>
                <c:pt idx="3">
                  <c:v>630.34279779581107</c:v>
                </c:pt>
                <c:pt idx="4">
                  <c:v>4.1262415688571004</c:v>
                </c:pt>
                <c:pt idx="5">
                  <c:v>2.3370840578976004</c:v>
                </c:pt>
                <c:pt idx="6">
                  <c:v>14.708132878070801</c:v>
                </c:pt>
                <c:pt idx="7">
                  <c:v>4.8598610157378985</c:v>
                </c:pt>
                <c:pt idx="8">
                  <c:v>7.0714240773678014</c:v>
                </c:pt>
                <c:pt idx="9">
                  <c:v>27.844316551196702</c:v>
                </c:pt>
                <c:pt idx="10">
                  <c:v>1176.2483637984021</c:v>
                </c:pt>
                <c:pt idx="11">
                  <c:v>11.354460030213499</c:v>
                </c:pt>
                <c:pt idx="12">
                  <c:v>56.978455524179303</c:v>
                </c:pt>
                <c:pt idx="13">
                  <c:v>94.455205551250813</c:v>
                </c:pt>
                <c:pt idx="14">
                  <c:v>749.14981794569087</c:v>
                </c:pt>
                <c:pt idx="15">
                  <c:v>87.081623661185802</c:v>
                </c:pt>
                <c:pt idx="16">
                  <c:v>1470.3129361080937</c:v>
                </c:pt>
                <c:pt idx="17">
                  <c:v>4.2101375662191982</c:v>
                </c:pt>
                <c:pt idx="18">
                  <c:v>2.325912385023801</c:v>
                </c:pt>
                <c:pt idx="19">
                  <c:v>14.633717565023801</c:v>
                </c:pt>
                <c:pt idx="20">
                  <c:v>4.8264201050237991</c:v>
                </c:pt>
                <c:pt idx="21">
                  <c:v>7.0449094950238011</c:v>
                </c:pt>
                <c:pt idx="22">
                  <c:v>27.911243325023797</c:v>
                </c:pt>
                <c:pt idx="23">
                  <c:v>1207.1386077176137</c:v>
                </c:pt>
                <c:pt idx="24">
                  <c:v>11.419991415023802</c:v>
                </c:pt>
                <c:pt idx="25">
                  <c:v>13.903174194054902</c:v>
                </c:pt>
              </c:numCache>
            </c:numRef>
          </c:xVal>
          <c:yVal>
            <c:numRef>
              <c:f>'Plotting Marginal CostsBenefits'!$I$32:$I$57</c:f>
              <c:numCache>
                <c:formatCode>General</c:formatCode>
                <c:ptCount val="26"/>
                <c:pt idx="17" formatCode="&quot;$&quot;#,##0.00_);[Red]\(&quot;$&quot;#,##0.00\)">
                  <c:v>3.7271947617020902</c:v>
                </c:pt>
                <c:pt idx="18" formatCode="&quot;$&quot;#,##0.00_);[Red]\(&quot;$&quot;#,##0.00\)">
                  <c:v>45.921597500000004</c:v>
                </c:pt>
                <c:pt idx="19" formatCode="&quot;$&quot;#,##0.00_);[Red]\(&quot;$&quot;#,##0.00\)">
                  <c:v>107.0726366</c:v>
                </c:pt>
                <c:pt idx="20" formatCode="&quot;$&quot;#,##0.00_);[Red]\(&quot;$&quot;#,##0.00\)">
                  <c:v>69.242862210000013</c:v>
                </c:pt>
                <c:pt idx="21" formatCode="&quot;$&quot;#,##0.00_);[Red]\(&quot;$&quot;#,##0.00\)">
                  <c:v>81.117731169999999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F0B-4289-9AA8-700F5A538146}"/>
            </c:ext>
          </c:extLst>
        </c:ser>
        <c:ser>
          <c:idx val="6"/>
          <c:order val="5"/>
          <c:tx>
            <c:strRef>
              <c:f>'Plotting Marginal CostsBenefits'!$J$1</c:f>
              <c:strCache>
                <c:ptCount val="1"/>
                <c:pt idx="0">
                  <c:v>Subsidy - 1.5 Gt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5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'Plotting Marginal CostsBenefits'!$D$32:$D$57</c:f>
              <c:numCache>
                <c:formatCode>"$"#,##0.00_);[Red]\("$"#,##0.00\)</c:formatCode>
                <c:ptCount val="26"/>
                <c:pt idx="0">
                  <c:v>55.215053146678599</c:v>
                </c:pt>
                <c:pt idx="1">
                  <c:v>272.17378966586114</c:v>
                </c:pt>
                <c:pt idx="2">
                  <c:v>60.824649079375007</c:v>
                </c:pt>
                <c:pt idx="3">
                  <c:v>630.34279779581107</c:v>
                </c:pt>
                <c:pt idx="4">
                  <c:v>4.1262415688571004</c:v>
                </c:pt>
                <c:pt idx="5">
                  <c:v>2.3370840578976004</c:v>
                </c:pt>
                <c:pt idx="6">
                  <c:v>14.708132878070801</c:v>
                </c:pt>
                <c:pt idx="7">
                  <c:v>4.8598610157378985</c:v>
                </c:pt>
                <c:pt idx="8">
                  <c:v>7.0714240773678014</c:v>
                </c:pt>
                <c:pt idx="9">
                  <c:v>27.844316551196702</c:v>
                </c:pt>
                <c:pt idx="10">
                  <c:v>1176.2483637984021</c:v>
                </c:pt>
                <c:pt idx="11">
                  <c:v>11.354460030213499</c:v>
                </c:pt>
                <c:pt idx="12">
                  <c:v>56.978455524179303</c:v>
                </c:pt>
                <c:pt idx="13">
                  <c:v>94.455205551250813</c:v>
                </c:pt>
                <c:pt idx="14">
                  <c:v>749.14981794569087</c:v>
                </c:pt>
                <c:pt idx="15">
                  <c:v>87.081623661185802</c:v>
                </c:pt>
                <c:pt idx="16">
                  <c:v>1470.3129361080937</c:v>
                </c:pt>
                <c:pt idx="17">
                  <c:v>4.2101375662191982</c:v>
                </c:pt>
                <c:pt idx="18">
                  <c:v>2.325912385023801</c:v>
                </c:pt>
                <c:pt idx="19">
                  <c:v>14.633717565023801</c:v>
                </c:pt>
                <c:pt idx="20">
                  <c:v>4.8264201050237991</c:v>
                </c:pt>
                <c:pt idx="21">
                  <c:v>7.0449094950238011</c:v>
                </c:pt>
                <c:pt idx="22">
                  <c:v>27.911243325023797</c:v>
                </c:pt>
                <c:pt idx="23">
                  <c:v>1207.1386077176137</c:v>
                </c:pt>
                <c:pt idx="24">
                  <c:v>11.419991415023802</c:v>
                </c:pt>
                <c:pt idx="25">
                  <c:v>13.903174194054902</c:v>
                </c:pt>
              </c:numCache>
            </c:numRef>
          </c:xVal>
          <c:yVal>
            <c:numRef>
              <c:f>'Plotting Marginal CostsBenefits'!$J$32:$J$57</c:f>
              <c:numCache>
                <c:formatCode>General</c:formatCode>
                <c:ptCount val="26"/>
                <c:pt idx="13" formatCode="&quot;$&quot;#,##0.00_);[Red]\(&quot;$&quot;#,##0.00\)">
                  <c:v>169.78338393730101</c:v>
                </c:pt>
                <c:pt idx="14" formatCode="&quot;$&quot;#,##0.00_);[Red]\(&quot;$&quot;#,##0.00\)">
                  <c:v>754.77402503940107</c:v>
                </c:pt>
                <c:pt idx="15" formatCode="&quot;$&quot;#,##0.00_);[Red]\(&quot;$&quot;#,##0.00\)">
                  <c:v>85.029801215989494</c:v>
                </c:pt>
                <c:pt idx="16" formatCode="&quot;$&quot;#,##0.00_);[Red]\(&quot;$&quot;#,##0.00\)">
                  <c:v>1464.9897871615401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F0B-4289-9AA8-700F5A538146}"/>
            </c:ext>
          </c:extLst>
        </c:ser>
        <c:ser>
          <c:idx val="7"/>
          <c:order val="6"/>
          <c:tx>
            <c:strRef>
              <c:f>'Plotting Marginal CostsBenefits'!$K$1</c:f>
              <c:strCache>
                <c:ptCount val="1"/>
                <c:pt idx="0">
                  <c:v>Procurement - 1.5 Gt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5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'Plotting Marginal CostsBenefits'!$D$32:$D$57</c:f>
              <c:numCache>
                <c:formatCode>"$"#,##0.00_);[Red]\("$"#,##0.00\)</c:formatCode>
                <c:ptCount val="26"/>
                <c:pt idx="0">
                  <c:v>55.215053146678599</c:v>
                </c:pt>
                <c:pt idx="1">
                  <c:v>272.17378966586114</c:v>
                </c:pt>
                <c:pt idx="2">
                  <c:v>60.824649079375007</c:v>
                </c:pt>
                <c:pt idx="3">
                  <c:v>630.34279779581107</c:v>
                </c:pt>
                <c:pt idx="4">
                  <c:v>4.1262415688571004</c:v>
                </c:pt>
                <c:pt idx="5">
                  <c:v>2.3370840578976004</c:v>
                </c:pt>
                <c:pt idx="6">
                  <c:v>14.708132878070801</c:v>
                </c:pt>
                <c:pt idx="7">
                  <c:v>4.8598610157378985</c:v>
                </c:pt>
                <c:pt idx="8">
                  <c:v>7.0714240773678014</c:v>
                </c:pt>
                <c:pt idx="9">
                  <c:v>27.844316551196702</c:v>
                </c:pt>
                <c:pt idx="10">
                  <c:v>1176.2483637984021</c:v>
                </c:pt>
                <c:pt idx="11">
                  <c:v>11.354460030213499</c:v>
                </c:pt>
                <c:pt idx="12">
                  <c:v>56.978455524179303</c:v>
                </c:pt>
                <c:pt idx="13">
                  <c:v>94.455205551250813</c:v>
                </c:pt>
                <c:pt idx="14">
                  <c:v>749.14981794569087</c:v>
                </c:pt>
                <c:pt idx="15">
                  <c:v>87.081623661185802</c:v>
                </c:pt>
                <c:pt idx="16">
                  <c:v>1470.3129361080937</c:v>
                </c:pt>
                <c:pt idx="17">
                  <c:v>4.2101375662191982</c:v>
                </c:pt>
                <c:pt idx="18">
                  <c:v>2.325912385023801</c:v>
                </c:pt>
                <c:pt idx="19">
                  <c:v>14.633717565023801</c:v>
                </c:pt>
                <c:pt idx="20">
                  <c:v>4.8264201050237991</c:v>
                </c:pt>
                <c:pt idx="21">
                  <c:v>7.0449094950238011</c:v>
                </c:pt>
                <c:pt idx="22">
                  <c:v>27.911243325023797</c:v>
                </c:pt>
                <c:pt idx="23">
                  <c:v>1207.1386077176137</c:v>
                </c:pt>
                <c:pt idx="24">
                  <c:v>11.419991415023802</c:v>
                </c:pt>
                <c:pt idx="25">
                  <c:v>13.903174194054902</c:v>
                </c:pt>
              </c:numCache>
            </c:numRef>
          </c:xVal>
          <c:yVal>
            <c:numRef>
              <c:f>'Plotting Marginal CostsBenefits'!$K$32:$K$57</c:f>
              <c:numCache>
                <c:formatCode>General</c:formatCode>
                <c:ptCount val="26"/>
                <c:pt idx="22" formatCode="&quot;$&quot;#,##0.00_);[Red]\(&quot;$&quot;#,##0.00\)">
                  <c:v>70.006101200000003</c:v>
                </c:pt>
                <c:pt idx="23" formatCode="&quot;$&quot;#,##0.00_);[Red]\(&quot;$&quot;#,##0.00\)">
                  <c:v>185.02690859979998</c:v>
                </c:pt>
                <c:pt idx="24" formatCode="&quot;$&quot;#,##0.00_);[Red]\(&quot;$&quot;#,##0.00\)">
                  <c:v>52.677846719999998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F0B-4289-9AA8-700F5A538146}"/>
            </c:ext>
          </c:extLst>
        </c:ser>
        <c:ser>
          <c:idx val="8"/>
          <c:order val="7"/>
          <c:tx>
            <c:strRef>
              <c:f>'Plotting Marginal CostsBenefits'!$L$1</c:f>
              <c:strCache>
                <c:ptCount val="1"/>
                <c:pt idx="0">
                  <c:v>Optimal - 1.5 Gt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5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'Plotting Marginal CostsBenefits'!$D$32:$D$57</c:f>
              <c:numCache>
                <c:formatCode>"$"#,##0.00_);[Red]\("$"#,##0.00\)</c:formatCode>
                <c:ptCount val="26"/>
                <c:pt idx="0">
                  <c:v>55.215053146678599</c:v>
                </c:pt>
                <c:pt idx="1">
                  <c:v>272.17378966586114</c:v>
                </c:pt>
                <c:pt idx="2">
                  <c:v>60.824649079375007</c:v>
                </c:pt>
                <c:pt idx="3">
                  <c:v>630.34279779581107</c:v>
                </c:pt>
                <c:pt idx="4">
                  <c:v>4.1262415688571004</c:v>
                </c:pt>
                <c:pt idx="5">
                  <c:v>2.3370840578976004</c:v>
                </c:pt>
                <c:pt idx="6">
                  <c:v>14.708132878070801</c:v>
                </c:pt>
                <c:pt idx="7">
                  <c:v>4.8598610157378985</c:v>
                </c:pt>
                <c:pt idx="8">
                  <c:v>7.0714240773678014</c:v>
                </c:pt>
                <c:pt idx="9">
                  <c:v>27.844316551196702</c:v>
                </c:pt>
                <c:pt idx="10">
                  <c:v>1176.2483637984021</c:v>
                </c:pt>
                <c:pt idx="11">
                  <c:v>11.354460030213499</c:v>
                </c:pt>
                <c:pt idx="12">
                  <c:v>56.978455524179303</c:v>
                </c:pt>
                <c:pt idx="13">
                  <c:v>94.455205551250813</c:v>
                </c:pt>
                <c:pt idx="14">
                  <c:v>749.14981794569087</c:v>
                </c:pt>
                <c:pt idx="15">
                  <c:v>87.081623661185802</c:v>
                </c:pt>
                <c:pt idx="16">
                  <c:v>1470.3129361080937</c:v>
                </c:pt>
                <c:pt idx="17">
                  <c:v>4.2101375662191982</c:v>
                </c:pt>
                <c:pt idx="18">
                  <c:v>2.325912385023801</c:v>
                </c:pt>
                <c:pt idx="19">
                  <c:v>14.633717565023801</c:v>
                </c:pt>
                <c:pt idx="20">
                  <c:v>4.8264201050237991</c:v>
                </c:pt>
                <c:pt idx="21">
                  <c:v>7.0449094950238011</c:v>
                </c:pt>
                <c:pt idx="22">
                  <c:v>27.911243325023797</c:v>
                </c:pt>
                <c:pt idx="23">
                  <c:v>1207.1386077176137</c:v>
                </c:pt>
                <c:pt idx="24">
                  <c:v>11.419991415023802</c:v>
                </c:pt>
                <c:pt idx="25">
                  <c:v>13.903174194054902</c:v>
                </c:pt>
              </c:numCache>
            </c:numRef>
          </c:xVal>
          <c:yVal>
            <c:numRef>
              <c:f>'Plotting Marginal CostsBenefits'!$L$32:$L$57</c:f>
              <c:numCache>
                <c:formatCode>General</c:formatCode>
                <c:ptCount val="26"/>
                <c:pt idx="25" formatCode="&quot;$&quot;#,##0.00_);[Red]\(&quot;$&quot;#,##0.00\)">
                  <c:v>107.282405397856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F0B-4289-9AA8-700F5A5381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8358192"/>
        <c:axId val="688359152"/>
      </c:scatterChart>
      <c:valAx>
        <c:axId val="688358192"/>
        <c:scaling>
          <c:orientation val="minMax"/>
          <c:max val="1600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bg2">
                        <a:lumMod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400" b="0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Costs (Billion $ NPV)</a:t>
                </a:r>
              </a:p>
            </c:rich>
          </c:tx>
          <c:layout>
            <c:manualLayout>
              <c:xMode val="edge"/>
              <c:yMode val="edge"/>
              <c:x val="0.2957181115719314"/>
              <c:y val="0.9400186800161075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bg2">
                      <a:lumMod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&quot;$&quot;#,##0_);[Red]\(&quot;$&quot;#,##0\)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bg2">
                <a:lumMod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bg2">
                    <a:lumMod val="2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88359152"/>
        <c:crossesAt val="-200"/>
        <c:crossBetween val="midCat"/>
      </c:valAx>
      <c:valAx>
        <c:axId val="688359152"/>
        <c:scaling>
          <c:orientation val="minMax"/>
          <c:max val="160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0" i="0" u="none" strike="noStrike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Benefits (Billion $ NPV)</a:t>
                </a:r>
              </a:p>
            </c:rich>
          </c:tx>
          <c:layout>
            <c:manualLayout>
              <c:xMode val="edge"/>
              <c:yMode val="edge"/>
              <c:x val="4.4970243882273865E-3"/>
              <c:y val="0.400748830397005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0"/>
        <c:majorTickMark val="in"/>
        <c:minorTickMark val="none"/>
        <c:tickLblPos val="low"/>
        <c:spPr>
          <a:noFill/>
          <a:ln w="9525" cap="flat" cmpd="sng" algn="ctr">
            <a:solidFill>
              <a:schemeClr val="bg2">
                <a:lumMod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t" anchorCtr="0"/>
          <a:lstStyle/>
          <a:p>
            <a:pPr>
              <a:defRPr sz="1200" b="0" i="0" u="none" strike="noStrike" kern="1200" baseline="0">
                <a:solidFill>
                  <a:schemeClr val="bg2">
                    <a:lumMod val="2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88358192"/>
        <c:crossesAt val="0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3273387409421431"/>
          <c:y val="2.1272817957648351E-3"/>
          <c:w val="0.39840186477570666"/>
          <c:h val="0.29585616523979164"/>
        </c:manualLayout>
      </c:layout>
      <c:overlay val="0"/>
      <c:spPr>
        <a:solidFill>
          <a:schemeClr val="bg1">
            <a:alpha val="50000"/>
          </a:schemeClr>
        </a:solidFill>
        <a:ln>
          <a:solidFill>
            <a:schemeClr val="bg2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2">
                  <a:lumMod val="2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938144138436951"/>
          <c:y val="3.5891588464031364E-2"/>
          <c:w val="0.72094032217626325"/>
          <c:h val="0.85183951497832233"/>
        </c:manualLayout>
      </c:layout>
      <c:scatterChart>
        <c:scatterStyle val="lineMarker"/>
        <c:varyColors val="0"/>
        <c:ser>
          <c:idx val="0"/>
          <c:order val="0"/>
          <c:tx>
            <c:strRef>
              <c:f>'Plotting Marginal CostsBenefits'!$E$1</c:f>
              <c:strCache>
                <c:ptCount val="1"/>
                <c:pt idx="0">
                  <c:v>Innovation - 500 Mt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'Plotting Marginal CostsBenefits'!$D$67:$D$92</c:f>
              <c:numCache>
                <c:formatCode>"$"#,##0.00_);[Red]\("$"#,##0.00\)</c:formatCode>
                <c:ptCount val="26"/>
                <c:pt idx="0">
                  <c:v>9.476218021083989</c:v>
                </c:pt>
                <c:pt idx="1">
                  <c:v>16.568117338946593</c:v>
                </c:pt>
                <c:pt idx="2">
                  <c:v>19.137170013317693</c:v>
                </c:pt>
                <c:pt idx="3">
                  <c:v>45.651924713912997</c:v>
                </c:pt>
                <c:pt idx="4">
                  <c:v>3.0119272354747899</c:v>
                </c:pt>
                <c:pt idx="5">
                  <c:v>0.64868348327826975</c:v>
                </c:pt>
                <c:pt idx="6">
                  <c:v>3.5095880533935908</c:v>
                </c:pt>
                <c:pt idx="7">
                  <c:v>1.1456123160236911</c:v>
                </c:pt>
                <c:pt idx="8">
                  <c:v>1.9826901417550908</c:v>
                </c:pt>
                <c:pt idx="9">
                  <c:v>11.417559116321593</c:v>
                </c:pt>
                <c:pt idx="10">
                  <c:v>138.93530596719577</c:v>
                </c:pt>
                <c:pt idx="11">
                  <c:v>4.3122304298988912</c:v>
                </c:pt>
                <c:pt idx="12">
                  <c:v>10.039370991663089</c:v>
                </c:pt>
                <c:pt idx="13">
                  <c:v>15.35711737145612</c:v>
                </c:pt>
                <c:pt idx="14">
                  <c:v>35.469894501100818</c:v>
                </c:pt>
                <c:pt idx="15">
                  <c:v>26.98339696665612</c:v>
                </c:pt>
                <c:pt idx="16">
                  <c:v>86.588878581692811</c:v>
                </c:pt>
                <c:pt idx="17">
                  <c:v>3.059409534844721</c:v>
                </c:pt>
                <c:pt idx="18">
                  <c:v>0.6423605549173208</c:v>
                </c:pt>
                <c:pt idx="19">
                  <c:v>3.4674732449173207</c:v>
                </c:pt>
                <c:pt idx="20">
                  <c:v>1.1266878249173204</c:v>
                </c:pt>
                <c:pt idx="21">
                  <c:v>1.9676849149173194</c:v>
                </c:pt>
                <c:pt idx="22">
                  <c:v>11.432142664917318</c:v>
                </c:pt>
                <c:pt idx="23">
                  <c:v>140.55513866259832</c:v>
                </c:pt>
                <c:pt idx="24">
                  <c:v>4.3304415549173205</c:v>
                </c:pt>
                <c:pt idx="25">
                  <c:v>5.0522583347774201</c:v>
                </c:pt>
              </c:numCache>
            </c:numRef>
          </c:xVal>
          <c:yVal>
            <c:numRef>
              <c:f>'Plotting Marginal CostsBenefits'!$E$67:$E$92</c:f>
              <c:numCache>
                <c:formatCode>General</c:formatCode>
                <c:ptCount val="26"/>
                <c:pt idx="4" formatCode="&quot;$&quot;#,##0.00_);[Red]\(&quot;$&quot;#,##0.00\)">
                  <c:v>0.33561574049935</c:v>
                </c:pt>
                <c:pt idx="5" formatCode="&quot;$&quot;#,##0.00_);[Red]\(&quot;$&quot;#,##0.00\)">
                  <c:v>2.03674772368365</c:v>
                </c:pt>
                <c:pt idx="6" formatCode="&quot;$&quot;#,##0.00_);[Red]\(&quot;$&quot;#,##0.00\)">
                  <c:v>5.3638813822450304</c:v>
                </c:pt>
                <c:pt idx="7" formatCode="&quot;$&quot;#,##0.00_);[Red]\(&quot;$&quot;#,##0.00\)">
                  <c:v>3.2927796969207503</c:v>
                </c:pt>
                <c:pt idx="8" formatCode="&quot;$&quot;#,##0.00_);[Red]\(&quot;$&quot;#,##0.00\)">
                  <c:v>3.94821129977616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5F5-4451-BD4A-48C7DB21EC86}"/>
            </c:ext>
          </c:extLst>
        </c:ser>
        <c:ser>
          <c:idx val="1"/>
          <c:order val="1"/>
          <c:tx>
            <c:strRef>
              <c:f>'Plotting Marginal CostsBenefits'!$F$1</c:f>
              <c:strCache>
                <c:ptCount val="1"/>
                <c:pt idx="0">
                  <c:v>Subsidy - 500 Mt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'Plotting Marginal CostsBenefits'!$D$67:$D$92</c:f>
              <c:numCache>
                <c:formatCode>"$"#,##0.00_);[Red]\("$"#,##0.00\)</c:formatCode>
                <c:ptCount val="26"/>
                <c:pt idx="0">
                  <c:v>9.476218021083989</c:v>
                </c:pt>
                <c:pt idx="1">
                  <c:v>16.568117338946593</c:v>
                </c:pt>
                <c:pt idx="2">
                  <c:v>19.137170013317693</c:v>
                </c:pt>
                <c:pt idx="3">
                  <c:v>45.651924713912997</c:v>
                </c:pt>
                <c:pt idx="4">
                  <c:v>3.0119272354747899</c:v>
                </c:pt>
                <c:pt idx="5">
                  <c:v>0.64868348327826975</c:v>
                </c:pt>
                <c:pt idx="6">
                  <c:v>3.5095880533935908</c:v>
                </c:pt>
                <c:pt idx="7">
                  <c:v>1.1456123160236911</c:v>
                </c:pt>
                <c:pt idx="8">
                  <c:v>1.9826901417550908</c:v>
                </c:pt>
                <c:pt idx="9">
                  <c:v>11.417559116321593</c:v>
                </c:pt>
                <c:pt idx="10">
                  <c:v>138.93530596719577</c:v>
                </c:pt>
                <c:pt idx="11">
                  <c:v>4.3122304298988912</c:v>
                </c:pt>
                <c:pt idx="12">
                  <c:v>10.039370991663089</c:v>
                </c:pt>
                <c:pt idx="13">
                  <c:v>15.35711737145612</c:v>
                </c:pt>
                <c:pt idx="14">
                  <c:v>35.469894501100818</c:v>
                </c:pt>
                <c:pt idx="15">
                  <c:v>26.98339696665612</c:v>
                </c:pt>
                <c:pt idx="16">
                  <c:v>86.588878581692811</c:v>
                </c:pt>
                <c:pt idx="17">
                  <c:v>3.059409534844721</c:v>
                </c:pt>
                <c:pt idx="18">
                  <c:v>0.6423605549173208</c:v>
                </c:pt>
                <c:pt idx="19">
                  <c:v>3.4674732449173207</c:v>
                </c:pt>
                <c:pt idx="20">
                  <c:v>1.1266878249173204</c:v>
                </c:pt>
                <c:pt idx="21">
                  <c:v>1.9676849149173194</c:v>
                </c:pt>
                <c:pt idx="22">
                  <c:v>11.432142664917318</c:v>
                </c:pt>
                <c:pt idx="23">
                  <c:v>140.55513866259832</c:v>
                </c:pt>
                <c:pt idx="24">
                  <c:v>4.3304415549173205</c:v>
                </c:pt>
                <c:pt idx="25">
                  <c:v>5.0522583347774201</c:v>
                </c:pt>
              </c:numCache>
            </c:numRef>
          </c:xVal>
          <c:yVal>
            <c:numRef>
              <c:f>'Plotting Marginal CostsBenefits'!$F$67:$F$92</c:f>
              <c:numCache>
                <c:formatCode>"$"#,##0.00_);[Red]\("$"#,##0.00\)</c:formatCode>
                <c:ptCount val="26"/>
                <c:pt idx="0">
                  <c:v>10.209740402372299</c:v>
                </c:pt>
                <c:pt idx="1">
                  <c:v>15.9803982211468</c:v>
                </c:pt>
                <c:pt idx="2">
                  <c:v>10.131117210587</c:v>
                </c:pt>
                <c:pt idx="3">
                  <c:v>37.918655503970797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5F5-4451-BD4A-48C7DB21EC86}"/>
            </c:ext>
          </c:extLst>
        </c:ser>
        <c:ser>
          <c:idx val="2"/>
          <c:order val="2"/>
          <c:tx>
            <c:strRef>
              <c:f>'Plotting Marginal CostsBenefits'!$G$1</c:f>
              <c:strCache>
                <c:ptCount val="1"/>
                <c:pt idx="0">
                  <c:v>Procurement - 500 Mt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'Plotting Marginal CostsBenefits'!$D$67:$D$92</c:f>
              <c:numCache>
                <c:formatCode>"$"#,##0.00_);[Red]\("$"#,##0.00\)</c:formatCode>
                <c:ptCount val="26"/>
                <c:pt idx="0">
                  <c:v>9.476218021083989</c:v>
                </c:pt>
                <c:pt idx="1">
                  <c:v>16.568117338946593</c:v>
                </c:pt>
                <c:pt idx="2">
                  <c:v>19.137170013317693</c:v>
                </c:pt>
                <c:pt idx="3">
                  <c:v>45.651924713912997</c:v>
                </c:pt>
                <c:pt idx="4">
                  <c:v>3.0119272354747899</c:v>
                </c:pt>
                <c:pt idx="5">
                  <c:v>0.64868348327826975</c:v>
                </c:pt>
                <c:pt idx="6">
                  <c:v>3.5095880533935908</c:v>
                </c:pt>
                <c:pt idx="7">
                  <c:v>1.1456123160236911</c:v>
                </c:pt>
                <c:pt idx="8">
                  <c:v>1.9826901417550908</c:v>
                </c:pt>
                <c:pt idx="9">
                  <c:v>11.417559116321593</c:v>
                </c:pt>
                <c:pt idx="10">
                  <c:v>138.93530596719577</c:v>
                </c:pt>
                <c:pt idx="11">
                  <c:v>4.3122304298988912</c:v>
                </c:pt>
                <c:pt idx="12">
                  <c:v>10.039370991663089</c:v>
                </c:pt>
                <c:pt idx="13">
                  <c:v>15.35711737145612</c:v>
                </c:pt>
                <c:pt idx="14">
                  <c:v>35.469894501100818</c:v>
                </c:pt>
                <c:pt idx="15">
                  <c:v>26.98339696665612</c:v>
                </c:pt>
                <c:pt idx="16">
                  <c:v>86.588878581692811</c:v>
                </c:pt>
                <c:pt idx="17">
                  <c:v>3.059409534844721</c:v>
                </c:pt>
                <c:pt idx="18">
                  <c:v>0.6423605549173208</c:v>
                </c:pt>
                <c:pt idx="19">
                  <c:v>3.4674732449173207</c:v>
                </c:pt>
                <c:pt idx="20">
                  <c:v>1.1266878249173204</c:v>
                </c:pt>
                <c:pt idx="21">
                  <c:v>1.9676849149173194</c:v>
                </c:pt>
                <c:pt idx="22">
                  <c:v>11.432142664917318</c:v>
                </c:pt>
                <c:pt idx="23">
                  <c:v>140.55513866259832</c:v>
                </c:pt>
                <c:pt idx="24">
                  <c:v>4.3304415549173205</c:v>
                </c:pt>
                <c:pt idx="25">
                  <c:v>5.0522583347774201</c:v>
                </c:pt>
              </c:numCache>
            </c:numRef>
          </c:xVal>
          <c:yVal>
            <c:numRef>
              <c:f>'Plotting Marginal CostsBenefits'!$G$67:$G$92</c:f>
              <c:numCache>
                <c:formatCode>General</c:formatCode>
                <c:ptCount val="26"/>
                <c:pt idx="9" formatCode="&quot;$&quot;#,##0.00_);[Red]\(&quot;$&quot;#,##0.00\)">
                  <c:v>5.7158742587877693</c:v>
                </c:pt>
                <c:pt idx="10" formatCode="&quot;$&quot;#,##0.00_);[Red]\(&quot;$&quot;#,##0.00\)">
                  <c:v>25.574064566239599</c:v>
                </c:pt>
                <c:pt idx="11" formatCode="&quot;$&quot;#,##0.00_);[Red]\(&quot;$&quot;#,##0.00\)">
                  <c:v>3.0937558246702901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5F5-4451-BD4A-48C7DB21EC86}"/>
            </c:ext>
          </c:extLst>
        </c:ser>
        <c:ser>
          <c:idx val="3"/>
          <c:order val="3"/>
          <c:tx>
            <c:strRef>
              <c:f>'Plotting Marginal CostsBenefits'!$H$1</c:f>
              <c:strCache>
                <c:ptCount val="1"/>
                <c:pt idx="0">
                  <c:v>Optimal - 500 Mt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'Plotting Marginal CostsBenefits'!$D$67:$D$92</c:f>
              <c:numCache>
                <c:formatCode>"$"#,##0.00_);[Red]\("$"#,##0.00\)</c:formatCode>
                <c:ptCount val="26"/>
                <c:pt idx="0">
                  <c:v>9.476218021083989</c:v>
                </c:pt>
                <c:pt idx="1">
                  <c:v>16.568117338946593</c:v>
                </c:pt>
                <c:pt idx="2">
                  <c:v>19.137170013317693</c:v>
                </c:pt>
                <c:pt idx="3">
                  <c:v>45.651924713912997</c:v>
                </c:pt>
                <c:pt idx="4">
                  <c:v>3.0119272354747899</c:v>
                </c:pt>
                <c:pt idx="5">
                  <c:v>0.64868348327826975</c:v>
                </c:pt>
                <c:pt idx="6">
                  <c:v>3.5095880533935908</c:v>
                </c:pt>
                <c:pt idx="7">
                  <c:v>1.1456123160236911</c:v>
                </c:pt>
                <c:pt idx="8">
                  <c:v>1.9826901417550908</c:v>
                </c:pt>
                <c:pt idx="9">
                  <c:v>11.417559116321593</c:v>
                </c:pt>
                <c:pt idx="10">
                  <c:v>138.93530596719577</c:v>
                </c:pt>
                <c:pt idx="11">
                  <c:v>4.3122304298988912</c:v>
                </c:pt>
                <c:pt idx="12">
                  <c:v>10.039370991663089</c:v>
                </c:pt>
                <c:pt idx="13">
                  <c:v>15.35711737145612</c:v>
                </c:pt>
                <c:pt idx="14">
                  <c:v>35.469894501100818</c:v>
                </c:pt>
                <c:pt idx="15">
                  <c:v>26.98339696665612</c:v>
                </c:pt>
                <c:pt idx="16">
                  <c:v>86.588878581692811</c:v>
                </c:pt>
                <c:pt idx="17">
                  <c:v>3.059409534844721</c:v>
                </c:pt>
                <c:pt idx="18">
                  <c:v>0.6423605549173208</c:v>
                </c:pt>
                <c:pt idx="19">
                  <c:v>3.4674732449173207</c:v>
                </c:pt>
                <c:pt idx="20">
                  <c:v>1.1266878249173204</c:v>
                </c:pt>
                <c:pt idx="21">
                  <c:v>1.9676849149173194</c:v>
                </c:pt>
                <c:pt idx="22">
                  <c:v>11.432142664917318</c:v>
                </c:pt>
                <c:pt idx="23">
                  <c:v>140.55513866259832</c:v>
                </c:pt>
                <c:pt idx="24">
                  <c:v>4.3304415549173205</c:v>
                </c:pt>
                <c:pt idx="25">
                  <c:v>5.0522583347774201</c:v>
                </c:pt>
              </c:numCache>
            </c:numRef>
          </c:xVal>
          <c:yVal>
            <c:numRef>
              <c:f>'Plotting Marginal CostsBenefits'!$H$67:$H$92</c:f>
              <c:numCache>
                <c:formatCode>General</c:formatCode>
                <c:ptCount val="26"/>
                <c:pt idx="12" formatCode="&quot;$&quot;#,##0.00_);[Red]\(&quot;$&quot;#,##0.00\)">
                  <c:v>12.2700831571496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5F5-4451-BD4A-48C7DB21EC86}"/>
            </c:ext>
          </c:extLst>
        </c:ser>
        <c:ser>
          <c:idx val="5"/>
          <c:order val="4"/>
          <c:tx>
            <c:strRef>
              <c:f>'Plotting Marginal CostsBenefits'!$I$1</c:f>
              <c:strCache>
                <c:ptCount val="1"/>
                <c:pt idx="0">
                  <c:v>Innovation - 1.5 Gt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5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'Plotting Marginal CostsBenefits'!$D$67:$D$92</c:f>
              <c:numCache>
                <c:formatCode>"$"#,##0.00_);[Red]\("$"#,##0.00\)</c:formatCode>
                <c:ptCount val="26"/>
                <c:pt idx="0">
                  <c:v>9.476218021083989</c:v>
                </c:pt>
                <c:pt idx="1">
                  <c:v>16.568117338946593</c:v>
                </c:pt>
                <c:pt idx="2">
                  <c:v>19.137170013317693</c:v>
                </c:pt>
                <c:pt idx="3">
                  <c:v>45.651924713912997</c:v>
                </c:pt>
                <c:pt idx="4">
                  <c:v>3.0119272354747899</c:v>
                </c:pt>
                <c:pt idx="5">
                  <c:v>0.64868348327826975</c:v>
                </c:pt>
                <c:pt idx="6">
                  <c:v>3.5095880533935908</c:v>
                </c:pt>
                <c:pt idx="7">
                  <c:v>1.1456123160236911</c:v>
                </c:pt>
                <c:pt idx="8">
                  <c:v>1.9826901417550908</c:v>
                </c:pt>
                <c:pt idx="9">
                  <c:v>11.417559116321593</c:v>
                </c:pt>
                <c:pt idx="10">
                  <c:v>138.93530596719577</c:v>
                </c:pt>
                <c:pt idx="11">
                  <c:v>4.3122304298988912</c:v>
                </c:pt>
                <c:pt idx="12">
                  <c:v>10.039370991663089</c:v>
                </c:pt>
                <c:pt idx="13">
                  <c:v>15.35711737145612</c:v>
                </c:pt>
                <c:pt idx="14">
                  <c:v>35.469894501100818</c:v>
                </c:pt>
                <c:pt idx="15">
                  <c:v>26.98339696665612</c:v>
                </c:pt>
                <c:pt idx="16">
                  <c:v>86.588878581692811</c:v>
                </c:pt>
                <c:pt idx="17">
                  <c:v>3.059409534844721</c:v>
                </c:pt>
                <c:pt idx="18">
                  <c:v>0.6423605549173208</c:v>
                </c:pt>
                <c:pt idx="19">
                  <c:v>3.4674732449173207</c:v>
                </c:pt>
                <c:pt idx="20">
                  <c:v>1.1266878249173204</c:v>
                </c:pt>
                <c:pt idx="21">
                  <c:v>1.9676849149173194</c:v>
                </c:pt>
                <c:pt idx="22">
                  <c:v>11.432142664917318</c:v>
                </c:pt>
                <c:pt idx="23">
                  <c:v>140.55513866259832</c:v>
                </c:pt>
                <c:pt idx="24">
                  <c:v>4.3304415549173205</c:v>
                </c:pt>
                <c:pt idx="25">
                  <c:v>5.0522583347774201</c:v>
                </c:pt>
              </c:numCache>
            </c:numRef>
          </c:xVal>
          <c:yVal>
            <c:numRef>
              <c:f>'Plotting Marginal CostsBenefits'!$I$67:$I$92</c:f>
              <c:numCache>
                <c:formatCode>General</c:formatCode>
                <c:ptCount val="26"/>
                <c:pt idx="17" formatCode="&quot;$&quot;#,##0.00_);[Red]\(&quot;$&quot;#,##0.00\)">
                  <c:v>0.49459745807002703</c:v>
                </c:pt>
                <c:pt idx="18" formatCode="&quot;$&quot;#,##0.00_);[Red]\(&quot;$&quot;#,##0.00\)">
                  <c:v>3.1989574539999999</c:v>
                </c:pt>
                <c:pt idx="19" formatCode="&quot;$&quot;#,##0.00_);[Red]\(&quot;$&quot;#,##0.00\)">
                  <c:v>8.5145423079999993</c:v>
                </c:pt>
                <c:pt idx="20" formatCode="&quot;$&quot;#,##0.00_);[Red]\(&quot;$&quot;#,##0.00\)">
                  <c:v>5.2839158260000003</c:v>
                </c:pt>
                <c:pt idx="21" formatCode="&quot;$&quot;#,##0.00_);[Red]\(&quot;$&quot;#,##0.00\)">
                  <c:v>6.1108874349999995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5F5-4451-BD4A-48C7DB21EC86}"/>
            </c:ext>
          </c:extLst>
        </c:ser>
        <c:ser>
          <c:idx val="6"/>
          <c:order val="5"/>
          <c:tx>
            <c:strRef>
              <c:f>'Plotting Marginal CostsBenefits'!$J$1</c:f>
              <c:strCache>
                <c:ptCount val="1"/>
                <c:pt idx="0">
                  <c:v>Subsidy - 1.5 Gt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5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'Plotting Marginal CostsBenefits'!$D$67:$D$92</c:f>
              <c:numCache>
                <c:formatCode>"$"#,##0.00_);[Red]\("$"#,##0.00\)</c:formatCode>
                <c:ptCount val="26"/>
                <c:pt idx="0">
                  <c:v>9.476218021083989</c:v>
                </c:pt>
                <c:pt idx="1">
                  <c:v>16.568117338946593</c:v>
                </c:pt>
                <c:pt idx="2">
                  <c:v>19.137170013317693</c:v>
                </c:pt>
                <c:pt idx="3">
                  <c:v>45.651924713912997</c:v>
                </c:pt>
                <c:pt idx="4">
                  <c:v>3.0119272354747899</c:v>
                </c:pt>
                <c:pt idx="5">
                  <c:v>0.64868348327826975</c:v>
                </c:pt>
                <c:pt idx="6">
                  <c:v>3.5095880533935908</c:v>
                </c:pt>
                <c:pt idx="7">
                  <c:v>1.1456123160236911</c:v>
                </c:pt>
                <c:pt idx="8">
                  <c:v>1.9826901417550908</c:v>
                </c:pt>
                <c:pt idx="9">
                  <c:v>11.417559116321593</c:v>
                </c:pt>
                <c:pt idx="10">
                  <c:v>138.93530596719577</c:v>
                </c:pt>
                <c:pt idx="11">
                  <c:v>4.3122304298988912</c:v>
                </c:pt>
                <c:pt idx="12">
                  <c:v>10.039370991663089</c:v>
                </c:pt>
                <c:pt idx="13">
                  <c:v>15.35711737145612</c:v>
                </c:pt>
                <c:pt idx="14">
                  <c:v>35.469894501100818</c:v>
                </c:pt>
                <c:pt idx="15">
                  <c:v>26.98339696665612</c:v>
                </c:pt>
                <c:pt idx="16">
                  <c:v>86.588878581692811</c:v>
                </c:pt>
                <c:pt idx="17">
                  <c:v>3.059409534844721</c:v>
                </c:pt>
                <c:pt idx="18">
                  <c:v>0.6423605549173208</c:v>
                </c:pt>
                <c:pt idx="19">
                  <c:v>3.4674732449173207</c:v>
                </c:pt>
                <c:pt idx="20">
                  <c:v>1.1266878249173204</c:v>
                </c:pt>
                <c:pt idx="21">
                  <c:v>1.9676849149173194</c:v>
                </c:pt>
                <c:pt idx="22">
                  <c:v>11.432142664917318</c:v>
                </c:pt>
                <c:pt idx="23">
                  <c:v>140.55513866259832</c:v>
                </c:pt>
                <c:pt idx="24">
                  <c:v>4.3304415549173205</c:v>
                </c:pt>
                <c:pt idx="25">
                  <c:v>5.0522583347774201</c:v>
                </c:pt>
              </c:numCache>
            </c:numRef>
          </c:xVal>
          <c:yVal>
            <c:numRef>
              <c:f>'Plotting Marginal CostsBenefits'!$J$67:$J$92</c:f>
              <c:numCache>
                <c:formatCode>General</c:formatCode>
                <c:ptCount val="26"/>
                <c:pt idx="13" formatCode="&quot;$&quot;#,##0.00_);[Red]\(&quot;$&quot;#,##0.00\)">
                  <c:v>18.237934782227903</c:v>
                </c:pt>
                <c:pt idx="14" formatCode="&quot;$&quot;#,##0.00_);[Red]\(&quot;$&quot;#,##0.00\)">
                  <c:v>35.032953427482198</c:v>
                </c:pt>
                <c:pt idx="15" formatCode="&quot;$&quot;#,##0.00_);[Red]\(&quot;$&quot;#,##0.00\)">
                  <c:v>13.6691705387663</c:v>
                </c:pt>
                <c:pt idx="16" formatCode="&quot;$&quot;#,##0.00_);[Red]\(&quot;$&quot;#,##0.00\)">
                  <c:v>77.084450851909907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5F5-4451-BD4A-48C7DB21EC86}"/>
            </c:ext>
          </c:extLst>
        </c:ser>
        <c:ser>
          <c:idx val="7"/>
          <c:order val="6"/>
          <c:tx>
            <c:strRef>
              <c:f>'Plotting Marginal CostsBenefits'!$K$1</c:f>
              <c:strCache>
                <c:ptCount val="1"/>
                <c:pt idx="0">
                  <c:v>Procurement - 1.5 Gt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5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'Plotting Marginal CostsBenefits'!$D$67:$D$92</c:f>
              <c:numCache>
                <c:formatCode>"$"#,##0.00_);[Red]\("$"#,##0.00\)</c:formatCode>
                <c:ptCount val="26"/>
                <c:pt idx="0">
                  <c:v>9.476218021083989</c:v>
                </c:pt>
                <c:pt idx="1">
                  <c:v>16.568117338946593</c:v>
                </c:pt>
                <c:pt idx="2">
                  <c:v>19.137170013317693</c:v>
                </c:pt>
                <c:pt idx="3">
                  <c:v>45.651924713912997</c:v>
                </c:pt>
                <c:pt idx="4">
                  <c:v>3.0119272354747899</c:v>
                </c:pt>
                <c:pt idx="5">
                  <c:v>0.64868348327826975</c:v>
                </c:pt>
                <c:pt idx="6">
                  <c:v>3.5095880533935908</c:v>
                </c:pt>
                <c:pt idx="7">
                  <c:v>1.1456123160236911</c:v>
                </c:pt>
                <c:pt idx="8">
                  <c:v>1.9826901417550908</c:v>
                </c:pt>
                <c:pt idx="9">
                  <c:v>11.417559116321593</c:v>
                </c:pt>
                <c:pt idx="10">
                  <c:v>138.93530596719577</c:v>
                </c:pt>
                <c:pt idx="11">
                  <c:v>4.3122304298988912</c:v>
                </c:pt>
                <c:pt idx="12">
                  <c:v>10.039370991663089</c:v>
                </c:pt>
                <c:pt idx="13">
                  <c:v>15.35711737145612</c:v>
                </c:pt>
                <c:pt idx="14">
                  <c:v>35.469894501100818</c:v>
                </c:pt>
                <c:pt idx="15">
                  <c:v>26.98339696665612</c:v>
                </c:pt>
                <c:pt idx="16">
                  <c:v>86.588878581692811</c:v>
                </c:pt>
                <c:pt idx="17">
                  <c:v>3.059409534844721</c:v>
                </c:pt>
                <c:pt idx="18">
                  <c:v>0.6423605549173208</c:v>
                </c:pt>
                <c:pt idx="19">
                  <c:v>3.4674732449173207</c:v>
                </c:pt>
                <c:pt idx="20">
                  <c:v>1.1266878249173204</c:v>
                </c:pt>
                <c:pt idx="21">
                  <c:v>1.9676849149173194</c:v>
                </c:pt>
                <c:pt idx="22">
                  <c:v>11.432142664917318</c:v>
                </c:pt>
                <c:pt idx="23">
                  <c:v>140.55513866259832</c:v>
                </c:pt>
                <c:pt idx="24">
                  <c:v>4.3304415549173205</c:v>
                </c:pt>
                <c:pt idx="25">
                  <c:v>5.0522583347774201</c:v>
                </c:pt>
              </c:numCache>
            </c:numRef>
          </c:xVal>
          <c:yVal>
            <c:numRef>
              <c:f>'Plotting Marginal CostsBenefits'!$K$67:$K$92</c:f>
              <c:numCache>
                <c:formatCode>General</c:formatCode>
                <c:ptCount val="26"/>
                <c:pt idx="22" formatCode="&quot;$&quot;#,##0.00_);[Red]\(&quot;$&quot;#,##0.00\)">
                  <c:v>7.7739790500000003</c:v>
                </c:pt>
                <c:pt idx="23" formatCode="&quot;$&quot;#,##0.00_);[Red]\(&quot;$&quot;#,##0.00\)">
                  <c:v>26.217887908184199</c:v>
                </c:pt>
                <c:pt idx="24" formatCode="&quot;$&quot;#,##0.00_);[Red]\(&quot;$&quot;#,##0.00\)">
                  <c:v>4.6815642999999998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5F5-4451-BD4A-48C7DB21EC86}"/>
            </c:ext>
          </c:extLst>
        </c:ser>
        <c:ser>
          <c:idx val="8"/>
          <c:order val="7"/>
          <c:tx>
            <c:strRef>
              <c:f>'Plotting Marginal CostsBenefits'!$L$1</c:f>
              <c:strCache>
                <c:ptCount val="1"/>
                <c:pt idx="0">
                  <c:v>Optimal - 1.5 Gt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5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'Plotting Marginal CostsBenefits'!$D$67:$D$92</c:f>
              <c:numCache>
                <c:formatCode>"$"#,##0.00_);[Red]\("$"#,##0.00\)</c:formatCode>
                <c:ptCount val="26"/>
                <c:pt idx="0">
                  <c:v>9.476218021083989</c:v>
                </c:pt>
                <c:pt idx="1">
                  <c:v>16.568117338946593</c:v>
                </c:pt>
                <c:pt idx="2">
                  <c:v>19.137170013317693</c:v>
                </c:pt>
                <c:pt idx="3">
                  <c:v>45.651924713912997</c:v>
                </c:pt>
                <c:pt idx="4">
                  <c:v>3.0119272354747899</c:v>
                </c:pt>
                <c:pt idx="5">
                  <c:v>0.64868348327826975</c:v>
                </c:pt>
                <c:pt idx="6">
                  <c:v>3.5095880533935908</c:v>
                </c:pt>
                <c:pt idx="7">
                  <c:v>1.1456123160236911</c:v>
                </c:pt>
                <c:pt idx="8">
                  <c:v>1.9826901417550908</c:v>
                </c:pt>
                <c:pt idx="9">
                  <c:v>11.417559116321593</c:v>
                </c:pt>
                <c:pt idx="10">
                  <c:v>138.93530596719577</c:v>
                </c:pt>
                <c:pt idx="11">
                  <c:v>4.3122304298988912</c:v>
                </c:pt>
                <c:pt idx="12">
                  <c:v>10.039370991663089</c:v>
                </c:pt>
                <c:pt idx="13">
                  <c:v>15.35711737145612</c:v>
                </c:pt>
                <c:pt idx="14">
                  <c:v>35.469894501100818</c:v>
                </c:pt>
                <c:pt idx="15">
                  <c:v>26.98339696665612</c:v>
                </c:pt>
                <c:pt idx="16">
                  <c:v>86.588878581692811</c:v>
                </c:pt>
                <c:pt idx="17">
                  <c:v>3.059409534844721</c:v>
                </c:pt>
                <c:pt idx="18">
                  <c:v>0.6423605549173208</c:v>
                </c:pt>
                <c:pt idx="19">
                  <c:v>3.4674732449173207</c:v>
                </c:pt>
                <c:pt idx="20">
                  <c:v>1.1266878249173204</c:v>
                </c:pt>
                <c:pt idx="21">
                  <c:v>1.9676849149173194</c:v>
                </c:pt>
                <c:pt idx="22">
                  <c:v>11.432142664917318</c:v>
                </c:pt>
                <c:pt idx="23">
                  <c:v>140.55513866259832</c:v>
                </c:pt>
                <c:pt idx="24">
                  <c:v>4.3304415549173205</c:v>
                </c:pt>
                <c:pt idx="25">
                  <c:v>5.0522583347774201</c:v>
                </c:pt>
              </c:numCache>
            </c:numRef>
          </c:xVal>
          <c:yVal>
            <c:numRef>
              <c:f>'Plotting Marginal CostsBenefits'!$L$67:$L$92</c:f>
              <c:numCache>
                <c:formatCode>General</c:formatCode>
                <c:ptCount val="26"/>
                <c:pt idx="25" formatCode="&quot;$&quot;#,##0.00_);[Red]\(&quot;$&quot;#,##0.00\)">
                  <c:v>8.1740890987246004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5F5-4451-BD4A-48C7DB21EC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8358192"/>
        <c:axId val="688359152"/>
      </c:scatterChart>
      <c:valAx>
        <c:axId val="688358192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bg2">
                        <a:lumMod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400" b="0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Costs (Billion $ NPV)</a:t>
                </a:r>
              </a:p>
            </c:rich>
          </c:tx>
          <c:layout>
            <c:manualLayout>
              <c:xMode val="edge"/>
              <c:yMode val="edge"/>
              <c:x val="0.2957181115719314"/>
              <c:y val="0.9400186800161075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bg2">
                      <a:lumMod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&quot;$&quot;#,##0_);[Red]\(&quot;$&quot;#,##0\)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bg2">
                <a:lumMod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bg2">
                    <a:lumMod val="2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88359152"/>
        <c:crosses val="autoZero"/>
        <c:crossBetween val="midCat"/>
      </c:valAx>
      <c:valAx>
        <c:axId val="688359152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0" i="0" u="none" strike="noStrike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Benefits (Billion $ NPV)</a:t>
                </a:r>
              </a:p>
            </c:rich>
          </c:tx>
          <c:layout>
            <c:manualLayout>
              <c:xMode val="edge"/>
              <c:yMode val="edge"/>
              <c:x val="4.4969831580597853E-3"/>
              <c:y val="0.3104262643222279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0"/>
        <c:majorTickMark val="in"/>
        <c:minorTickMark val="none"/>
        <c:tickLblPos val="low"/>
        <c:spPr>
          <a:noFill/>
          <a:ln w="9525" cap="flat" cmpd="sng" algn="ctr">
            <a:solidFill>
              <a:schemeClr val="bg2">
                <a:lumMod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t" anchorCtr="0"/>
          <a:lstStyle/>
          <a:p>
            <a:pPr>
              <a:defRPr sz="1200" b="0" i="0" u="none" strike="noStrike" kern="1200" baseline="0">
                <a:solidFill>
                  <a:schemeClr val="bg2">
                    <a:lumMod val="2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88358192"/>
        <c:crossesAt val="0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4911282209091123"/>
          <c:y val="2.5016113523960957E-2"/>
          <c:w val="0.71286676951640582"/>
          <c:h val="0.11825775520630949"/>
        </c:manualLayout>
      </c:layout>
      <c:overlay val="0"/>
      <c:spPr>
        <a:solidFill>
          <a:schemeClr val="bg1">
            <a:alpha val="50000"/>
          </a:schemeClr>
        </a:solidFill>
        <a:ln>
          <a:solidFill>
            <a:schemeClr val="bg2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2">
                  <a:lumMod val="2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870787638313491"/>
          <c:y val="3.4187791521298881E-2"/>
          <c:w val="0.75541814206173474"/>
          <c:h val="0.90620000940750112"/>
        </c:manualLayout>
      </c:layout>
      <c:scatterChart>
        <c:scatterStyle val="lineMarker"/>
        <c:varyColors val="0"/>
        <c:ser>
          <c:idx val="0"/>
          <c:order val="0"/>
          <c:tx>
            <c:strRef>
              <c:f>'Plotting Marginal CostsBenefits'!$E$1</c:f>
              <c:strCache>
                <c:ptCount val="1"/>
                <c:pt idx="0">
                  <c:v>Innovation - 500 Mt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'Plotting Marginal CostsBenefits'!$D$2:$D$27</c:f>
              <c:numCache>
                <c:formatCode>"$"#,##0.00_);[Red]\("$"#,##0.00\)</c:formatCode>
                <c:ptCount val="26"/>
                <c:pt idx="0">
                  <c:v>19.507666627389298</c:v>
                </c:pt>
                <c:pt idx="1">
                  <c:v>49.024106181054101</c:v>
                </c:pt>
                <c:pt idx="2">
                  <c:v>30.778911794356603</c:v>
                </c:pt>
                <c:pt idx="3">
                  <c:v>123.20310413121541</c:v>
                </c:pt>
                <c:pt idx="4">
                  <c:v>3.4180807765760002</c:v>
                </c:pt>
                <c:pt idx="5">
                  <c:v>0.97928706998899906</c:v>
                </c:pt>
                <c:pt idx="6">
                  <c:v>6.2991855513266</c:v>
                </c:pt>
                <c:pt idx="7">
                  <c:v>2.0690140113137985</c:v>
                </c:pt>
                <c:pt idx="8">
                  <c:v>2.9827319463466995</c:v>
                </c:pt>
                <c:pt idx="9">
                  <c:v>16.321083694048699</c:v>
                </c:pt>
                <c:pt idx="10">
                  <c:v>297.38680981420038</c:v>
                </c:pt>
                <c:pt idx="11">
                  <c:v>6.3563921801898999</c:v>
                </c:pt>
                <c:pt idx="12">
                  <c:v>20.2996698744101</c:v>
                </c:pt>
                <c:pt idx="13">
                  <c:v>32.373756119478799</c:v>
                </c:pt>
                <c:pt idx="14">
                  <c:v>118.44825738800961</c:v>
                </c:pt>
                <c:pt idx="15">
                  <c:v>43.7023472377834</c:v>
                </c:pt>
                <c:pt idx="16">
                  <c:v>258.09705269067859</c:v>
                </c:pt>
                <c:pt idx="17">
                  <c:v>3.4782184226562003</c:v>
                </c:pt>
                <c:pt idx="18">
                  <c:v>0.97127899051760136</c:v>
                </c:pt>
                <c:pt idx="19">
                  <c:v>6.2458449505176015</c:v>
                </c:pt>
                <c:pt idx="20">
                  <c:v>2.0450444705176016</c:v>
                </c:pt>
                <c:pt idx="21">
                  <c:v>2.9637267405176009</c:v>
                </c:pt>
                <c:pt idx="22">
                  <c:v>16.349541010517601</c:v>
                </c:pt>
                <c:pt idx="23">
                  <c:v>302.97254611755056</c:v>
                </c:pt>
                <c:pt idx="24">
                  <c:v>6.3875267705175993</c:v>
                </c:pt>
                <c:pt idx="25">
                  <c:v>7.4631232878893004</c:v>
                </c:pt>
              </c:numCache>
            </c:numRef>
          </c:xVal>
          <c:yVal>
            <c:numRef>
              <c:f>'Plotting Marginal CostsBenefits'!$E$2:$E$27</c:f>
              <c:numCache>
                <c:formatCode>General</c:formatCode>
                <c:ptCount val="26"/>
                <c:pt idx="4" formatCode="&quot;$&quot;#,##0.00_);[Red]\(&quot;$&quot;#,##0.00\)">
                  <c:v>0.41248126069827401</c:v>
                </c:pt>
                <c:pt idx="5" formatCode="&quot;$&quot;#,##0.00_);[Red]\(&quot;$&quot;#,##0.00\)">
                  <c:v>5.0253693987003301</c:v>
                </c:pt>
                <c:pt idx="6" formatCode="&quot;$&quot;#,##0.00_);[Red]\(&quot;$&quot;#,##0.00\)">
                  <c:v>12.921435586799699</c:v>
                </c:pt>
                <c:pt idx="7" formatCode="&quot;$&quot;#,##0.00_);[Red]\(&quot;$&quot;#,##0.00\)">
                  <c:v>8.0272493380455501</c:v>
                </c:pt>
                <c:pt idx="8" formatCode="&quot;$&quot;#,##0.00_);[Red]\(&quot;$&quot;#,##0.00\)">
                  <c:v>9.3501536406274504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B8-4A6D-99AF-C5CC8E2B1908}"/>
            </c:ext>
          </c:extLst>
        </c:ser>
        <c:ser>
          <c:idx val="1"/>
          <c:order val="1"/>
          <c:tx>
            <c:strRef>
              <c:f>'Plotting Marginal CostsBenefits'!$F$1</c:f>
              <c:strCache>
                <c:ptCount val="1"/>
                <c:pt idx="0">
                  <c:v>Subsidy - 500 Mt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'Plotting Marginal CostsBenefits'!$D$2:$D$27</c:f>
              <c:numCache>
                <c:formatCode>"$"#,##0.00_);[Red]\("$"#,##0.00\)</c:formatCode>
                <c:ptCount val="26"/>
                <c:pt idx="0">
                  <c:v>19.507666627389298</c:v>
                </c:pt>
                <c:pt idx="1">
                  <c:v>49.024106181054101</c:v>
                </c:pt>
                <c:pt idx="2">
                  <c:v>30.778911794356603</c:v>
                </c:pt>
                <c:pt idx="3">
                  <c:v>123.20310413121541</c:v>
                </c:pt>
                <c:pt idx="4">
                  <c:v>3.4180807765760002</c:v>
                </c:pt>
                <c:pt idx="5">
                  <c:v>0.97928706998899906</c:v>
                </c:pt>
                <c:pt idx="6">
                  <c:v>6.2991855513266</c:v>
                </c:pt>
                <c:pt idx="7">
                  <c:v>2.0690140113137985</c:v>
                </c:pt>
                <c:pt idx="8">
                  <c:v>2.9827319463466995</c:v>
                </c:pt>
                <c:pt idx="9">
                  <c:v>16.321083694048699</c:v>
                </c:pt>
                <c:pt idx="10">
                  <c:v>297.38680981420038</c:v>
                </c:pt>
                <c:pt idx="11">
                  <c:v>6.3563921801898999</c:v>
                </c:pt>
                <c:pt idx="12">
                  <c:v>20.2996698744101</c:v>
                </c:pt>
                <c:pt idx="13">
                  <c:v>32.373756119478799</c:v>
                </c:pt>
                <c:pt idx="14">
                  <c:v>118.44825738800961</c:v>
                </c:pt>
                <c:pt idx="15">
                  <c:v>43.7023472377834</c:v>
                </c:pt>
                <c:pt idx="16">
                  <c:v>258.09705269067859</c:v>
                </c:pt>
                <c:pt idx="17">
                  <c:v>3.4782184226562003</c:v>
                </c:pt>
                <c:pt idx="18">
                  <c:v>0.97127899051760136</c:v>
                </c:pt>
                <c:pt idx="19">
                  <c:v>6.2458449505176015</c:v>
                </c:pt>
                <c:pt idx="20">
                  <c:v>2.0450444705176016</c:v>
                </c:pt>
                <c:pt idx="21">
                  <c:v>2.9637267405176009</c:v>
                </c:pt>
                <c:pt idx="22">
                  <c:v>16.349541010517601</c:v>
                </c:pt>
                <c:pt idx="23">
                  <c:v>302.97254611755056</c:v>
                </c:pt>
                <c:pt idx="24">
                  <c:v>6.3875267705175993</c:v>
                </c:pt>
                <c:pt idx="25">
                  <c:v>7.4631232878893004</c:v>
                </c:pt>
              </c:numCache>
            </c:numRef>
          </c:xVal>
          <c:yVal>
            <c:numRef>
              <c:f>'Plotting Marginal CostsBenefits'!$F$2:$F$27</c:f>
              <c:numCache>
                <c:formatCode>"$"#,##0.00_);[Red]\("$"#,##0.00\)</c:formatCode>
                <c:ptCount val="26"/>
                <c:pt idx="0">
                  <c:v>24.009774422884199</c:v>
                </c:pt>
                <c:pt idx="1">
                  <c:v>48.914657028755293</c:v>
                </c:pt>
                <c:pt idx="2">
                  <c:v>18.6341071918974</c:v>
                </c:pt>
                <c:pt idx="3">
                  <c:v>107.357135510147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BB8-4A6D-99AF-C5CC8E2B1908}"/>
            </c:ext>
          </c:extLst>
        </c:ser>
        <c:ser>
          <c:idx val="2"/>
          <c:order val="2"/>
          <c:tx>
            <c:strRef>
              <c:f>'Plotting Marginal CostsBenefits'!$G$1</c:f>
              <c:strCache>
                <c:ptCount val="1"/>
                <c:pt idx="0">
                  <c:v>Procurement - 500 Mt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'Plotting Marginal CostsBenefits'!$D$2:$D$27</c:f>
              <c:numCache>
                <c:formatCode>"$"#,##0.00_);[Red]\("$"#,##0.00\)</c:formatCode>
                <c:ptCount val="26"/>
                <c:pt idx="0">
                  <c:v>19.507666627389298</c:v>
                </c:pt>
                <c:pt idx="1">
                  <c:v>49.024106181054101</c:v>
                </c:pt>
                <c:pt idx="2">
                  <c:v>30.778911794356603</c:v>
                </c:pt>
                <c:pt idx="3">
                  <c:v>123.20310413121541</c:v>
                </c:pt>
                <c:pt idx="4">
                  <c:v>3.4180807765760002</c:v>
                </c:pt>
                <c:pt idx="5">
                  <c:v>0.97928706998899906</c:v>
                </c:pt>
                <c:pt idx="6">
                  <c:v>6.2991855513266</c:v>
                </c:pt>
                <c:pt idx="7">
                  <c:v>2.0690140113137985</c:v>
                </c:pt>
                <c:pt idx="8">
                  <c:v>2.9827319463466995</c:v>
                </c:pt>
                <c:pt idx="9">
                  <c:v>16.321083694048699</c:v>
                </c:pt>
                <c:pt idx="10">
                  <c:v>297.38680981420038</c:v>
                </c:pt>
                <c:pt idx="11">
                  <c:v>6.3563921801898999</c:v>
                </c:pt>
                <c:pt idx="12">
                  <c:v>20.2996698744101</c:v>
                </c:pt>
                <c:pt idx="13">
                  <c:v>32.373756119478799</c:v>
                </c:pt>
                <c:pt idx="14">
                  <c:v>118.44825738800961</c:v>
                </c:pt>
                <c:pt idx="15">
                  <c:v>43.7023472377834</c:v>
                </c:pt>
                <c:pt idx="16">
                  <c:v>258.09705269067859</c:v>
                </c:pt>
                <c:pt idx="17">
                  <c:v>3.4782184226562003</c:v>
                </c:pt>
                <c:pt idx="18">
                  <c:v>0.97127899051760136</c:v>
                </c:pt>
                <c:pt idx="19">
                  <c:v>6.2458449505176015</c:v>
                </c:pt>
                <c:pt idx="20">
                  <c:v>2.0450444705176016</c:v>
                </c:pt>
                <c:pt idx="21">
                  <c:v>2.9637267405176009</c:v>
                </c:pt>
                <c:pt idx="22">
                  <c:v>16.349541010517601</c:v>
                </c:pt>
                <c:pt idx="23">
                  <c:v>302.97254611755056</c:v>
                </c:pt>
                <c:pt idx="24">
                  <c:v>6.3875267705175993</c:v>
                </c:pt>
                <c:pt idx="25">
                  <c:v>7.4631232878893004</c:v>
                </c:pt>
              </c:numCache>
            </c:numRef>
          </c:xVal>
          <c:yVal>
            <c:numRef>
              <c:f>'Plotting Marginal CostsBenefits'!$G$2:$G$27</c:f>
              <c:numCache>
                <c:formatCode>General</c:formatCode>
                <c:ptCount val="26"/>
                <c:pt idx="9" formatCode="&quot;$&quot;#,##0.00_);[Red]\(&quot;$&quot;#,##0.00\)">
                  <c:v>10.7175437780061</c:v>
                </c:pt>
                <c:pt idx="10" formatCode="&quot;$&quot;#,##0.00_);[Red]\(&quot;$&quot;#,##0.00\)">
                  <c:v>43.6877465457071</c:v>
                </c:pt>
                <c:pt idx="11" formatCode="&quot;$&quot;#,##0.00_);[Red]\(&quot;$&quot;#,##0.00\)">
                  <c:v>6.6404507534377402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BB8-4A6D-99AF-C5CC8E2B1908}"/>
            </c:ext>
          </c:extLst>
        </c:ser>
        <c:ser>
          <c:idx val="3"/>
          <c:order val="3"/>
          <c:tx>
            <c:strRef>
              <c:f>'Plotting Marginal CostsBenefits'!$H$1</c:f>
              <c:strCache>
                <c:ptCount val="1"/>
                <c:pt idx="0">
                  <c:v>Optimal - 500 Mt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'Plotting Marginal CostsBenefits'!$D$2:$D$27</c:f>
              <c:numCache>
                <c:formatCode>"$"#,##0.00_);[Red]\("$"#,##0.00\)</c:formatCode>
                <c:ptCount val="26"/>
                <c:pt idx="0">
                  <c:v>19.507666627389298</c:v>
                </c:pt>
                <c:pt idx="1">
                  <c:v>49.024106181054101</c:v>
                </c:pt>
                <c:pt idx="2">
                  <c:v>30.778911794356603</c:v>
                </c:pt>
                <c:pt idx="3">
                  <c:v>123.20310413121541</c:v>
                </c:pt>
                <c:pt idx="4">
                  <c:v>3.4180807765760002</c:v>
                </c:pt>
                <c:pt idx="5">
                  <c:v>0.97928706998899906</c:v>
                </c:pt>
                <c:pt idx="6">
                  <c:v>6.2991855513266</c:v>
                </c:pt>
                <c:pt idx="7">
                  <c:v>2.0690140113137985</c:v>
                </c:pt>
                <c:pt idx="8">
                  <c:v>2.9827319463466995</c:v>
                </c:pt>
                <c:pt idx="9">
                  <c:v>16.321083694048699</c:v>
                </c:pt>
                <c:pt idx="10">
                  <c:v>297.38680981420038</c:v>
                </c:pt>
                <c:pt idx="11">
                  <c:v>6.3563921801898999</c:v>
                </c:pt>
                <c:pt idx="12">
                  <c:v>20.2996698744101</c:v>
                </c:pt>
                <c:pt idx="13">
                  <c:v>32.373756119478799</c:v>
                </c:pt>
                <c:pt idx="14">
                  <c:v>118.44825738800961</c:v>
                </c:pt>
                <c:pt idx="15">
                  <c:v>43.7023472377834</c:v>
                </c:pt>
                <c:pt idx="16">
                  <c:v>258.09705269067859</c:v>
                </c:pt>
                <c:pt idx="17">
                  <c:v>3.4782184226562003</c:v>
                </c:pt>
                <c:pt idx="18">
                  <c:v>0.97127899051760136</c:v>
                </c:pt>
                <c:pt idx="19">
                  <c:v>6.2458449505176015</c:v>
                </c:pt>
                <c:pt idx="20">
                  <c:v>2.0450444705176016</c:v>
                </c:pt>
                <c:pt idx="21">
                  <c:v>2.9637267405176009</c:v>
                </c:pt>
                <c:pt idx="22">
                  <c:v>16.349541010517601</c:v>
                </c:pt>
                <c:pt idx="23">
                  <c:v>302.97254611755056</c:v>
                </c:pt>
                <c:pt idx="24">
                  <c:v>6.3875267705175993</c:v>
                </c:pt>
                <c:pt idx="25">
                  <c:v>7.4631232878893004</c:v>
                </c:pt>
              </c:numCache>
            </c:numRef>
          </c:xVal>
          <c:yVal>
            <c:numRef>
              <c:f>'Plotting Marginal CostsBenefits'!$H$2:$H$27</c:f>
              <c:numCache>
                <c:formatCode>General</c:formatCode>
                <c:ptCount val="26"/>
                <c:pt idx="12" formatCode="&quot;$&quot;#,##0.00_);[Red]\(&quot;$&quot;#,##0.00\)">
                  <c:v>29.063628096181301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BB8-4A6D-99AF-C5CC8E2B1908}"/>
            </c:ext>
          </c:extLst>
        </c:ser>
        <c:ser>
          <c:idx val="5"/>
          <c:order val="4"/>
          <c:tx>
            <c:strRef>
              <c:f>'Plotting Marginal CostsBenefits'!$I$1</c:f>
              <c:strCache>
                <c:ptCount val="1"/>
                <c:pt idx="0">
                  <c:v>Innovation - 1.5 Gt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5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'Plotting Marginal CostsBenefits'!$D$2:$D$27</c:f>
              <c:numCache>
                <c:formatCode>"$"#,##0.00_);[Red]\("$"#,##0.00\)</c:formatCode>
                <c:ptCount val="26"/>
                <c:pt idx="0">
                  <c:v>19.507666627389298</c:v>
                </c:pt>
                <c:pt idx="1">
                  <c:v>49.024106181054101</c:v>
                </c:pt>
                <c:pt idx="2">
                  <c:v>30.778911794356603</c:v>
                </c:pt>
                <c:pt idx="3">
                  <c:v>123.20310413121541</c:v>
                </c:pt>
                <c:pt idx="4">
                  <c:v>3.4180807765760002</c:v>
                </c:pt>
                <c:pt idx="5">
                  <c:v>0.97928706998899906</c:v>
                </c:pt>
                <c:pt idx="6">
                  <c:v>6.2991855513266</c:v>
                </c:pt>
                <c:pt idx="7">
                  <c:v>2.0690140113137985</c:v>
                </c:pt>
                <c:pt idx="8">
                  <c:v>2.9827319463466995</c:v>
                </c:pt>
                <c:pt idx="9">
                  <c:v>16.321083694048699</c:v>
                </c:pt>
                <c:pt idx="10">
                  <c:v>297.38680981420038</c:v>
                </c:pt>
                <c:pt idx="11">
                  <c:v>6.3563921801898999</c:v>
                </c:pt>
                <c:pt idx="12">
                  <c:v>20.2996698744101</c:v>
                </c:pt>
                <c:pt idx="13">
                  <c:v>32.373756119478799</c:v>
                </c:pt>
                <c:pt idx="14">
                  <c:v>118.44825738800961</c:v>
                </c:pt>
                <c:pt idx="15">
                  <c:v>43.7023472377834</c:v>
                </c:pt>
                <c:pt idx="16">
                  <c:v>258.09705269067859</c:v>
                </c:pt>
                <c:pt idx="17">
                  <c:v>3.4782184226562003</c:v>
                </c:pt>
                <c:pt idx="18">
                  <c:v>0.97127899051760136</c:v>
                </c:pt>
                <c:pt idx="19">
                  <c:v>6.2458449505176015</c:v>
                </c:pt>
                <c:pt idx="20">
                  <c:v>2.0450444705176016</c:v>
                </c:pt>
                <c:pt idx="21">
                  <c:v>2.9637267405176009</c:v>
                </c:pt>
                <c:pt idx="22">
                  <c:v>16.349541010517601</c:v>
                </c:pt>
                <c:pt idx="23">
                  <c:v>302.97254611755056</c:v>
                </c:pt>
                <c:pt idx="24">
                  <c:v>6.3875267705175993</c:v>
                </c:pt>
                <c:pt idx="25">
                  <c:v>7.4631232878893004</c:v>
                </c:pt>
              </c:numCache>
            </c:numRef>
          </c:xVal>
          <c:yVal>
            <c:numRef>
              <c:f>'Plotting Marginal CostsBenefits'!$I$2:$I$27</c:f>
              <c:numCache>
                <c:formatCode>General</c:formatCode>
                <c:ptCount val="26"/>
                <c:pt idx="17" formatCode="&quot;$&quot;#,##0.00_);[Red]\(&quot;$&quot;#,##0.00\)">
                  <c:v>0.8791931619102249</c:v>
                </c:pt>
                <c:pt idx="18" formatCode="&quot;$&quot;#,##0.00_);[Red]\(&quot;$&quot;#,##0.00\)">
                  <c:v>8.6747509489999999</c:v>
                </c:pt>
                <c:pt idx="19" formatCode="&quot;$&quot;#,##0.00_);[Red]\(&quot;$&quot;#,##0.00\)">
                  <c:v>21.894339179999999</c:v>
                </c:pt>
                <c:pt idx="20" formatCode="&quot;$&quot;#,##0.00_);[Red]\(&quot;$&quot;#,##0.00\)">
                  <c:v>13.872357640000001</c:v>
                </c:pt>
                <c:pt idx="21" formatCode="&quot;$&quot;#,##0.00_);[Red]\(&quot;$&quot;#,##0.00\)">
                  <c:v>15.910768729999999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BB8-4A6D-99AF-C5CC8E2B1908}"/>
            </c:ext>
          </c:extLst>
        </c:ser>
        <c:ser>
          <c:idx val="6"/>
          <c:order val="5"/>
          <c:tx>
            <c:strRef>
              <c:f>'Plotting Marginal CostsBenefits'!$J$1</c:f>
              <c:strCache>
                <c:ptCount val="1"/>
                <c:pt idx="0">
                  <c:v>Subsidy - 1.5 Gt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5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'Plotting Marginal CostsBenefits'!$D$2:$D$27</c:f>
              <c:numCache>
                <c:formatCode>"$"#,##0.00_);[Red]\("$"#,##0.00\)</c:formatCode>
                <c:ptCount val="26"/>
                <c:pt idx="0">
                  <c:v>19.507666627389298</c:v>
                </c:pt>
                <c:pt idx="1">
                  <c:v>49.024106181054101</c:v>
                </c:pt>
                <c:pt idx="2">
                  <c:v>30.778911794356603</c:v>
                </c:pt>
                <c:pt idx="3">
                  <c:v>123.20310413121541</c:v>
                </c:pt>
                <c:pt idx="4">
                  <c:v>3.4180807765760002</c:v>
                </c:pt>
                <c:pt idx="5">
                  <c:v>0.97928706998899906</c:v>
                </c:pt>
                <c:pt idx="6">
                  <c:v>6.2991855513266</c:v>
                </c:pt>
                <c:pt idx="7">
                  <c:v>2.0690140113137985</c:v>
                </c:pt>
                <c:pt idx="8">
                  <c:v>2.9827319463466995</c:v>
                </c:pt>
                <c:pt idx="9">
                  <c:v>16.321083694048699</c:v>
                </c:pt>
                <c:pt idx="10">
                  <c:v>297.38680981420038</c:v>
                </c:pt>
                <c:pt idx="11">
                  <c:v>6.3563921801898999</c:v>
                </c:pt>
                <c:pt idx="12">
                  <c:v>20.2996698744101</c:v>
                </c:pt>
                <c:pt idx="13">
                  <c:v>32.373756119478799</c:v>
                </c:pt>
                <c:pt idx="14">
                  <c:v>118.44825738800961</c:v>
                </c:pt>
                <c:pt idx="15">
                  <c:v>43.7023472377834</c:v>
                </c:pt>
                <c:pt idx="16">
                  <c:v>258.09705269067859</c:v>
                </c:pt>
                <c:pt idx="17">
                  <c:v>3.4782184226562003</c:v>
                </c:pt>
                <c:pt idx="18">
                  <c:v>0.97127899051760136</c:v>
                </c:pt>
                <c:pt idx="19">
                  <c:v>6.2458449505176015</c:v>
                </c:pt>
                <c:pt idx="20">
                  <c:v>2.0450444705176016</c:v>
                </c:pt>
                <c:pt idx="21">
                  <c:v>2.9637267405176009</c:v>
                </c:pt>
                <c:pt idx="22">
                  <c:v>16.349541010517601</c:v>
                </c:pt>
                <c:pt idx="23">
                  <c:v>302.97254611755056</c:v>
                </c:pt>
                <c:pt idx="24">
                  <c:v>6.3875267705175993</c:v>
                </c:pt>
                <c:pt idx="25">
                  <c:v>7.4631232878893004</c:v>
                </c:pt>
              </c:numCache>
            </c:numRef>
          </c:xVal>
          <c:yVal>
            <c:numRef>
              <c:f>'Plotting Marginal CostsBenefits'!$J$2:$J$27</c:f>
              <c:numCache>
                <c:formatCode>General</c:formatCode>
                <c:ptCount val="26"/>
                <c:pt idx="13" formatCode="&quot;$&quot;#,##0.00_);[Red]\(&quot;$&quot;#,##0.00\)">
                  <c:v>44.358724472512797</c:v>
                </c:pt>
                <c:pt idx="14" formatCode="&quot;$&quot;#,##0.00_);[Red]\(&quot;$&quot;#,##0.00\)">
                  <c:v>118.63645174144401</c:v>
                </c:pt>
                <c:pt idx="15" formatCode="&quot;$&quot;#,##0.00_);[Red]\(&quot;$&quot;#,##0.00\)">
                  <c:v>26.414789086624101</c:v>
                </c:pt>
                <c:pt idx="16" formatCode="&quot;$&quot;#,##0.00_);[Red]\(&quot;$&quot;#,##0.00\)">
                  <c:v>244.02110904411501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BB8-4A6D-99AF-C5CC8E2B1908}"/>
            </c:ext>
          </c:extLst>
        </c:ser>
        <c:ser>
          <c:idx val="7"/>
          <c:order val="6"/>
          <c:tx>
            <c:strRef>
              <c:f>'Plotting Marginal CostsBenefits'!$K$1</c:f>
              <c:strCache>
                <c:ptCount val="1"/>
                <c:pt idx="0">
                  <c:v>Procurement - 1.5 Gt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5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'Plotting Marginal CostsBenefits'!$D$2:$D$27</c:f>
              <c:numCache>
                <c:formatCode>"$"#,##0.00_);[Red]\("$"#,##0.00\)</c:formatCode>
                <c:ptCount val="26"/>
                <c:pt idx="0">
                  <c:v>19.507666627389298</c:v>
                </c:pt>
                <c:pt idx="1">
                  <c:v>49.024106181054101</c:v>
                </c:pt>
                <c:pt idx="2">
                  <c:v>30.778911794356603</c:v>
                </c:pt>
                <c:pt idx="3">
                  <c:v>123.20310413121541</c:v>
                </c:pt>
                <c:pt idx="4">
                  <c:v>3.4180807765760002</c:v>
                </c:pt>
                <c:pt idx="5">
                  <c:v>0.97928706998899906</c:v>
                </c:pt>
                <c:pt idx="6">
                  <c:v>6.2991855513266</c:v>
                </c:pt>
                <c:pt idx="7">
                  <c:v>2.0690140113137985</c:v>
                </c:pt>
                <c:pt idx="8">
                  <c:v>2.9827319463466995</c:v>
                </c:pt>
                <c:pt idx="9">
                  <c:v>16.321083694048699</c:v>
                </c:pt>
                <c:pt idx="10">
                  <c:v>297.38680981420038</c:v>
                </c:pt>
                <c:pt idx="11">
                  <c:v>6.3563921801898999</c:v>
                </c:pt>
                <c:pt idx="12">
                  <c:v>20.2996698744101</c:v>
                </c:pt>
                <c:pt idx="13">
                  <c:v>32.373756119478799</c:v>
                </c:pt>
                <c:pt idx="14">
                  <c:v>118.44825738800961</c:v>
                </c:pt>
                <c:pt idx="15">
                  <c:v>43.7023472377834</c:v>
                </c:pt>
                <c:pt idx="16">
                  <c:v>258.09705269067859</c:v>
                </c:pt>
                <c:pt idx="17">
                  <c:v>3.4782184226562003</c:v>
                </c:pt>
                <c:pt idx="18">
                  <c:v>0.97127899051760136</c:v>
                </c:pt>
                <c:pt idx="19">
                  <c:v>6.2458449505176015</c:v>
                </c:pt>
                <c:pt idx="20">
                  <c:v>2.0450444705176016</c:v>
                </c:pt>
                <c:pt idx="21">
                  <c:v>2.9637267405176009</c:v>
                </c:pt>
                <c:pt idx="22">
                  <c:v>16.349541010517601</c:v>
                </c:pt>
                <c:pt idx="23">
                  <c:v>302.97254611755056</c:v>
                </c:pt>
                <c:pt idx="24">
                  <c:v>6.3875267705175993</c:v>
                </c:pt>
                <c:pt idx="25">
                  <c:v>7.4631232878893004</c:v>
                </c:pt>
              </c:numCache>
            </c:numRef>
          </c:xVal>
          <c:yVal>
            <c:numRef>
              <c:f>'Plotting Marginal CostsBenefits'!$K$2:$K$27</c:f>
              <c:numCache>
                <c:formatCode>General</c:formatCode>
                <c:ptCount val="26"/>
                <c:pt idx="22" formatCode="&quot;$&quot;#,##0.00_);[Red]\(&quot;$&quot;#,##0.00\)">
                  <c:v>16.549278579999999</c:v>
                </c:pt>
                <c:pt idx="23" formatCode="&quot;$&quot;#,##0.00_);[Red]\(&quot;$&quot;#,##0.00\)">
                  <c:v>50.271576977978299</c:v>
                </c:pt>
                <c:pt idx="24" formatCode="&quot;$&quot;#,##0.00_);[Red]\(&quot;$&quot;#,##0.00\)">
                  <c:v>11.192743119999999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BB8-4A6D-99AF-C5CC8E2B1908}"/>
            </c:ext>
          </c:extLst>
        </c:ser>
        <c:ser>
          <c:idx val="8"/>
          <c:order val="7"/>
          <c:tx>
            <c:strRef>
              <c:f>'Plotting Marginal CostsBenefits'!$L$1</c:f>
              <c:strCache>
                <c:ptCount val="1"/>
                <c:pt idx="0">
                  <c:v>Optimal - 1.5 Gt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5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'Plotting Marginal CostsBenefits'!$D$2:$D$27</c:f>
              <c:numCache>
                <c:formatCode>"$"#,##0.00_);[Red]\("$"#,##0.00\)</c:formatCode>
                <c:ptCount val="26"/>
                <c:pt idx="0">
                  <c:v>19.507666627389298</c:v>
                </c:pt>
                <c:pt idx="1">
                  <c:v>49.024106181054101</c:v>
                </c:pt>
                <c:pt idx="2">
                  <c:v>30.778911794356603</c:v>
                </c:pt>
                <c:pt idx="3">
                  <c:v>123.20310413121541</c:v>
                </c:pt>
                <c:pt idx="4">
                  <c:v>3.4180807765760002</c:v>
                </c:pt>
                <c:pt idx="5">
                  <c:v>0.97928706998899906</c:v>
                </c:pt>
                <c:pt idx="6">
                  <c:v>6.2991855513266</c:v>
                </c:pt>
                <c:pt idx="7">
                  <c:v>2.0690140113137985</c:v>
                </c:pt>
                <c:pt idx="8">
                  <c:v>2.9827319463466995</c:v>
                </c:pt>
                <c:pt idx="9">
                  <c:v>16.321083694048699</c:v>
                </c:pt>
                <c:pt idx="10">
                  <c:v>297.38680981420038</c:v>
                </c:pt>
                <c:pt idx="11">
                  <c:v>6.3563921801898999</c:v>
                </c:pt>
                <c:pt idx="12">
                  <c:v>20.2996698744101</c:v>
                </c:pt>
                <c:pt idx="13">
                  <c:v>32.373756119478799</c:v>
                </c:pt>
                <c:pt idx="14">
                  <c:v>118.44825738800961</c:v>
                </c:pt>
                <c:pt idx="15">
                  <c:v>43.7023472377834</c:v>
                </c:pt>
                <c:pt idx="16">
                  <c:v>258.09705269067859</c:v>
                </c:pt>
                <c:pt idx="17">
                  <c:v>3.4782184226562003</c:v>
                </c:pt>
                <c:pt idx="18">
                  <c:v>0.97127899051760136</c:v>
                </c:pt>
                <c:pt idx="19">
                  <c:v>6.2458449505176015</c:v>
                </c:pt>
                <c:pt idx="20">
                  <c:v>2.0450444705176016</c:v>
                </c:pt>
                <c:pt idx="21">
                  <c:v>2.9637267405176009</c:v>
                </c:pt>
                <c:pt idx="22">
                  <c:v>16.349541010517601</c:v>
                </c:pt>
                <c:pt idx="23">
                  <c:v>302.97254611755056</c:v>
                </c:pt>
                <c:pt idx="24">
                  <c:v>6.3875267705175993</c:v>
                </c:pt>
                <c:pt idx="25">
                  <c:v>7.4631232878893004</c:v>
                </c:pt>
              </c:numCache>
            </c:numRef>
          </c:xVal>
          <c:yVal>
            <c:numRef>
              <c:f>'Plotting Marginal CostsBenefits'!$L$2:$L$27</c:f>
              <c:numCache>
                <c:formatCode>General</c:formatCode>
                <c:ptCount val="26"/>
                <c:pt idx="25" formatCode="&quot;$&quot;#,##0.00_);[Red]\(&quot;$&quot;#,##0.00\)">
                  <c:v>20.872627605884098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BB8-4A6D-99AF-C5CC8E2B19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8358192"/>
        <c:axId val="688359152"/>
      </c:scatterChart>
      <c:valAx>
        <c:axId val="688358192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&quot;$&quot;#,##0_);[Red]\(&quot;$&quot;#,##0\)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bg2">
                <a:lumMod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bg2">
                    <a:lumMod val="2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88359152"/>
        <c:crossesAt val="-50"/>
        <c:crossBetween val="midCat"/>
      </c:valAx>
      <c:valAx>
        <c:axId val="688359152"/>
        <c:scaling>
          <c:orientation val="minMax"/>
          <c:max val="5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&quot;$&quot;#,##0" sourceLinked="0"/>
        <c:majorTickMark val="in"/>
        <c:minorTickMark val="none"/>
        <c:tickLblPos val="low"/>
        <c:spPr>
          <a:noFill/>
          <a:ln w="9525" cap="flat" cmpd="sng" algn="ctr">
            <a:solidFill>
              <a:schemeClr val="bg2">
                <a:lumMod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t" anchorCtr="0"/>
          <a:lstStyle/>
          <a:p>
            <a:pPr>
              <a:defRPr sz="1200" b="0" i="0" u="none" strike="noStrike" kern="1200" baseline="0">
                <a:solidFill>
                  <a:schemeClr val="bg2">
                    <a:lumMod val="2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88358192"/>
        <c:crossesAt val="-10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0329354665385102"/>
          <c:y val="3.5891588464031364E-2"/>
          <c:w val="0.69592769481008576"/>
          <c:h val="0.90347359373935887"/>
        </c:manualLayout>
      </c:layout>
      <c:scatterChart>
        <c:scatterStyle val="lineMarker"/>
        <c:varyColors val="0"/>
        <c:ser>
          <c:idx val="0"/>
          <c:order val="0"/>
          <c:tx>
            <c:strRef>
              <c:f>'Plotting Marginal CostsBenefits'!$E$1</c:f>
              <c:strCache>
                <c:ptCount val="1"/>
                <c:pt idx="0">
                  <c:v>Innovation - 500 Mt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'Plotting Marginal CostsBenefits'!$D$32:$D$57</c:f>
              <c:numCache>
                <c:formatCode>"$"#,##0.00_);[Red]\("$"#,##0.00\)</c:formatCode>
                <c:ptCount val="26"/>
                <c:pt idx="0">
                  <c:v>55.215053146678599</c:v>
                </c:pt>
                <c:pt idx="1">
                  <c:v>272.17378966586114</c:v>
                </c:pt>
                <c:pt idx="2">
                  <c:v>60.824649079375007</c:v>
                </c:pt>
                <c:pt idx="3">
                  <c:v>630.34279779581107</c:v>
                </c:pt>
                <c:pt idx="4">
                  <c:v>4.1262415688571004</c:v>
                </c:pt>
                <c:pt idx="5">
                  <c:v>2.3370840578976004</c:v>
                </c:pt>
                <c:pt idx="6">
                  <c:v>14.708132878070801</c:v>
                </c:pt>
                <c:pt idx="7">
                  <c:v>4.8598610157378985</c:v>
                </c:pt>
                <c:pt idx="8">
                  <c:v>7.0714240773678014</c:v>
                </c:pt>
                <c:pt idx="9">
                  <c:v>27.844316551196702</c:v>
                </c:pt>
                <c:pt idx="10">
                  <c:v>1176.2483637984021</c:v>
                </c:pt>
                <c:pt idx="11">
                  <c:v>11.354460030213499</c:v>
                </c:pt>
                <c:pt idx="12">
                  <c:v>56.978455524179303</c:v>
                </c:pt>
                <c:pt idx="13">
                  <c:v>94.455205551250813</c:v>
                </c:pt>
                <c:pt idx="14">
                  <c:v>749.14981794569087</c:v>
                </c:pt>
                <c:pt idx="15">
                  <c:v>87.081623661185802</c:v>
                </c:pt>
                <c:pt idx="16">
                  <c:v>1470.3129361080937</c:v>
                </c:pt>
                <c:pt idx="17">
                  <c:v>4.2101375662191982</c:v>
                </c:pt>
                <c:pt idx="18">
                  <c:v>2.325912385023801</c:v>
                </c:pt>
                <c:pt idx="19">
                  <c:v>14.633717565023801</c:v>
                </c:pt>
                <c:pt idx="20">
                  <c:v>4.8264201050237991</c:v>
                </c:pt>
                <c:pt idx="21">
                  <c:v>7.0449094950238011</c:v>
                </c:pt>
                <c:pt idx="22">
                  <c:v>27.911243325023797</c:v>
                </c:pt>
                <c:pt idx="23">
                  <c:v>1207.1386077176137</c:v>
                </c:pt>
                <c:pt idx="24">
                  <c:v>11.419991415023802</c:v>
                </c:pt>
                <c:pt idx="25">
                  <c:v>13.903174194054902</c:v>
                </c:pt>
              </c:numCache>
            </c:numRef>
          </c:xVal>
          <c:yVal>
            <c:numRef>
              <c:f>'Plotting Marginal CostsBenefits'!$E$32:$E$57</c:f>
              <c:numCache>
                <c:formatCode>General</c:formatCode>
                <c:ptCount val="26"/>
                <c:pt idx="4" formatCode="&quot;$&quot;#,##0.00_);[Red]\(&quot;$&quot;#,##0.00\)">
                  <c:v>0.62911242305952997</c:v>
                </c:pt>
                <c:pt idx="5" formatCode="&quot;$&quot;#,##0.00_);[Red]\(&quot;$&quot;#,##0.00\)">
                  <c:v>24.1876785360786</c:v>
                </c:pt>
                <c:pt idx="6" formatCode="&quot;$&quot;#,##0.00_);[Red]\(&quot;$&quot;#,##0.00\)">
                  <c:v>58.217953069988795</c:v>
                </c:pt>
                <c:pt idx="7" formatCode="&quot;$&quot;#,##0.00_);[Red]\(&quot;$&quot;#,##0.00\)">
                  <c:v>36.532335702793603</c:v>
                </c:pt>
                <c:pt idx="8" formatCode="&quot;$&quot;#,##0.00_);[Red]\(&quot;$&quot;#,##0.00\)">
                  <c:v>43.040120277630102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17B-428E-B155-D82C5681C561}"/>
            </c:ext>
          </c:extLst>
        </c:ser>
        <c:ser>
          <c:idx val="1"/>
          <c:order val="1"/>
          <c:tx>
            <c:strRef>
              <c:f>'Plotting Marginal CostsBenefits'!$F$1</c:f>
              <c:strCache>
                <c:ptCount val="1"/>
                <c:pt idx="0">
                  <c:v>Subsidy - 500 Mt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'Plotting Marginal CostsBenefits'!$D$32:$D$57</c:f>
              <c:numCache>
                <c:formatCode>"$"#,##0.00_);[Red]\("$"#,##0.00\)</c:formatCode>
                <c:ptCount val="26"/>
                <c:pt idx="0">
                  <c:v>55.215053146678599</c:v>
                </c:pt>
                <c:pt idx="1">
                  <c:v>272.17378966586114</c:v>
                </c:pt>
                <c:pt idx="2">
                  <c:v>60.824649079375007</c:v>
                </c:pt>
                <c:pt idx="3">
                  <c:v>630.34279779581107</c:v>
                </c:pt>
                <c:pt idx="4">
                  <c:v>4.1262415688571004</c:v>
                </c:pt>
                <c:pt idx="5">
                  <c:v>2.3370840578976004</c:v>
                </c:pt>
                <c:pt idx="6">
                  <c:v>14.708132878070801</c:v>
                </c:pt>
                <c:pt idx="7">
                  <c:v>4.8598610157378985</c:v>
                </c:pt>
                <c:pt idx="8">
                  <c:v>7.0714240773678014</c:v>
                </c:pt>
                <c:pt idx="9">
                  <c:v>27.844316551196702</c:v>
                </c:pt>
                <c:pt idx="10">
                  <c:v>1176.2483637984021</c:v>
                </c:pt>
                <c:pt idx="11">
                  <c:v>11.354460030213499</c:v>
                </c:pt>
                <c:pt idx="12">
                  <c:v>56.978455524179303</c:v>
                </c:pt>
                <c:pt idx="13">
                  <c:v>94.455205551250813</c:v>
                </c:pt>
                <c:pt idx="14">
                  <c:v>749.14981794569087</c:v>
                </c:pt>
                <c:pt idx="15">
                  <c:v>87.081623661185802</c:v>
                </c:pt>
                <c:pt idx="16">
                  <c:v>1470.3129361080937</c:v>
                </c:pt>
                <c:pt idx="17">
                  <c:v>4.2101375662191982</c:v>
                </c:pt>
                <c:pt idx="18">
                  <c:v>2.325912385023801</c:v>
                </c:pt>
                <c:pt idx="19">
                  <c:v>14.633717565023801</c:v>
                </c:pt>
                <c:pt idx="20">
                  <c:v>4.8264201050237991</c:v>
                </c:pt>
                <c:pt idx="21">
                  <c:v>7.0449094950238011</c:v>
                </c:pt>
                <c:pt idx="22">
                  <c:v>27.911243325023797</c:v>
                </c:pt>
                <c:pt idx="23">
                  <c:v>1207.1386077176137</c:v>
                </c:pt>
                <c:pt idx="24">
                  <c:v>11.419991415023802</c:v>
                </c:pt>
                <c:pt idx="25">
                  <c:v>13.903174194054902</c:v>
                </c:pt>
              </c:numCache>
            </c:numRef>
          </c:xVal>
          <c:yVal>
            <c:numRef>
              <c:f>'Plotting Marginal CostsBenefits'!$F$32:$F$57</c:f>
              <c:numCache>
                <c:formatCode>"$"#,##0.00_);[Red]\("$"#,##0.00\)</c:formatCode>
                <c:ptCount val="26"/>
                <c:pt idx="0">
                  <c:v>87.041623714157296</c:v>
                </c:pt>
                <c:pt idx="1">
                  <c:v>277.18941464709002</c:v>
                </c:pt>
                <c:pt idx="2">
                  <c:v>52.7127567252818</c:v>
                </c:pt>
                <c:pt idx="3">
                  <c:v>568.35747058677691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17B-428E-B155-D82C5681C561}"/>
            </c:ext>
          </c:extLst>
        </c:ser>
        <c:ser>
          <c:idx val="2"/>
          <c:order val="2"/>
          <c:tx>
            <c:strRef>
              <c:f>'Plotting Marginal CostsBenefits'!$G$1</c:f>
              <c:strCache>
                <c:ptCount val="1"/>
                <c:pt idx="0">
                  <c:v>Procurement - 500 Mt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'Plotting Marginal CostsBenefits'!$D$32:$D$57</c:f>
              <c:numCache>
                <c:formatCode>"$"#,##0.00_);[Red]\("$"#,##0.00\)</c:formatCode>
                <c:ptCount val="26"/>
                <c:pt idx="0">
                  <c:v>55.215053146678599</c:v>
                </c:pt>
                <c:pt idx="1">
                  <c:v>272.17378966586114</c:v>
                </c:pt>
                <c:pt idx="2">
                  <c:v>60.824649079375007</c:v>
                </c:pt>
                <c:pt idx="3">
                  <c:v>630.34279779581107</c:v>
                </c:pt>
                <c:pt idx="4">
                  <c:v>4.1262415688571004</c:v>
                </c:pt>
                <c:pt idx="5">
                  <c:v>2.3370840578976004</c:v>
                </c:pt>
                <c:pt idx="6">
                  <c:v>14.708132878070801</c:v>
                </c:pt>
                <c:pt idx="7">
                  <c:v>4.8598610157378985</c:v>
                </c:pt>
                <c:pt idx="8">
                  <c:v>7.0714240773678014</c:v>
                </c:pt>
                <c:pt idx="9">
                  <c:v>27.844316551196702</c:v>
                </c:pt>
                <c:pt idx="10">
                  <c:v>1176.2483637984021</c:v>
                </c:pt>
                <c:pt idx="11">
                  <c:v>11.354460030213499</c:v>
                </c:pt>
                <c:pt idx="12">
                  <c:v>56.978455524179303</c:v>
                </c:pt>
                <c:pt idx="13">
                  <c:v>94.455205551250813</c:v>
                </c:pt>
                <c:pt idx="14">
                  <c:v>749.14981794569087</c:v>
                </c:pt>
                <c:pt idx="15">
                  <c:v>87.081623661185802</c:v>
                </c:pt>
                <c:pt idx="16">
                  <c:v>1470.3129361080937</c:v>
                </c:pt>
                <c:pt idx="17">
                  <c:v>4.2101375662191982</c:v>
                </c:pt>
                <c:pt idx="18">
                  <c:v>2.325912385023801</c:v>
                </c:pt>
                <c:pt idx="19">
                  <c:v>14.633717565023801</c:v>
                </c:pt>
                <c:pt idx="20">
                  <c:v>4.8264201050237991</c:v>
                </c:pt>
                <c:pt idx="21">
                  <c:v>7.0449094950238011</c:v>
                </c:pt>
                <c:pt idx="22">
                  <c:v>27.911243325023797</c:v>
                </c:pt>
                <c:pt idx="23">
                  <c:v>1207.1386077176137</c:v>
                </c:pt>
                <c:pt idx="24">
                  <c:v>11.419991415023802</c:v>
                </c:pt>
                <c:pt idx="25">
                  <c:v>13.903174194054902</c:v>
                </c:pt>
              </c:numCache>
            </c:numRef>
          </c:xVal>
          <c:yVal>
            <c:numRef>
              <c:f>'Plotting Marginal CostsBenefits'!$G$32:$G$57</c:f>
              <c:numCache>
                <c:formatCode>General</c:formatCode>
                <c:ptCount val="26"/>
                <c:pt idx="9" formatCode="&quot;$&quot;#,##0.00_);[Red]\(&quot;$&quot;#,##0.00\)">
                  <c:v>38.255645925858296</c:v>
                </c:pt>
                <c:pt idx="10" formatCode="&quot;$&quot;#,##0.00_);[Red]\(&quot;$&quot;#,##0.00\)">
                  <c:v>118.894246448717</c:v>
                </c:pt>
                <c:pt idx="11" formatCode="&quot;$&quot;#,##0.00_);[Red]\(&quot;$&quot;#,##0.00\)">
                  <c:v>27.8477754083363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17B-428E-B155-D82C5681C561}"/>
            </c:ext>
          </c:extLst>
        </c:ser>
        <c:ser>
          <c:idx val="3"/>
          <c:order val="3"/>
          <c:tx>
            <c:strRef>
              <c:f>'Plotting Marginal CostsBenefits'!$H$1</c:f>
              <c:strCache>
                <c:ptCount val="1"/>
                <c:pt idx="0">
                  <c:v>Optimal - 500 Mt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'Plotting Marginal CostsBenefits'!$D$32:$D$57</c:f>
              <c:numCache>
                <c:formatCode>"$"#,##0.00_);[Red]\("$"#,##0.00\)</c:formatCode>
                <c:ptCount val="26"/>
                <c:pt idx="0">
                  <c:v>55.215053146678599</c:v>
                </c:pt>
                <c:pt idx="1">
                  <c:v>272.17378966586114</c:v>
                </c:pt>
                <c:pt idx="2">
                  <c:v>60.824649079375007</c:v>
                </c:pt>
                <c:pt idx="3">
                  <c:v>630.34279779581107</c:v>
                </c:pt>
                <c:pt idx="4">
                  <c:v>4.1262415688571004</c:v>
                </c:pt>
                <c:pt idx="5">
                  <c:v>2.3370840578976004</c:v>
                </c:pt>
                <c:pt idx="6">
                  <c:v>14.708132878070801</c:v>
                </c:pt>
                <c:pt idx="7">
                  <c:v>4.8598610157378985</c:v>
                </c:pt>
                <c:pt idx="8">
                  <c:v>7.0714240773678014</c:v>
                </c:pt>
                <c:pt idx="9">
                  <c:v>27.844316551196702</c:v>
                </c:pt>
                <c:pt idx="10">
                  <c:v>1176.2483637984021</c:v>
                </c:pt>
                <c:pt idx="11">
                  <c:v>11.354460030213499</c:v>
                </c:pt>
                <c:pt idx="12">
                  <c:v>56.978455524179303</c:v>
                </c:pt>
                <c:pt idx="13">
                  <c:v>94.455205551250813</c:v>
                </c:pt>
                <c:pt idx="14">
                  <c:v>749.14981794569087</c:v>
                </c:pt>
                <c:pt idx="15">
                  <c:v>87.081623661185802</c:v>
                </c:pt>
                <c:pt idx="16">
                  <c:v>1470.3129361080937</c:v>
                </c:pt>
                <c:pt idx="17">
                  <c:v>4.2101375662191982</c:v>
                </c:pt>
                <c:pt idx="18">
                  <c:v>2.325912385023801</c:v>
                </c:pt>
                <c:pt idx="19">
                  <c:v>14.633717565023801</c:v>
                </c:pt>
                <c:pt idx="20">
                  <c:v>4.8264201050237991</c:v>
                </c:pt>
                <c:pt idx="21">
                  <c:v>7.0449094950238011</c:v>
                </c:pt>
                <c:pt idx="22">
                  <c:v>27.911243325023797</c:v>
                </c:pt>
                <c:pt idx="23">
                  <c:v>1207.1386077176137</c:v>
                </c:pt>
                <c:pt idx="24">
                  <c:v>11.419991415023802</c:v>
                </c:pt>
                <c:pt idx="25">
                  <c:v>13.903174194054902</c:v>
                </c:pt>
              </c:numCache>
            </c:numRef>
          </c:xVal>
          <c:yVal>
            <c:numRef>
              <c:f>'Plotting Marginal CostsBenefits'!$H$32:$H$57</c:f>
              <c:numCache>
                <c:formatCode>General</c:formatCode>
                <c:ptCount val="26"/>
                <c:pt idx="12" formatCode="&quot;$&quot;#,##0.00_);[Red]\(&quot;$&quot;#,##0.00\)">
                  <c:v>110.89849631853801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17B-428E-B155-D82C5681C561}"/>
            </c:ext>
          </c:extLst>
        </c:ser>
        <c:ser>
          <c:idx val="5"/>
          <c:order val="4"/>
          <c:tx>
            <c:strRef>
              <c:f>'Plotting Marginal CostsBenefits'!$I$1</c:f>
              <c:strCache>
                <c:ptCount val="1"/>
                <c:pt idx="0">
                  <c:v>Innovation - 1.5 Gt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5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'Plotting Marginal CostsBenefits'!$D$32:$D$57</c:f>
              <c:numCache>
                <c:formatCode>"$"#,##0.00_);[Red]\("$"#,##0.00\)</c:formatCode>
                <c:ptCount val="26"/>
                <c:pt idx="0">
                  <c:v>55.215053146678599</c:v>
                </c:pt>
                <c:pt idx="1">
                  <c:v>272.17378966586114</c:v>
                </c:pt>
                <c:pt idx="2">
                  <c:v>60.824649079375007</c:v>
                </c:pt>
                <c:pt idx="3">
                  <c:v>630.34279779581107</c:v>
                </c:pt>
                <c:pt idx="4">
                  <c:v>4.1262415688571004</c:v>
                </c:pt>
                <c:pt idx="5">
                  <c:v>2.3370840578976004</c:v>
                </c:pt>
                <c:pt idx="6">
                  <c:v>14.708132878070801</c:v>
                </c:pt>
                <c:pt idx="7">
                  <c:v>4.8598610157378985</c:v>
                </c:pt>
                <c:pt idx="8">
                  <c:v>7.0714240773678014</c:v>
                </c:pt>
                <c:pt idx="9">
                  <c:v>27.844316551196702</c:v>
                </c:pt>
                <c:pt idx="10">
                  <c:v>1176.2483637984021</c:v>
                </c:pt>
                <c:pt idx="11">
                  <c:v>11.354460030213499</c:v>
                </c:pt>
                <c:pt idx="12">
                  <c:v>56.978455524179303</c:v>
                </c:pt>
                <c:pt idx="13">
                  <c:v>94.455205551250813</c:v>
                </c:pt>
                <c:pt idx="14">
                  <c:v>749.14981794569087</c:v>
                </c:pt>
                <c:pt idx="15">
                  <c:v>87.081623661185802</c:v>
                </c:pt>
                <c:pt idx="16">
                  <c:v>1470.3129361080937</c:v>
                </c:pt>
                <c:pt idx="17">
                  <c:v>4.2101375662191982</c:v>
                </c:pt>
                <c:pt idx="18">
                  <c:v>2.325912385023801</c:v>
                </c:pt>
                <c:pt idx="19">
                  <c:v>14.633717565023801</c:v>
                </c:pt>
                <c:pt idx="20">
                  <c:v>4.8264201050237991</c:v>
                </c:pt>
                <c:pt idx="21">
                  <c:v>7.0449094950238011</c:v>
                </c:pt>
                <c:pt idx="22">
                  <c:v>27.911243325023797</c:v>
                </c:pt>
                <c:pt idx="23">
                  <c:v>1207.1386077176137</c:v>
                </c:pt>
                <c:pt idx="24">
                  <c:v>11.419991415023802</c:v>
                </c:pt>
                <c:pt idx="25">
                  <c:v>13.903174194054902</c:v>
                </c:pt>
              </c:numCache>
            </c:numRef>
          </c:xVal>
          <c:yVal>
            <c:numRef>
              <c:f>'Plotting Marginal CostsBenefits'!$I$32:$I$57</c:f>
              <c:numCache>
                <c:formatCode>General</c:formatCode>
                <c:ptCount val="26"/>
                <c:pt idx="17" formatCode="&quot;$&quot;#,##0.00_);[Red]\(&quot;$&quot;#,##0.00\)">
                  <c:v>3.7271947617020902</c:v>
                </c:pt>
                <c:pt idx="18" formatCode="&quot;$&quot;#,##0.00_);[Red]\(&quot;$&quot;#,##0.00\)">
                  <c:v>45.921597500000004</c:v>
                </c:pt>
                <c:pt idx="19" formatCode="&quot;$&quot;#,##0.00_);[Red]\(&quot;$&quot;#,##0.00\)">
                  <c:v>107.0726366</c:v>
                </c:pt>
                <c:pt idx="20" formatCode="&quot;$&quot;#,##0.00_);[Red]\(&quot;$&quot;#,##0.00\)">
                  <c:v>69.242862210000013</c:v>
                </c:pt>
                <c:pt idx="21" formatCode="&quot;$&quot;#,##0.00_);[Red]\(&quot;$&quot;#,##0.00\)">
                  <c:v>81.117731169999999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17B-428E-B155-D82C5681C561}"/>
            </c:ext>
          </c:extLst>
        </c:ser>
        <c:ser>
          <c:idx val="6"/>
          <c:order val="5"/>
          <c:tx>
            <c:strRef>
              <c:f>'Plotting Marginal CostsBenefits'!$J$1</c:f>
              <c:strCache>
                <c:ptCount val="1"/>
                <c:pt idx="0">
                  <c:v>Subsidy - 1.5 Gt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5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'Plotting Marginal CostsBenefits'!$D$32:$D$57</c:f>
              <c:numCache>
                <c:formatCode>"$"#,##0.00_);[Red]\("$"#,##0.00\)</c:formatCode>
                <c:ptCount val="26"/>
                <c:pt idx="0">
                  <c:v>55.215053146678599</c:v>
                </c:pt>
                <c:pt idx="1">
                  <c:v>272.17378966586114</c:v>
                </c:pt>
                <c:pt idx="2">
                  <c:v>60.824649079375007</c:v>
                </c:pt>
                <c:pt idx="3">
                  <c:v>630.34279779581107</c:v>
                </c:pt>
                <c:pt idx="4">
                  <c:v>4.1262415688571004</c:v>
                </c:pt>
                <c:pt idx="5">
                  <c:v>2.3370840578976004</c:v>
                </c:pt>
                <c:pt idx="6">
                  <c:v>14.708132878070801</c:v>
                </c:pt>
                <c:pt idx="7">
                  <c:v>4.8598610157378985</c:v>
                </c:pt>
                <c:pt idx="8">
                  <c:v>7.0714240773678014</c:v>
                </c:pt>
                <c:pt idx="9">
                  <c:v>27.844316551196702</c:v>
                </c:pt>
                <c:pt idx="10">
                  <c:v>1176.2483637984021</c:v>
                </c:pt>
                <c:pt idx="11">
                  <c:v>11.354460030213499</c:v>
                </c:pt>
                <c:pt idx="12">
                  <c:v>56.978455524179303</c:v>
                </c:pt>
                <c:pt idx="13">
                  <c:v>94.455205551250813</c:v>
                </c:pt>
                <c:pt idx="14">
                  <c:v>749.14981794569087</c:v>
                </c:pt>
                <c:pt idx="15">
                  <c:v>87.081623661185802</c:v>
                </c:pt>
                <c:pt idx="16">
                  <c:v>1470.3129361080937</c:v>
                </c:pt>
                <c:pt idx="17">
                  <c:v>4.2101375662191982</c:v>
                </c:pt>
                <c:pt idx="18">
                  <c:v>2.325912385023801</c:v>
                </c:pt>
                <c:pt idx="19">
                  <c:v>14.633717565023801</c:v>
                </c:pt>
                <c:pt idx="20">
                  <c:v>4.8264201050237991</c:v>
                </c:pt>
                <c:pt idx="21">
                  <c:v>7.0449094950238011</c:v>
                </c:pt>
                <c:pt idx="22">
                  <c:v>27.911243325023797</c:v>
                </c:pt>
                <c:pt idx="23">
                  <c:v>1207.1386077176137</c:v>
                </c:pt>
                <c:pt idx="24">
                  <c:v>11.419991415023802</c:v>
                </c:pt>
                <c:pt idx="25">
                  <c:v>13.903174194054902</c:v>
                </c:pt>
              </c:numCache>
            </c:numRef>
          </c:xVal>
          <c:yVal>
            <c:numRef>
              <c:f>'Plotting Marginal CostsBenefits'!$J$32:$J$57</c:f>
              <c:numCache>
                <c:formatCode>General</c:formatCode>
                <c:ptCount val="26"/>
                <c:pt idx="13" formatCode="&quot;$&quot;#,##0.00_);[Red]\(&quot;$&quot;#,##0.00\)">
                  <c:v>169.78338393730101</c:v>
                </c:pt>
                <c:pt idx="14" formatCode="&quot;$&quot;#,##0.00_);[Red]\(&quot;$&quot;#,##0.00\)">
                  <c:v>754.77402503940107</c:v>
                </c:pt>
                <c:pt idx="15" formatCode="&quot;$&quot;#,##0.00_);[Red]\(&quot;$&quot;#,##0.00\)">
                  <c:v>85.029801215989494</c:v>
                </c:pt>
                <c:pt idx="16" formatCode="&quot;$&quot;#,##0.00_);[Red]\(&quot;$&quot;#,##0.00\)">
                  <c:v>1464.9897871615401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17B-428E-B155-D82C5681C561}"/>
            </c:ext>
          </c:extLst>
        </c:ser>
        <c:ser>
          <c:idx val="7"/>
          <c:order val="6"/>
          <c:tx>
            <c:strRef>
              <c:f>'Plotting Marginal CostsBenefits'!$K$1</c:f>
              <c:strCache>
                <c:ptCount val="1"/>
                <c:pt idx="0">
                  <c:v>Procurement - 1.5 Gt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5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'Plotting Marginal CostsBenefits'!$D$32:$D$57</c:f>
              <c:numCache>
                <c:formatCode>"$"#,##0.00_);[Red]\("$"#,##0.00\)</c:formatCode>
                <c:ptCount val="26"/>
                <c:pt idx="0">
                  <c:v>55.215053146678599</c:v>
                </c:pt>
                <c:pt idx="1">
                  <c:v>272.17378966586114</c:v>
                </c:pt>
                <c:pt idx="2">
                  <c:v>60.824649079375007</c:v>
                </c:pt>
                <c:pt idx="3">
                  <c:v>630.34279779581107</c:v>
                </c:pt>
                <c:pt idx="4">
                  <c:v>4.1262415688571004</c:v>
                </c:pt>
                <c:pt idx="5">
                  <c:v>2.3370840578976004</c:v>
                </c:pt>
                <c:pt idx="6">
                  <c:v>14.708132878070801</c:v>
                </c:pt>
                <c:pt idx="7">
                  <c:v>4.8598610157378985</c:v>
                </c:pt>
                <c:pt idx="8">
                  <c:v>7.0714240773678014</c:v>
                </c:pt>
                <c:pt idx="9">
                  <c:v>27.844316551196702</c:v>
                </c:pt>
                <c:pt idx="10">
                  <c:v>1176.2483637984021</c:v>
                </c:pt>
                <c:pt idx="11">
                  <c:v>11.354460030213499</c:v>
                </c:pt>
                <c:pt idx="12">
                  <c:v>56.978455524179303</c:v>
                </c:pt>
                <c:pt idx="13">
                  <c:v>94.455205551250813</c:v>
                </c:pt>
                <c:pt idx="14">
                  <c:v>749.14981794569087</c:v>
                </c:pt>
                <c:pt idx="15">
                  <c:v>87.081623661185802</c:v>
                </c:pt>
                <c:pt idx="16">
                  <c:v>1470.3129361080937</c:v>
                </c:pt>
                <c:pt idx="17">
                  <c:v>4.2101375662191982</c:v>
                </c:pt>
                <c:pt idx="18">
                  <c:v>2.325912385023801</c:v>
                </c:pt>
                <c:pt idx="19">
                  <c:v>14.633717565023801</c:v>
                </c:pt>
                <c:pt idx="20">
                  <c:v>4.8264201050237991</c:v>
                </c:pt>
                <c:pt idx="21">
                  <c:v>7.0449094950238011</c:v>
                </c:pt>
                <c:pt idx="22">
                  <c:v>27.911243325023797</c:v>
                </c:pt>
                <c:pt idx="23">
                  <c:v>1207.1386077176137</c:v>
                </c:pt>
                <c:pt idx="24">
                  <c:v>11.419991415023802</c:v>
                </c:pt>
                <c:pt idx="25">
                  <c:v>13.903174194054902</c:v>
                </c:pt>
              </c:numCache>
            </c:numRef>
          </c:xVal>
          <c:yVal>
            <c:numRef>
              <c:f>'Plotting Marginal CostsBenefits'!$K$32:$K$57</c:f>
              <c:numCache>
                <c:formatCode>General</c:formatCode>
                <c:ptCount val="26"/>
                <c:pt idx="22" formatCode="&quot;$&quot;#,##0.00_);[Red]\(&quot;$&quot;#,##0.00\)">
                  <c:v>70.006101200000003</c:v>
                </c:pt>
                <c:pt idx="23" formatCode="&quot;$&quot;#,##0.00_);[Red]\(&quot;$&quot;#,##0.00\)">
                  <c:v>185.02690859979998</c:v>
                </c:pt>
                <c:pt idx="24" formatCode="&quot;$&quot;#,##0.00_);[Red]\(&quot;$&quot;#,##0.00\)">
                  <c:v>52.677846719999998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C17B-428E-B155-D82C5681C561}"/>
            </c:ext>
          </c:extLst>
        </c:ser>
        <c:ser>
          <c:idx val="8"/>
          <c:order val="7"/>
          <c:tx>
            <c:strRef>
              <c:f>'Plotting Marginal CostsBenefits'!$L$1</c:f>
              <c:strCache>
                <c:ptCount val="1"/>
                <c:pt idx="0">
                  <c:v>Optimal - 1.5 Gt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5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'Plotting Marginal CostsBenefits'!$D$32:$D$57</c:f>
              <c:numCache>
                <c:formatCode>"$"#,##0.00_);[Red]\("$"#,##0.00\)</c:formatCode>
                <c:ptCount val="26"/>
                <c:pt idx="0">
                  <c:v>55.215053146678599</c:v>
                </c:pt>
                <c:pt idx="1">
                  <c:v>272.17378966586114</c:v>
                </c:pt>
                <c:pt idx="2">
                  <c:v>60.824649079375007</c:v>
                </c:pt>
                <c:pt idx="3">
                  <c:v>630.34279779581107</c:v>
                </c:pt>
                <c:pt idx="4">
                  <c:v>4.1262415688571004</c:v>
                </c:pt>
                <c:pt idx="5">
                  <c:v>2.3370840578976004</c:v>
                </c:pt>
                <c:pt idx="6">
                  <c:v>14.708132878070801</c:v>
                </c:pt>
                <c:pt idx="7">
                  <c:v>4.8598610157378985</c:v>
                </c:pt>
                <c:pt idx="8">
                  <c:v>7.0714240773678014</c:v>
                </c:pt>
                <c:pt idx="9">
                  <c:v>27.844316551196702</c:v>
                </c:pt>
                <c:pt idx="10">
                  <c:v>1176.2483637984021</c:v>
                </c:pt>
                <c:pt idx="11">
                  <c:v>11.354460030213499</c:v>
                </c:pt>
                <c:pt idx="12">
                  <c:v>56.978455524179303</c:v>
                </c:pt>
                <c:pt idx="13">
                  <c:v>94.455205551250813</c:v>
                </c:pt>
                <c:pt idx="14">
                  <c:v>749.14981794569087</c:v>
                </c:pt>
                <c:pt idx="15">
                  <c:v>87.081623661185802</c:v>
                </c:pt>
                <c:pt idx="16">
                  <c:v>1470.3129361080937</c:v>
                </c:pt>
                <c:pt idx="17">
                  <c:v>4.2101375662191982</c:v>
                </c:pt>
                <c:pt idx="18">
                  <c:v>2.325912385023801</c:v>
                </c:pt>
                <c:pt idx="19">
                  <c:v>14.633717565023801</c:v>
                </c:pt>
                <c:pt idx="20">
                  <c:v>4.8264201050237991</c:v>
                </c:pt>
                <c:pt idx="21">
                  <c:v>7.0449094950238011</c:v>
                </c:pt>
                <c:pt idx="22">
                  <c:v>27.911243325023797</c:v>
                </c:pt>
                <c:pt idx="23">
                  <c:v>1207.1386077176137</c:v>
                </c:pt>
                <c:pt idx="24">
                  <c:v>11.419991415023802</c:v>
                </c:pt>
                <c:pt idx="25">
                  <c:v>13.903174194054902</c:v>
                </c:pt>
              </c:numCache>
            </c:numRef>
          </c:xVal>
          <c:yVal>
            <c:numRef>
              <c:f>'Plotting Marginal CostsBenefits'!$L$32:$L$57</c:f>
              <c:numCache>
                <c:formatCode>General</c:formatCode>
                <c:ptCount val="26"/>
                <c:pt idx="25" formatCode="&quot;$&quot;#,##0.00_);[Red]\(&quot;$&quot;#,##0.00\)">
                  <c:v>107.282405397856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17B-428E-B155-D82C5681C5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8358192"/>
        <c:axId val="688359152"/>
      </c:scatterChart>
      <c:valAx>
        <c:axId val="688358192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&quot;$&quot;#,##0_);[Red]\(&quot;$&quot;#,##0\)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bg2">
                <a:lumMod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bg2">
                    <a:lumMod val="2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88359152"/>
        <c:crossesAt val="-200"/>
        <c:crossBetween val="midCat"/>
      </c:valAx>
      <c:valAx>
        <c:axId val="688359152"/>
        <c:scaling>
          <c:orientation val="minMax"/>
          <c:max val="20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&quot;$&quot;#,##0" sourceLinked="0"/>
        <c:majorTickMark val="in"/>
        <c:minorTickMark val="none"/>
        <c:tickLblPos val="low"/>
        <c:spPr>
          <a:noFill/>
          <a:ln w="9525" cap="flat" cmpd="sng" algn="ctr">
            <a:solidFill>
              <a:schemeClr val="bg2">
                <a:lumMod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t" anchorCtr="0"/>
          <a:lstStyle/>
          <a:p>
            <a:pPr>
              <a:defRPr sz="1200" b="0" i="0" u="none" strike="noStrike" kern="1200" baseline="0">
                <a:solidFill>
                  <a:schemeClr val="bg2">
                    <a:lumMod val="2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88358192"/>
        <c:crossesAt val="0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131036047657385"/>
          <c:y val="3.5891588464031364E-2"/>
          <c:w val="0.78344414638720428"/>
          <c:h val="0.89220274944815681"/>
        </c:manualLayout>
      </c:layout>
      <c:scatterChart>
        <c:scatterStyle val="lineMarker"/>
        <c:varyColors val="0"/>
        <c:ser>
          <c:idx val="0"/>
          <c:order val="0"/>
          <c:tx>
            <c:strRef>
              <c:f>'Plotting Marginal CostsBenefits'!$E$1</c:f>
              <c:strCache>
                <c:ptCount val="1"/>
                <c:pt idx="0">
                  <c:v>Innovation - 500 Mt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'Plotting Marginal CostsBenefits'!$D$67:$D$92</c:f>
              <c:numCache>
                <c:formatCode>"$"#,##0.00_);[Red]\("$"#,##0.00\)</c:formatCode>
                <c:ptCount val="26"/>
                <c:pt idx="0">
                  <c:v>9.476218021083989</c:v>
                </c:pt>
                <c:pt idx="1">
                  <c:v>16.568117338946593</c:v>
                </c:pt>
                <c:pt idx="2">
                  <c:v>19.137170013317693</c:v>
                </c:pt>
                <c:pt idx="3">
                  <c:v>45.651924713912997</c:v>
                </c:pt>
                <c:pt idx="4">
                  <c:v>3.0119272354747899</c:v>
                </c:pt>
                <c:pt idx="5">
                  <c:v>0.64868348327826975</c:v>
                </c:pt>
                <c:pt idx="6">
                  <c:v>3.5095880533935908</c:v>
                </c:pt>
                <c:pt idx="7">
                  <c:v>1.1456123160236911</c:v>
                </c:pt>
                <c:pt idx="8">
                  <c:v>1.9826901417550908</c:v>
                </c:pt>
                <c:pt idx="9">
                  <c:v>11.417559116321593</c:v>
                </c:pt>
                <c:pt idx="10">
                  <c:v>138.93530596719577</c:v>
                </c:pt>
                <c:pt idx="11">
                  <c:v>4.3122304298988912</c:v>
                </c:pt>
                <c:pt idx="12">
                  <c:v>10.039370991663089</c:v>
                </c:pt>
                <c:pt idx="13">
                  <c:v>15.35711737145612</c:v>
                </c:pt>
                <c:pt idx="14">
                  <c:v>35.469894501100818</c:v>
                </c:pt>
                <c:pt idx="15">
                  <c:v>26.98339696665612</c:v>
                </c:pt>
                <c:pt idx="16">
                  <c:v>86.588878581692811</c:v>
                </c:pt>
                <c:pt idx="17">
                  <c:v>3.059409534844721</c:v>
                </c:pt>
                <c:pt idx="18">
                  <c:v>0.6423605549173208</c:v>
                </c:pt>
                <c:pt idx="19">
                  <c:v>3.4674732449173207</c:v>
                </c:pt>
                <c:pt idx="20">
                  <c:v>1.1266878249173204</c:v>
                </c:pt>
                <c:pt idx="21">
                  <c:v>1.9676849149173194</c:v>
                </c:pt>
                <c:pt idx="22">
                  <c:v>11.432142664917318</c:v>
                </c:pt>
                <c:pt idx="23">
                  <c:v>140.55513866259832</c:v>
                </c:pt>
                <c:pt idx="24">
                  <c:v>4.3304415549173205</c:v>
                </c:pt>
                <c:pt idx="25">
                  <c:v>5.0522583347774201</c:v>
                </c:pt>
              </c:numCache>
            </c:numRef>
          </c:xVal>
          <c:yVal>
            <c:numRef>
              <c:f>'Plotting Marginal CostsBenefits'!$E$67:$E$92</c:f>
              <c:numCache>
                <c:formatCode>General</c:formatCode>
                <c:ptCount val="26"/>
                <c:pt idx="4" formatCode="&quot;$&quot;#,##0.00_);[Red]\(&quot;$&quot;#,##0.00\)">
                  <c:v>0.33561574049935</c:v>
                </c:pt>
                <c:pt idx="5" formatCode="&quot;$&quot;#,##0.00_);[Red]\(&quot;$&quot;#,##0.00\)">
                  <c:v>2.03674772368365</c:v>
                </c:pt>
                <c:pt idx="6" formatCode="&quot;$&quot;#,##0.00_);[Red]\(&quot;$&quot;#,##0.00\)">
                  <c:v>5.3638813822450304</c:v>
                </c:pt>
                <c:pt idx="7" formatCode="&quot;$&quot;#,##0.00_);[Red]\(&quot;$&quot;#,##0.00\)">
                  <c:v>3.2927796969207503</c:v>
                </c:pt>
                <c:pt idx="8" formatCode="&quot;$&quot;#,##0.00_);[Red]\(&quot;$&quot;#,##0.00\)">
                  <c:v>3.94821129977616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874-49DB-896F-63D2FDDF2A4D}"/>
            </c:ext>
          </c:extLst>
        </c:ser>
        <c:ser>
          <c:idx val="1"/>
          <c:order val="1"/>
          <c:tx>
            <c:strRef>
              <c:f>'Plotting Marginal CostsBenefits'!$F$1</c:f>
              <c:strCache>
                <c:ptCount val="1"/>
                <c:pt idx="0">
                  <c:v>Subsidy - 500 Mt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'Plotting Marginal CostsBenefits'!$D$67:$D$92</c:f>
              <c:numCache>
                <c:formatCode>"$"#,##0.00_);[Red]\("$"#,##0.00\)</c:formatCode>
                <c:ptCount val="26"/>
                <c:pt idx="0">
                  <c:v>9.476218021083989</c:v>
                </c:pt>
                <c:pt idx="1">
                  <c:v>16.568117338946593</c:v>
                </c:pt>
                <c:pt idx="2">
                  <c:v>19.137170013317693</c:v>
                </c:pt>
                <c:pt idx="3">
                  <c:v>45.651924713912997</c:v>
                </c:pt>
                <c:pt idx="4">
                  <c:v>3.0119272354747899</c:v>
                </c:pt>
                <c:pt idx="5">
                  <c:v>0.64868348327826975</c:v>
                </c:pt>
                <c:pt idx="6">
                  <c:v>3.5095880533935908</c:v>
                </c:pt>
                <c:pt idx="7">
                  <c:v>1.1456123160236911</c:v>
                </c:pt>
                <c:pt idx="8">
                  <c:v>1.9826901417550908</c:v>
                </c:pt>
                <c:pt idx="9">
                  <c:v>11.417559116321593</c:v>
                </c:pt>
                <c:pt idx="10">
                  <c:v>138.93530596719577</c:v>
                </c:pt>
                <c:pt idx="11">
                  <c:v>4.3122304298988912</c:v>
                </c:pt>
                <c:pt idx="12">
                  <c:v>10.039370991663089</c:v>
                </c:pt>
                <c:pt idx="13">
                  <c:v>15.35711737145612</c:v>
                </c:pt>
                <c:pt idx="14">
                  <c:v>35.469894501100818</c:v>
                </c:pt>
                <c:pt idx="15">
                  <c:v>26.98339696665612</c:v>
                </c:pt>
                <c:pt idx="16">
                  <c:v>86.588878581692811</c:v>
                </c:pt>
                <c:pt idx="17">
                  <c:v>3.059409534844721</c:v>
                </c:pt>
                <c:pt idx="18">
                  <c:v>0.6423605549173208</c:v>
                </c:pt>
                <c:pt idx="19">
                  <c:v>3.4674732449173207</c:v>
                </c:pt>
                <c:pt idx="20">
                  <c:v>1.1266878249173204</c:v>
                </c:pt>
                <c:pt idx="21">
                  <c:v>1.9676849149173194</c:v>
                </c:pt>
                <c:pt idx="22">
                  <c:v>11.432142664917318</c:v>
                </c:pt>
                <c:pt idx="23">
                  <c:v>140.55513866259832</c:v>
                </c:pt>
                <c:pt idx="24">
                  <c:v>4.3304415549173205</c:v>
                </c:pt>
                <c:pt idx="25">
                  <c:v>5.0522583347774201</c:v>
                </c:pt>
              </c:numCache>
            </c:numRef>
          </c:xVal>
          <c:yVal>
            <c:numRef>
              <c:f>'Plotting Marginal CostsBenefits'!$F$67:$F$92</c:f>
              <c:numCache>
                <c:formatCode>"$"#,##0.00_);[Red]\("$"#,##0.00\)</c:formatCode>
                <c:ptCount val="26"/>
                <c:pt idx="0">
                  <c:v>10.209740402372299</c:v>
                </c:pt>
                <c:pt idx="1">
                  <c:v>15.9803982211468</c:v>
                </c:pt>
                <c:pt idx="2">
                  <c:v>10.131117210587</c:v>
                </c:pt>
                <c:pt idx="3">
                  <c:v>37.918655503970797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874-49DB-896F-63D2FDDF2A4D}"/>
            </c:ext>
          </c:extLst>
        </c:ser>
        <c:ser>
          <c:idx val="2"/>
          <c:order val="2"/>
          <c:tx>
            <c:strRef>
              <c:f>'Plotting Marginal CostsBenefits'!$G$1</c:f>
              <c:strCache>
                <c:ptCount val="1"/>
                <c:pt idx="0">
                  <c:v>Procurement - 500 Mt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'Plotting Marginal CostsBenefits'!$D$67:$D$92</c:f>
              <c:numCache>
                <c:formatCode>"$"#,##0.00_);[Red]\("$"#,##0.00\)</c:formatCode>
                <c:ptCount val="26"/>
                <c:pt idx="0">
                  <c:v>9.476218021083989</c:v>
                </c:pt>
                <c:pt idx="1">
                  <c:v>16.568117338946593</c:v>
                </c:pt>
                <c:pt idx="2">
                  <c:v>19.137170013317693</c:v>
                </c:pt>
                <c:pt idx="3">
                  <c:v>45.651924713912997</c:v>
                </c:pt>
                <c:pt idx="4">
                  <c:v>3.0119272354747899</c:v>
                </c:pt>
                <c:pt idx="5">
                  <c:v>0.64868348327826975</c:v>
                </c:pt>
                <c:pt idx="6">
                  <c:v>3.5095880533935908</c:v>
                </c:pt>
                <c:pt idx="7">
                  <c:v>1.1456123160236911</c:v>
                </c:pt>
                <c:pt idx="8">
                  <c:v>1.9826901417550908</c:v>
                </c:pt>
                <c:pt idx="9">
                  <c:v>11.417559116321593</c:v>
                </c:pt>
                <c:pt idx="10">
                  <c:v>138.93530596719577</c:v>
                </c:pt>
                <c:pt idx="11">
                  <c:v>4.3122304298988912</c:v>
                </c:pt>
                <c:pt idx="12">
                  <c:v>10.039370991663089</c:v>
                </c:pt>
                <c:pt idx="13">
                  <c:v>15.35711737145612</c:v>
                </c:pt>
                <c:pt idx="14">
                  <c:v>35.469894501100818</c:v>
                </c:pt>
                <c:pt idx="15">
                  <c:v>26.98339696665612</c:v>
                </c:pt>
                <c:pt idx="16">
                  <c:v>86.588878581692811</c:v>
                </c:pt>
                <c:pt idx="17">
                  <c:v>3.059409534844721</c:v>
                </c:pt>
                <c:pt idx="18">
                  <c:v>0.6423605549173208</c:v>
                </c:pt>
                <c:pt idx="19">
                  <c:v>3.4674732449173207</c:v>
                </c:pt>
                <c:pt idx="20">
                  <c:v>1.1266878249173204</c:v>
                </c:pt>
                <c:pt idx="21">
                  <c:v>1.9676849149173194</c:v>
                </c:pt>
                <c:pt idx="22">
                  <c:v>11.432142664917318</c:v>
                </c:pt>
                <c:pt idx="23">
                  <c:v>140.55513866259832</c:v>
                </c:pt>
                <c:pt idx="24">
                  <c:v>4.3304415549173205</c:v>
                </c:pt>
                <c:pt idx="25">
                  <c:v>5.0522583347774201</c:v>
                </c:pt>
              </c:numCache>
            </c:numRef>
          </c:xVal>
          <c:yVal>
            <c:numRef>
              <c:f>'Plotting Marginal CostsBenefits'!$G$67:$G$92</c:f>
              <c:numCache>
                <c:formatCode>General</c:formatCode>
                <c:ptCount val="26"/>
                <c:pt idx="9" formatCode="&quot;$&quot;#,##0.00_);[Red]\(&quot;$&quot;#,##0.00\)">
                  <c:v>5.7158742587877693</c:v>
                </c:pt>
                <c:pt idx="10" formatCode="&quot;$&quot;#,##0.00_);[Red]\(&quot;$&quot;#,##0.00\)">
                  <c:v>25.574064566239599</c:v>
                </c:pt>
                <c:pt idx="11" formatCode="&quot;$&quot;#,##0.00_);[Red]\(&quot;$&quot;#,##0.00\)">
                  <c:v>3.0937558246702901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874-49DB-896F-63D2FDDF2A4D}"/>
            </c:ext>
          </c:extLst>
        </c:ser>
        <c:ser>
          <c:idx val="3"/>
          <c:order val="3"/>
          <c:tx>
            <c:strRef>
              <c:f>'Plotting Marginal CostsBenefits'!$H$1</c:f>
              <c:strCache>
                <c:ptCount val="1"/>
                <c:pt idx="0">
                  <c:v>Optimal - 500 Mt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'Plotting Marginal CostsBenefits'!$D$67:$D$92</c:f>
              <c:numCache>
                <c:formatCode>"$"#,##0.00_);[Red]\("$"#,##0.00\)</c:formatCode>
                <c:ptCount val="26"/>
                <c:pt idx="0">
                  <c:v>9.476218021083989</c:v>
                </c:pt>
                <c:pt idx="1">
                  <c:v>16.568117338946593</c:v>
                </c:pt>
                <c:pt idx="2">
                  <c:v>19.137170013317693</c:v>
                </c:pt>
                <c:pt idx="3">
                  <c:v>45.651924713912997</c:v>
                </c:pt>
                <c:pt idx="4">
                  <c:v>3.0119272354747899</c:v>
                </c:pt>
                <c:pt idx="5">
                  <c:v>0.64868348327826975</c:v>
                </c:pt>
                <c:pt idx="6">
                  <c:v>3.5095880533935908</c:v>
                </c:pt>
                <c:pt idx="7">
                  <c:v>1.1456123160236911</c:v>
                </c:pt>
                <c:pt idx="8">
                  <c:v>1.9826901417550908</c:v>
                </c:pt>
                <c:pt idx="9">
                  <c:v>11.417559116321593</c:v>
                </c:pt>
                <c:pt idx="10">
                  <c:v>138.93530596719577</c:v>
                </c:pt>
                <c:pt idx="11">
                  <c:v>4.3122304298988912</c:v>
                </c:pt>
                <c:pt idx="12">
                  <c:v>10.039370991663089</c:v>
                </c:pt>
                <c:pt idx="13">
                  <c:v>15.35711737145612</c:v>
                </c:pt>
                <c:pt idx="14">
                  <c:v>35.469894501100818</c:v>
                </c:pt>
                <c:pt idx="15">
                  <c:v>26.98339696665612</c:v>
                </c:pt>
                <c:pt idx="16">
                  <c:v>86.588878581692811</c:v>
                </c:pt>
                <c:pt idx="17">
                  <c:v>3.059409534844721</c:v>
                </c:pt>
                <c:pt idx="18">
                  <c:v>0.6423605549173208</c:v>
                </c:pt>
                <c:pt idx="19">
                  <c:v>3.4674732449173207</c:v>
                </c:pt>
                <c:pt idx="20">
                  <c:v>1.1266878249173204</c:v>
                </c:pt>
                <c:pt idx="21">
                  <c:v>1.9676849149173194</c:v>
                </c:pt>
                <c:pt idx="22">
                  <c:v>11.432142664917318</c:v>
                </c:pt>
                <c:pt idx="23">
                  <c:v>140.55513866259832</c:v>
                </c:pt>
                <c:pt idx="24">
                  <c:v>4.3304415549173205</c:v>
                </c:pt>
                <c:pt idx="25">
                  <c:v>5.0522583347774201</c:v>
                </c:pt>
              </c:numCache>
            </c:numRef>
          </c:xVal>
          <c:yVal>
            <c:numRef>
              <c:f>'Plotting Marginal CostsBenefits'!$H$67:$H$92</c:f>
              <c:numCache>
                <c:formatCode>General</c:formatCode>
                <c:ptCount val="26"/>
                <c:pt idx="12" formatCode="&quot;$&quot;#,##0.00_);[Red]\(&quot;$&quot;#,##0.00\)">
                  <c:v>12.2700831571496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874-49DB-896F-63D2FDDF2A4D}"/>
            </c:ext>
          </c:extLst>
        </c:ser>
        <c:ser>
          <c:idx val="5"/>
          <c:order val="4"/>
          <c:tx>
            <c:strRef>
              <c:f>'Plotting Marginal CostsBenefits'!$I$1</c:f>
              <c:strCache>
                <c:ptCount val="1"/>
                <c:pt idx="0">
                  <c:v>Innovation - 1.5 Gt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5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'Plotting Marginal CostsBenefits'!$D$67:$D$92</c:f>
              <c:numCache>
                <c:formatCode>"$"#,##0.00_);[Red]\("$"#,##0.00\)</c:formatCode>
                <c:ptCount val="26"/>
                <c:pt idx="0">
                  <c:v>9.476218021083989</c:v>
                </c:pt>
                <c:pt idx="1">
                  <c:v>16.568117338946593</c:v>
                </c:pt>
                <c:pt idx="2">
                  <c:v>19.137170013317693</c:v>
                </c:pt>
                <c:pt idx="3">
                  <c:v>45.651924713912997</c:v>
                </c:pt>
                <c:pt idx="4">
                  <c:v>3.0119272354747899</c:v>
                </c:pt>
                <c:pt idx="5">
                  <c:v>0.64868348327826975</c:v>
                </c:pt>
                <c:pt idx="6">
                  <c:v>3.5095880533935908</c:v>
                </c:pt>
                <c:pt idx="7">
                  <c:v>1.1456123160236911</c:v>
                </c:pt>
                <c:pt idx="8">
                  <c:v>1.9826901417550908</c:v>
                </c:pt>
                <c:pt idx="9">
                  <c:v>11.417559116321593</c:v>
                </c:pt>
                <c:pt idx="10">
                  <c:v>138.93530596719577</c:v>
                </c:pt>
                <c:pt idx="11">
                  <c:v>4.3122304298988912</c:v>
                </c:pt>
                <c:pt idx="12">
                  <c:v>10.039370991663089</c:v>
                </c:pt>
                <c:pt idx="13">
                  <c:v>15.35711737145612</c:v>
                </c:pt>
                <c:pt idx="14">
                  <c:v>35.469894501100818</c:v>
                </c:pt>
                <c:pt idx="15">
                  <c:v>26.98339696665612</c:v>
                </c:pt>
                <c:pt idx="16">
                  <c:v>86.588878581692811</c:v>
                </c:pt>
                <c:pt idx="17">
                  <c:v>3.059409534844721</c:v>
                </c:pt>
                <c:pt idx="18">
                  <c:v>0.6423605549173208</c:v>
                </c:pt>
                <c:pt idx="19">
                  <c:v>3.4674732449173207</c:v>
                </c:pt>
                <c:pt idx="20">
                  <c:v>1.1266878249173204</c:v>
                </c:pt>
                <c:pt idx="21">
                  <c:v>1.9676849149173194</c:v>
                </c:pt>
                <c:pt idx="22">
                  <c:v>11.432142664917318</c:v>
                </c:pt>
                <c:pt idx="23">
                  <c:v>140.55513866259832</c:v>
                </c:pt>
                <c:pt idx="24">
                  <c:v>4.3304415549173205</c:v>
                </c:pt>
                <c:pt idx="25">
                  <c:v>5.0522583347774201</c:v>
                </c:pt>
              </c:numCache>
            </c:numRef>
          </c:xVal>
          <c:yVal>
            <c:numRef>
              <c:f>'Plotting Marginal CostsBenefits'!$I$67:$I$92</c:f>
              <c:numCache>
                <c:formatCode>General</c:formatCode>
                <c:ptCount val="26"/>
                <c:pt idx="17" formatCode="&quot;$&quot;#,##0.00_);[Red]\(&quot;$&quot;#,##0.00\)">
                  <c:v>0.49459745807002703</c:v>
                </c:pt>
                <c:pt idx="18" formatCode="&quot;$&quot;#,##0.00_);[Red]\(&quot;$&quot;#,##0.00\)">
                  <c:v>3.1989574539999999</c:v>
                </c:pt>
                <c:pt idx="19" formatCode="&quot;$&quot;#,##0.00_);[Red]\(&quot;$&quot;#,##0.00\)">
                  <c:v>8.5145423079999993</c:v>
                </c:pt>
                <c:pt idx="20" formatCode="&quot;$&quot;#,##0.00_);[Red]\(&quot;$&quot;#,##0.00\)">
                  <c:v>5.2839158260000003</c:v>
                </c:pt>
                <c:pt idx="21" formatCode="&quot;$&quot;#,##0.00_);[Red]\(&quot;$&quot;#,##0.00\)">
                  <c:v>6.1108874349999995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874-49DB-896F-63D2FDDF2A4D}"/>
            </c:ext>
          </c:extLst>
        </c:ser>
        <c:ser>
          <c:idx val="6"/>
          <c:order val="5"/>
          <c:tx>
            <c:strRef>
              <c:f>'Plotting Marginal CostsBenefits'!$J$1</c:f>
              <c:strCache>
                <c:ptCount val="1"/>
                <c:pt idx="0">
                  <c:v>Subsidy - 1.5 Gt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5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'Plotting Marginal CostsBenefits'!$D$67:$D$92</c:f>
              <c:numCache>
                <c:formatCode>"$"#,##0.00_);[Red]\("$"#,##0.00\)</c:formatCode>
                <c:ptCount val="26"/>
                <c:pt idx="0">
                  <c:v>9.476218021083989</c:v>
                </c:pt>
                <c:pt idx="1">
                  <c:v>16.568117338946593</c:v>
                </c:pt>
                <c:pt idx="2">
                  <c:v>19.137170013317693</c:v>
                </c:pt>
                <c:pt idx="3">
                  <c:v>45.651924713912997</c:v>
                </c:pt>
                <c:pt idx="4">
                  <c:v>3.0119272354747899</c:v>
                </c:pt>
                <c:pt idx="5">
                  <c:v>0.64868348327826975</c:v>
                </c:pt>
                <c:pt idx="6">
                  <c:v>3.5095880533935908</c:v>
                </c:pt>
                <c:pt idx="7">
                  <c:v>1.1456123160236911</c:v>
                </c:pt>
                <c:pt idx="8">
                  <c:v>1.9826901417550908</c:v>
                </c:pt>
                <c:pt idx="9">
                  <c:v>11.417559116321593</c:v>
                </c:pt>
                <c:pt idx="10">
                  <c:v>138.93530596719577</c:v>
                </c:pt>
                <c:pt idx="11">
                  <c:v>4.3122304298988912</c:v>
                </c:pt>
                <c:pt idx="12">
                  <c:v>10.039370991663089</c:v>
                </c:pt>
                <c:pt idx="13">
                  <c:v>15.35711737145612</c:v>
                </c:pt>
                <c:pt idx="14">
                  <c:v>35.469894501100818</c:v>
                </c:pt>
                <c:pt idx="15">
                  <c:v>26.98339696665612</c:v>
                </c:pt>
                <c:pt idx="16">
                  <c:v>86.588878581692811</c:v>
                </c:pt>
                <c:pt idx="17">
                  <c:v>3.059409534844721</c:v>
                </c:pt>
                <c:pt idx="18">
                  <c:v>0.6423605549173208</c:v>
                </c:pt>
                <c:pt idx="19">
                  <c:v>3.4674732449173207</c:v>
                </c:pt>
                <c:pt idx="20">
                  <c:v>1.1266878249173204</c:v>
                </c:pt>
                <c:pt idx="21">
                  <c:v>1.9676849149173194</c:v>
                </c:pt>
                <c:pt idx="22">
                  <c:v>11.432142664917318</c:v>
                </c:pt>
                <c:pt idx="23">
                  <c:v>140.55513866259832</c:v>
                </c:pt>
                <c:pt idx="24">
                  <c:v>4.3304415549173205</c:v>
                </c:pt>
                <c:pt idx="25">
                  <c:v>5.0522583347774201</c:v>
                </c:pt>
              </c:numCache>
            </c:numRef>
          </c:xVal>
          <c:yVal>
            <c:numRef>
              <c:f>'Plotting Marginal CostsBenefits'!$J$67:$J$92</c:f>
              <c:numCache>
                <c:formatCode>General</c:formatCode>
                <c:ptCount val="26"/>
                <c:pt idx="13" formatCode="&quot;$&quot;#,##0.00_);[Red]\(&quot;$&quot;#,##0.00\)">
                  <c:v>18.237934782227903</c:v>
                </c:pt>
                <c:pt idx="14" formatCode="&quot;$&quot;#,##0.00_);[Red]\(&quot;$&quot;#,##0.00\)">
                  <c:v>35.032953427482198</c:v>
                </c:pt>
                <c:pt idx="15" formatCode="&quot;$&quot;#,##0.00_);[Red]\(&quot;$&quot;#,##0.00\)">
                  <c:v>13.6691705387663</c:v>
                </c:pt>
                <c:pt idx="16" formatCode="&quot;$&quot;#,##0.00_);[Red]\(&quot;$&quot;#,##0.00\)">
                  <c:v>77.084450851909907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874-49DB-896F-63D2FDDF2A4D}"/>
            </c:ext>
          </c:extLst>
        </c:ser>
        <c:ser>
          <c:idx val="7"/>
          <c:order val="6"/>
          <c:tx>
            <c:strRef>
              <c:f>'Plotting Marginal CostsBenefits'!$K$1</c:f>
              <c:strCache>
                <c:ptCount val="1"/>
                <c:pt idx="0">
                  <c:v>Procurement - 1.5 Gt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5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'Plotting Marginal CostsBenefits'!$D$67:$D$92</c:f>
              <c:numCache>
                <c:formatCode>"$"#,##0.00_);[Red]\("$"#,##0.00\)</c:formatCode>
                <c:ptCount val="26"/>
                <c:pt idx="0">
                  <c:v>9.476218021083989</c:v>
                </c:pt>
                <c:pt idx="1">
                  <c:v>16.568117338946593</c:v>
                </c:pt>
                <c:pt idx="2">
                  <c:v>19.137170013317693</c:v>
                </c:pt>
                <c:pt idx="3">
                  <c:v>45.651924713912997</c:v>
                </c:pt>
                <c:pt idx="4">
                  <c:v>3.0119272354747899</c:v>
                </c:pt>
                <c:pt idx="5">
                  <c:v>0.64868348327826975</c:v>
                </c:pt>
                <c:pt idx="6">
                  <c:v>3.5095880533935908</c:v>
                </c:pt>
                <c:pt idx="7">
                  <c:v>1.1456123160236911</c:v>
                </c:pt>
                <c:pt idx="8">
                  <c:v>1.9826901417550908</c:v>
                </c:pt>
                <c:pt idx="9">
                  <c:v>11.417559116321593</c:v>
                </c:pt>
                <c:pt idx="10">
                  <c:v>138.93530596719577</c:v>
                </c:pt>
                <c:pt idx="11">
                  <c:v>4.3122304298988912</c:v>
                </c:pt>
                <c:pt idx="12">
                  <c:v>10.039370991663089</c:v>
                </c:pt>
                <c:pt idx="13">
                  <c:v>15.35711737145612</c:v>
                </c:pt>
                <c:pt idx="14">
                  <c:v>35.469894501100818</c:v>
                </c:pt>
                <c:pt idx="15">
                  <c:v>26.98339696665612</c:v>
                </c:pt>
                <c:pt idx="16">
                  <c:v>86.588878581692811</c:v>
                </c:pt>
                <c:pt idx="17">
                  <c:v>3.059409534844721</c:v>
                </c:pt>
                <c:pt idx="18">
                  <c:v>0.6423605549173208</c:v>
                </c:pt>
                <c:pt idx="19">
                  <c:v>3.4674732449173207</c:v>
                </c:pt>
                <c:pt idx="20">
                  <c:v>1.1266878249173204</c:v>
                </c:pt>
                <c:pt idx="21">
                  <c:v>1.9676849149173194</c:v>
                </c:pt>
                <c:pt idx="22">
                  <c:v>11.432142664917318</c:v>
                </c:pt>
                <c:pt idx="23">
                  <c:v>140.55513866259832</c:v>
                </c:pt>
                <c:pt idx="24">
                  <c:v>4.3304415549173205</c:v>
                </c:pt>
                <c:pt idx="25">
                  <c:v>5.0522583347774201</c:v>
                </c:pt>
              </c:numCache>
            </c:numRef>
          </c:xVal>
          <c:yVal>
            <c:numRef>
              <c:f>'Plotting Marginal CostsBenefits'!$K$67:$K$92</c:f>
              <c:numCache>
                <c:formatCode>General</c:formatCode>
                <c:ptCount val="26"/>
                <c:pt idx="22" formatCode="&quot;$&quot;#,##0.00_);[Red]\(&quot;$&quot;#,##0.00\)">
                  <c:v>7.7739790500000003</c:v>
                </c:pt>
                <c:pt idx="23" formatCode="&quot;$&quot;#,##0.00_);[Red]\(&quot;$&quot;#,##0.00\)">
                  <c:v>26.217887908184199</c:v>
                </c:pt>
                <c:pt idx="24" formatCode="&quot;$&quot;#,##0.00_);[Red]\(&quot;$&quot;#,##0.00\)">
                  <c:v>4.6815642999999998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874-49DB-896F-63D2FDDF2A4D}"/>
            </c:ext>
          </c:extLst>
        </c:ser>
        <c:ser>
          <c:idx val="8"/>
          <c:order val="7"/>
          <c:tx>
            <c:strRef>
              <c:f>'Plotting Marginal CostsBenefits'!$L$1</c:f>
              <c:strCache>
                <c:ptCount val="1"/>
                <c:pt idx="0">
                  <c:v>Optimal - 1.5 Gt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5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'Plotting Marginal CostsBenefits'!$D$67:$D$92</c:f>
              <c:numCache>
                <c:formatCode>"$"#,##0.00_);[Red]\("$"#,##0.00\)</c:formatCode>
                <c:ptCount val="26"/>
                <c:pt idx="0">
                  <c:v>9.476218021083989</c:v>
                </c:pt>
                <c:pt idx="1">
                  <c:v>16.568117338946593</c:v>
                </c:pt>
                <c:pt idx="2">
                  <c:v>19.137170013317693</c:v>
                </c:pt>
                <c:pt idx="3">
                  <c:v>45.651924713912997</c:v>
                </c:pt>
                <c:pt idx="4">
                  <c:v>3.0119272354747899</c:v>
                </c:pt>
                <c:pt idx="5">
                  <c:v>0.64868348327826975</c:v>
                </c:pt>
                <c:pt idx="6">
                  <c:v>3.5095880533935908</c:v>
                </c:pt>
                <c:pt idx="7">
                  <c:v>1.1456123160236911</c:v>
                </c:pt>
                <c:pt idx="8">
                  <c:v>1.9826901417550908</c:v>
                </c:pt>
                <c:pt idx="9">
                  <c:v>11.417559116321593</c:v>
                </c:pt>
                <c:pt idx="10">
                  <c:v>138.93530596719577</c:v>
                </c:pt>
                <c:pt idx="11">
                  <c:v>4.3122304298988912</c:v>
                </c:pt>
                <c:pt idx="12">
                  <c:v>10.039370991663089</c:v>
                </c:pt>
                <c:pt idx="13">
                  <c:v>15.35711737145612</c:v>
                </c:pt>
                <c:pt idx="14">
                  <c:v>35.469894501100818</c:v>
                </c:pt>
                <c:pt idx="15">
                  <c:v>26.98339696665612</c:v>
                </c:pt>
                <c:pt idx="16">
                  <c:v>86.588878581692811</c:v>
                </c:pt>
                <c:pt idx="17">
                  <c:v>3.059409534844721</c:v>
                </c:pt>
                <c:pt idx="18">
                  <c:v>0.6423605549173208</c:v>
                </c:pt>
                <c:pt idx="19">
                  <c:v>3.4674732449173207</c:v>
                </c:pt>
                <c:pt idx="20">
                  <c:v>1.1266878249173204</c:v>
                </c:pt>
                <c:pt idx="21">
                  <c:v>1.9676849149173194</c:v>
                </c:pt>
                <c:pt idx="22">
                  <c:v>11.432142664917318</c:v>
                </c:pt>
                <c:pt idx="23">
                  <c:v>140.55513866259832</c:v>
                </c:pt>
                <c:pt idx="24">
                  <c:v>4.3304415549173205</c:v>
                </c:pt>
                <c:pt idx="25">
                  <c:v>5.0522583347774201</c:v>
                </c:pt>
              </c:numCache>
            </c:numRef>
          </c:xVal>
          <c:yVal>
            <c:numRef>
              <c:f>'Plotting Marginal CostsBenefits'!$L$67:$L$92</c:f>
              <c:numCache>
                <c:formatCode>General</c:formatCode>
                <c:ptCount val="26"/>
                <c:pt idx="25" formatCode="&quot;$&quot;#,##0.00_);[Red]\(&quot;$&quot;#,##0.00\)">
                  <c:v>8.1740890987246004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874-49DB-896F-63D2FDDF2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8358192"/>
        <c:axId val="688359152"/>
      </c:scatterChart>
      <c:valAx>
        <c:axId val="688358192"/>
        <c:scaling>
          <c:orientation val="minMax"/>
          <c:max val="15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&quot;$&quot;#,##0_);[Red]\(&quot;$&quot;#,##0\)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bg2">
                <a:lumMod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bg2">
                    <a:lumMod val="2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88359152"/>
        <c:crosses val="autoZero"/>
        <c:crossBetween val="midCat"/>
      </c:valAx>
      <c:valAx>
        <c:axId val="688359152"/>
        <c:scaling>
          <c:orientation val="minMax"/>
          <c:max val="1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&quot;$&quot;#,##0" sourceLinked="0"/>
        <c:majorTickMark val="in"/>
        <c:minorTickMark val="none"/>
        <c:tickLblPos val="low"/>
        <c:spPr>
          <a:noFill/>
          <a:ln w="9525" cap="flat" cmpd="sng" algn="ctr">
            <a:solidFill>
              <a:schemeClr val="bg2">
                <a:lumMod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t" anchorCtr="0"/>
          <a:lstStyle/>
          <a:p>
            <a:pPr>
              <a:defRPr sz="1200" b="0" i="0" u="none" strike="noStrike" kern="1200" baseline="0">
                <a:solidFill>
                  <a:schemeClr val="bg2">
                    <a:lumMod val="2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88358192"/>
        <c:crossesAt val="0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852504578934142"/>
          <c:y val="3.5891588464031364E-2"/>
          <c:w val="0.80994736222891328"/>
          <c:h val="0.86428893797207329"/>
        </c:manualLayout>
      </c:layout>
      <c:scatterChart>
        <c:scatterStyle val="lineMarker"/>
        <c:varyColors val="0"/>
        <c:ser>
          <c:idx val="0"/>
          <c:order val="0"/>
          <c:tx>
            <c:strRef>
              <c:f>'Net-Zero Mandate'!$E$35</c:f>
              <c:strCache>
                <c:ptCount val="1"/>
                <c:pt idx="0">
                  <c:v>Innovation Scenarios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19050">
                <a:solidFill>
                  <a:schemeClr val="accent1"/>
                </a:solidFill>
              </a:ln>
              <a:effectLst/>
            </c:spPr>
          </c:marker>
          <c:xVal>
            <c:numRef>
              <c:f>'Net-Zero Mandate'!$D$36:$D$66</c:f>
              <c:numCache>
                <c:formatCode>0.00%</c:formatCode>
                <c:ptCount val="31"/>
                <c:pt idx="0">
                  <c:v>0</c:v>
                </c:pt>
                <c:pt idx="1">
                  <c:v>1.0644545520472448E-2</c:v>
                </c:pt>
                <c:pt idx="2">
                  <c:v>1.9307500550778789E-2</c:v>
                </c:pt>
                <c:pt idx="3">
                  <c:v>1.0561718679330978E-2</c:v>
                </c:pt>
                <c:pt idx="4">
                  <c:v>-3.5505216962306463E-2</c:v>
                </c:pt>
                <c:pt idx="5">
                  <c:v>1.2916266583007374E-2</c:v>
                </c:pt>
                <c:pt idx="6">
                  <c:v>1.0368295287968898E-2</c:v>
                </c:pt>
                <c:pt idx="7">
                  <c:v>6.028874409642615E-3</c:v>
                </c:pt>
                <c:pt idx="8">
                  <c:v>8.6785676172369541E-3</c:v>
                </c:pt>
                <c:pt idx="9">
                  <c:v>7.9536652884248937E-3</c:v>
                </c:pt>
                <c:pt idx="10">
                  <c:v>1.3462435030650033E-2</c:v>
                </c:pt>
                <c:pt idx="11">
                  <c:v>8.799150970965508E-3</c:v>
                </c:pt>
                <c:pt idx="12">
                  <c:v>1.7531058139190758E-3</c:v>
                </c:pt>
                <c:pt idx="13">
                  <c:v>9.890681049470551E-3</c:v>
                </c:pt>
                <c:pt idx="14">
                  <c:v>1.573425906758108E-2</c:v>
                </c:pt>
                <c:pt idx="15">
                  <c:v>9.8615793669942775E-3</c:v>
                </c:pt>
                <c:pt idx="16">
                  <c:v>1.6667279937599533E-2</c:v>
                </c:pt>
                <c:pt idx="17">
                  <c:v>-4.0784874285260897E-2</c:v>
                </c:pt>
                <c:pt idx="18">
                  <c:v>3.2111903006877052E-2</c:v>
                </c:pt>
                <c:pt idx="19">
                  <c:v>3.0034551655996999E-2</c:v>
                </c:pt>
                <c:pt idx="20">
                  <c:v>1.661132846933655E-2</c:v>
                </c:pt>
                <c:pt idx="21">
                  <c:v>-1.6392791573464072E-3</c:v>
                </c:pt>
                <c:pt idx="22">
                  <c:v>2.5921629907545318E-2</c:v>
                </c:pt>
                <c:pt idx="23">
                  <c:v>5.2812324074540395E-3</c:v>
                </c:pt>
                <c:pt idx="24">
                  <c:v>1.1236011741936558E-2</c:v>
                </c:pt>
                <c:pt idx="25">
                  <c:v>4.3829892274163118E-3</c:v>
                </c:pt>
                <c:pt idx="26">
                  <c:v>1.5607277067723579E-2</c:v>
                </c:pt>
                <c:pt idx="27">
                  <c:v>-2.1957027168099885E-2</c:v>
                </c:pt>
                <c:pt idx="28">
                  <c:v>0.30992141669265538</c:v>
                </c:pt>
                <c:pt idx="29">
                  <c:v>7.8199073013818232E-3</c:v>
                </c:pt>
                <c:pt idx="30">
                  <c:v>3.9508683522927468E-2</c:v>
                </c:pt>
              </c:numCache>
            </c:numRef>
          </c:xVal>
          <c:yVal>
            <c:numRef>
              <c:f>'Net-Zero Mandate'!$E$36:$E$66</c:f>
              <c:numCache>
                <c:formatCode>0.00%</c:formatCode>
                <c:ptCount val="31"/>
                <c:pt idx="5">
                  <c:v>1.8512746406389669E-2</c:v>
                </c:pt>
                <c:pt idx="6">
                  <c:v>1.8116493092832586E-2</c:v>
                </c:pt>
                <c:pt idx="7">
                  <c:v>1.9847893861255628E-2</c:v>
                </c:pt>
                <c:pt idx="8">
                  <c:v>1.8578382802939997E-2</c:v>
                </c:pt>
                <c:pt idx="9">
                  <c:v>1.8376044712895112E-2</c:v>
                </c:pt>
                <c:pt idx="19">
                  <c:v>4.6056724286448691E-2</c:v>
                </c:pt>
                <c:pt idx="20">
                  <c:v>4.0004148288965036E-2</c:v>
                </c:pt>
                <c:pt idx="21">
                  <c:v>3.3180587011108598E-2</c:v>
                </c:pt>
                <c:pt idx="22">
                  <c:v>4.2076393638264875E-2</c:v>
                </c:pt>
                <c:pt idx="23">
                  <c:v>3.5230245964742446E-2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EB5-412D-B7FE-A27E6D86BF66}"/>
            </c:ext>
          </c:extLst>
        </c:ser>
        <c:ser>
          <c:idx val="1"/>
          <c:order val="1"/>
          <c:tx>
            <c:strRef>
              <c:f>'Net-Zero Mandate'!$F$35</c:f>
              <c:strCache>
                <c:ptCount val="1"/>
                <c:pt idx="0">
                  <c:v>Subsidy Scenarios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19050">
                <a:solidFill>
                  <a:schemeClr val="accent2"/>
                </a:solidFill>
              </a:ln>
              <a:effectLst/>
            </c:spPr>
          </c:marker>
          <c:xVal>
            <c:numRef>
              <c:f>'Net-Zero Mandate'!$D$36:$D$66</c:f>
              <c:numCache>
                <c:formatCode>0.00%</c:formatCode>
                <c:ptCount val="31"/>
                <c:pt idx="0">
                  <c:v>0</c:v>
                </c:pt>
                <c:pt idx="1">
                  <c:v>1.0644545520472448E-2</c:v>
                </c:pt>
                <c:pt idx="2">
                  <c:v>1.9307500550778789E-2</c:v>
                </c:pt>
                <c:pt idx="3">
                  <c:v>1.0561718679330978E-2</c:v>
                </c:pt>
                <c:pt idx="4">
                  <c:v>-3.5505216962306463E-2</c:v>
                </c:pt>
                <c:pt idx="5">
                  <c:v>1.2916266583007374E-2</c:v>
                </c:pt>
                <c:pt idx="6">
                  <c:v>1.0368295287968898E-2</c:v>
                </c:pt>
                <c:pt idx="7">
                  <c:v>6.028874409642615E-3</c:v>
                </c:pt>
                <c:pt idx="8">
                  <c:v>8.6785676172369541E-3</c:v>
                </c:pt>
                <c:pt idx="9">
                  <c:v>7.9536652884248937E-3</c:v>
                </c:pt>
                <c:pt idx="10">
                  <c:v>1.3462435030650033E-2</c:v>
                </c:pt>
                <c:pt idx="11">
                  <c:v>8.799150970965508E-3</c:v>
                </c:pt>
                <c:pt idx="12">
                  <c:v>1.7531058139190758E-3</c:v>
                </c:pt>
                <c:pt idx="13">
                  <c:v>9.890681049470551E-3</c:v>
                </c:pt>
                <c:pt idx="14">
                  <c:v>1.573425906758108E-2</c:v>
                </c:pt>
                <c:pt idx="15">
                  <c:v>9.8615793669942775E-3</c:v>
                </c:pt>
                <c:pt idx="16">
                  <c:v>1.6667279937599533E-2</c:v>
                </c:pt>
                <c:pt idx="17">
                  <c:v>-4.0784874285260897E-2</c:v>
                </c:pt>
                <c:pt idx="18">
                  <c:v>3.2111903006877052E-2</c:v>
                </c:pt>
                <c:pt idx="19">
                  <c:v>3.0034551655996999E-2</c:v>
                </c:pt>
                <c:pt idx="20">
                  <c:v>1.661132846933655E-2</c:v>
                </c:pt>
                <c:pt idx="21">
                  <c:v>-1.6392791573464072E-3</c:v>
                </c:pt>
                <c:pt idx="22">
                  <c:v>2.5921629907545318E-2</c:v>
                </c:pt>
                <c:pt idx="23">
                  <c:v>5.2812324074540395E-3</c:v>
                </c:pt>
                <c:pt idx="24">
                  <c:v>1.1236011741936558E-2</c:v>
                </c:pt>
                <c:pt idx="25">
                  <c:v>4.3829892274163118E-3</c:v>
                </c:pt>
                <c:pt idx="26">
                  <c:v>1.5607277067723579E-2</c:v>
                </c:pt>
                <c:pt idx="27">
                  <c:v>-2.1957027168099885E-2</c:v>
                </c:pt>
                <c:pt idx="28">
                  <c:v>0.30992141669265538</c:v>
                </c:pt>
                <c:pt idx="29">
                  <c:v>7.8199073013818232E-3</c:v>
                </c:pt>
                <c:pt idx="30">
                  <c:v>3.9508683522927468E-2</c:v>
                </c:pt>
              </c:numCache>
            </c:numRef>
          </c:xVal>
          <c:yVal>
            <c:numRef>
              <c:f>'Net-Zero Mandate'!$F$36:$F$66</c:f>
              <c:numCache>
                <c:formatCode>0.00%</c:formatCode>
                <c:ptCount val="31"/>
                <c:pt idx="1">
                  <c:v>1.9855136263676076E-2</c:v>
                </c:pt>
                <c:pt idx="2">
                  <c:v>3.1974942191127509E-2</c:v>
                </c:pt>
                <c:pt idx="3">
                  <c:v>1.8330138160197462E-2</c:v>
                </c:pt>
                <c:pt idx="4">
                  <c:v>-2.1039346251833457E-2</c:v>
                </c:pt>
                <c:pt idx="14">
                  <c:v>4.1843412809888569E-2</c:v>
                </c:pt>
                <c:pt idx="15">
                  <c:v>5.3955125464572484E-2</c:v>
                </c:pt>
                <c:pt idx="16">
                  <c:v>4.0699234368546833E-2</c:v>
                </c:pt>
                <c:pt idx="17">
                  <c:v>-3.2397963351503356E-2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EB5-412D-B7FE-A27E6D86BF66}"/>
            </c:ext>
          </c:extLst>
        </c:ser>
        <c:ser>
          <c:idx val="2"/>
          <c:order val="2"/>
          <c:tx>
            <c:strRef>
              <c:f>'Net-Zero Mandate'!$G$35</c:f>
              <c:strCache>
                <c:ptCount val="1"/>
                <c:pt idx="0">
                  <c:v>Procurement Scenarios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19050">
                <a:solidFill>
                  <a:schemeClr val="accent3"/>
                </a:solidFill>
              </a:ln>
              <a:effectLst/>
            </c:spPr>
          </c:marker>
          <c:xVal>
            <c:numRef>
              <c:f>'Net-Zero Mandate'!$D$36:$D$66</c:f>
              <c:numCache>
                <c:formatCode>0.00%</c:formatCode>
                <c:ptCount val="31"/>
                <c:pt idx="0">
                  <c:v>0</c:v>
                </c:pt>
                <c:pt idx="1">
                  <c:v>1.0644545520472448E-2</c:v>
                </c:pt>
                <c:pt idx="2">
                  <c:v>1.9307500550778789E-2</c:v>
                </c:pt>
                <c:pt idx="3">
                  <c:v>1.0561718679330978E-2</c:v>
                </c:pt>
                <c:pt idx="4">
                  <c:v>-3.5505216962306463E-2</c:v>
                </c:pt>
                <c:pt idx="5">
                  <c:v>1.2916266583007374E-2</c:v>
                </c:pt>
                <c:pt idx="6">
                  <c:v>1.0368295287968898E-2</c:v>
                </c:pt>
                <c:pt idx="7">
                  <c:v>6.028874409642615E-3</c:v>
                </c:pt>
                <c:pt idx="8">
                  <c:v>8.6785676172369541E-3</c:v>
                </c:pt>
                <c:pt idx="9">
                  <c:v>7.9536652884248937E-3</c:v>
                </c:pt>
                <c:pt idx="10">
                  <c:v>1.3462435030650033E-2</c:v>
                </c:pt>
                <c:pt idx="11">
                  <c:v>8.799150970965508E-3</c:v>
                </c:pt>
                <c:pt idx="12">
                  <c:v>1.7531058139190758E-3</c:v>
                </c:pt>
                <c:pt idx="13">
                  <c:v>9.890681049470551E-3</c:v>
                </c:pt>
                <c:pt idx="14">
                  <c:v>1.573425906758108E-2</c:v>
                </c:pt>
                <c:pt idx="15">
                  <c:v>9.8615793669942775E-3</c:v>
                </c:pt>
                <c:pt idx="16">
                  <c:v>1.6667279937599533E-2</c:v>
                </c:pt>
                <c:pt idx="17">
                  <c:v>-4.0784874285260897E-2</c:v>
                </c:pt>
                <c:pt idx="18">
                  <c:v>3.2111903006877052E-2</c:v>
                </c:pt>
                <c:pt idx="19">
                  <c:v>3.0034551655996999E-2</c:v>
                </c:pt>
                <c:pt idx="20">
                  <c:v>1.661132846933655E-2</c:v>
                </c:pt>
                <c:pt idx="21">
                  <c:v>-1.6392791573464072E-3</c:v>
                </c:pt>
                <c:pt idx="22">
                  <c:v>2.5921629907545318E-2</c:v>
                </c:pt>
                <c:pt idx="23">
                  <c:v>5.2812324074540395E-3</c:v>
                </c:pt>
                <c:pt idx="24">
                  <c:v>1.1236011741936558E-2</c:v>
                </c:pt>
                <c:pt idx="25">
                  <c:v>4.3829892274163118E-3</c:v>
                </c:pt>
                <c:pt idx="26">
                  <c:v>1.5607277067723579E-2</c:v>
                </c:pt>
                <c:pt idx="27">
                  <c:v>-2.1957027168099885E-2</c:v>
                </c:pt>
                <c:pt idx="28">
                  <c:v>0.30992141669265538</c:v>
                </c:pt>
                <c:pt idx="29">
                  <c:v>7.8199073013818232E-3</c:v>
                </c:pt>
                <c:pt idx="30">
                  <c:v>3.9508683522927468E-2</c:v>
                </c:pt>
              </c:numCache>
            </c:numRef>
          </c:xVal>
          <c:yVal>
            <c:numRef>
              <c:f>'Net-Zero Mandate'!$G$36:$G$66</c:f>
              <c:numCache>
                <c:formatCode>0.00%</c:formatCode>
                <c:ptCount val="31"/>
                <c:pt idx="11">
                  <c:v>2.1618485320876513E-2</c:v>
                </c:pt>
                <c:pt idx="12">
                  <c:v>6.3034837625914664E-2</c:v>
                </c:pt>
                <c:pt idx="13">
                  <c:v>1.9669980877950799E-2</c:v>
                </c:pt>
                <c:pt idx="24">
                  <c:v>4.0711707606672087E-2</c:v>
                </c:pt>
                <c:pt idx="25">
                  <c:v>6.6782244660237744E-2</c:v>
                </c:pt>
                <c:pt idx="26">
                  <c:v>4.0735246119355084E-2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EB5-412D-B7FE-A27E6D86BF66}"/>
            </c:ext>
          </c:extLst>
        </c:ser>
        <c:ser>
          <c:idx val="3"/>
          <c:order val="3"/>
          <c:tx>
            <c:strRef>
              <c:f>'Net-Zero Mandate'!$H$35</c:f>
              <c:strCache>
                <c:ptCount val="1"/>
                <c:pt idx="0">
                  <c:v>Optimal Scenarios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19050">
                <a:solidFill>
                  <a:schemeClr val="accent4"/>
                </a:solidFill>
              </a:ln>
              <a:effectLst/>
            </c:spPr>
          </c:marker>
          <c:xVal>
            <c:numRef>
              <c:f>'Net-Zero Mandate'!$D$36:$D$66</c:f>
              <c:numCache>
                <c:formatCode>0.00%</c:formatCode>
                <c:ptCount val="31"/>
                <c:pt idx="0">
                  <c:v>0</c:v>
                </c:pt>
                <c:pt idx="1">
                  <c:v>1.0644545520472448E-2</c:v>
                </c:pt>
                <c:pt idx="2">
                  <c:v>1.9307500550778789E-2</c:v>
                </c:pt>
                <c:pt idx="3">
                  <c:v>1.0561718679330978E-2</c:v>
                </c:pt>
                <c:pt idx="4">
                  <c:v>-3.5505216962306463E-2</c:v>
                </c:pt>
                <c:pt idx="5">
                  <c:v>1.2916266583007374E-2</c:v>
                </c:pt>
                <c:pt idx="6">
                  <c:v>1.0368295287968898E-2</c:v>
                </c:pt>
                <c:pt idx="7">
                  <c:v>6.028874409642615E-3</c:v>
                </c:pt>
                <c:pt idx="8">
                  <c:v>8.6785676172369541E-3</c:v>
                </c:pt>
                <c:pt idx="9">
                  <c:v>7.9536652884248937E-3</c:v>
                </c:pt>
                <c:pt idx="10">
                  <c:v>1.3462435030650033E-2</c:v>
                </c:pt>
                <c:pt idx="11">
                  <c:v>8.799150970965508E-3</c:v>
                </c:pt>
                <c:pt idx="12">
                  <c:v>1.7531058139190758E-3</c:v>
                </c:pt>
                <c:pt idx="13">
                  <c:v>9.890681049470551E-3</c:v>
                </c:pt>
                <c:pt idx="14">
                  <c:v>1.573425906758108E-2</c:v>
                </c:pt>
                <c:pt idx="15">
                  <c:v>9.8615793669942775E-3</c:v>
                </c:pt>
                <c:pt idx="16">
                  <c:v>1.6667279937599533E-2</c:v>
                </c:pt>
                <c:pt idx="17">
                  <c:v>-4.0784874285260897E-2</c:v>
                </c:pt>
                <c:pt idx="18">
                  <c:v>3.2111903006877052E-2</c:v>
                </c:pt>
                <c:pt idx="19">
                  <c:v>3.0034551655996999E-2</c:v>
                </c:pt>
                <c:pt idx="20">
                  <c:v>1.661132846933655E-2</c:v>
                </c:pt>
                <c:pt idx="21">
                  <c:v>-1.6392791573464072E-3</c:v>
                </c:pt>
                <c:pt idx="22">
                  <c:v>2.5921629907545318E-2</c:v>
                </c:pt>
                <c:pt idx="23">
                  <c:v>5.2812324074540395E-3</c:v>
                </c:pt>
                <c:pt idx="24">
                  <c:v>1.1236011741936558E-2</c:v>
                </c:pt>
                <c:pt idx="25">
                  <c:v>4.3829892274163118E-3</c:v>
                </c:pt>
                <c:pt idx="26">
                  <c:v>1.5607277067723579E-2</c:v>
                </c:pt>
                <c:pt idx="27">
                  <c:v>-2.1957027168099885E-2</c:v>
                </c:pt>
                <c:pt idx="28">
                  <c:v>0.30992141669265538</c:v>
                </c:pt>
                <c:pt idx="29">
                  <c:v>7.8199073013818232E-3</c:v>
                </c:pt>
                <c:pt idx="30">
                  <c:v>3.9508683522927468E-2</c:v>
                </c:pt>
              </c:numCache>
            </c:numRef>
          </c:xVal>
          <c:yVal>
            <c:numRef>
              <c:f>'Net-Zero Mandate'!$H$36:$H$66</c:f>
              <c:numCache>
                <c:formatCode>0.00%</c:formatCode>
                <c:ptCount val="31"/>
                <c:pt idx="29">
                  <c:v>2.0007445681786917E-2</c:v>
                </c:pt>
                <c:pt idx="30">
                  <c:v>4.5551880726005356E-2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EB5-412D-B7FE-A27E6D86BF66}"/>
            </c:ext>
          </c:extLst>
        </c:ser>
        <c:ser>
          <c:idx val="4"/>
          <c:order val="4"/>
          <c:tx>
            <c:strRef>
              <c:f>'Net-Zero Mandate'!$I$35</c:f>
              <c:strCache>
                <c:ptCount val="1"/>
                <c:pt idx="0">
                  <c:v>Baseline Pathways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19050">
                <a:solidFill>
                  <a:schemeClr val="accent5"/>
                </a:solidFill>
              </a:ln>
              <a:effectLst/>
            </c:spPr>
          </c:marker>
          <c:xVal>
            <c:numRef>
              <c:f>'Net-Zero Mandate'!$D$36:$D$66</c:f>
              <c:numCache>
                <c:formatCode>0.00%</c:formatCode>
                <c:ptCount val="31"/>
                <c:pt idx="0">
                  <c:v>0</c:v>
                </c:pt>
                <c:pt idx="1">
                  <c:v>1.0644545520472448E-2</c:v>
                </c:pt>
                <c:pt idx="2">
                  <c:v>1.9307500550778789E-2</c:v>
                </c:pt>
                <c:pt idx="3">
                  <c:v>1.0561718679330978E-2</c:v>
                </c:pt>
                <c:pt idx="4">
                  <c:v>-3.5505216962306463E-2</c:v>
                </c:pt>
                <c:pt idx="5">
                  <c:v>1.2916266583007374E-2</c:v>
                </c:pt>
                <c:pt idx="6">
                  <c:v>1.0368295287968898E-2</c:v>
                </c:pt>
                <c:pt idx="7">
                  <c:v>6.028874409642615E-3</c:v>
                </c:pt>
                <c:pt idx="8">
                  <c:v>8.6785676172369541E-3</c:v>
                </c:pt>
                <c:pt idx="9">
                  <c:v>7.9536652884248937E-3</c:v>
                </c:pt>
                <c:pt idx="10">
                  <c:v>1.3462435030650033E-2</c:v>
                </c:pt>
                <c:pt idx="11">
                  <c:v>8.799150970965508E-3</c:v>
                </c:pt>
                <c:pt idx="12">
                  <c:v>1.7531058139190758E-3</c:v>
                </c:pt>
                <c:pt idx="13">
                  <c:v>9.890681049470551E-3</c:v>
                </c:pt>
                <c:pt idx="14">
                  <c:v>1.573425906758108E-2</c:v>
                </c:pt>
                <c:pt idx="15">
                  <c:v>9.8615793669942775E-3</c:v>
                </c:pt>
                <c:pt idx="16">
                  <c:v>1.6667279937599533E-2</c:v>
                </c:pt>
                <c:pt idx="17">
                  <c:v>-4.0784874285260897E-2</c:v>
                </c:pt>
                <c:pt idx="18">
                  <c:v>3.2111903006877052E-2</c:v>
                </c:pt>
                <c:pt idx="19">
                  <c:v>3.0034551655996999E-2</c:v>
                </c:pt>
                <c:pt idx="20">
                  <c:v>1.661132846933655E-2</c:v>
                </c:pt>
                <c:pt idx="21">
                  <c:v>-1.6392791573464072E-3</c:v>
                </c:pt>
                <c:pt idx="22">
                  <c:v>2.5921629907545318E-2</c:v>
                </c:pt>
                <c:pt idx="23">
                  <c:v>5.2812324074540395E-3</c:v>
                </c:pt>
                <c:pt idx="24">
                  <c:v>1.1236011741936558E-2</c:v>
                </c:pt>
                <c:pt idx="25">
                  <c:v>4.3829892274163118E-3</c:v>
                </c:pt>
                <c:pt idx="26">
                  <c:v>1.5607277067723579E-2</c:v>
                </c:pt>
                <c:pt idx="27">
                  <c:v>-2.1957027168099885E-2</c:v>
                </c:pt>
                <c:pt idx="28">
                  <c:v>0.30992141669265538</c:v>
                </c:pt>
                <c:pt idx="29">
                  <c:v>7.8199073013818232E-3</c:v>
                </c:pt>
                <c:pt idx="30">
                  <c:v>3.9508683522927468E-2</c:v>
                </c:pt>
              </c:numCache>
            </c:numRef>
          </c:xVal>
          <c:yVal>
            <c:numRef>
              <c:f>'Net-Zero Mandate'!$I$36:$I$66</c:f>
              <c:numCache>
                <c:formatCode>0.00%</c:formatCode>
                <c:ptCount val="31"/>
                <c:pt idx="10">
                  <c:v>1.8400050597163986E-2</c:v>
                </c:pt>
                <c:pt idx="18">
                  <c:v>4.6730027156246301E-2</c:v>
                </c:pt>
                <c:pt idx="27">
                  <c:v>3.9746960786196883E-2</c:v>
                </c:pt>
                <c:pt idx="28">
                  <c:v>8.7571994223182736E-2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EB5-412D-B7FE-A27E6D86BF66}"/>
            </c:ext>
          </c:extLst>
        </c:ser>
        <c:ser>
          <c:idx val="5"/>
          <c:order val="5"/>
          <c:tx>
            <c:strRef>
              <c:f>'Net-Zero Mandate'!$J$35</c:f>
              <c:strCache>
                <c:ptCount val="1"/>
                <c:pt idx="0">
                  <c:v>100 Mt Baseline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19050">
                <a:solidFill>
                  <a:schemeClr val="accent6"/>
                </a:solidFill>
              </a:ln>
              <a:effectLst/>
            </c:spPr>
          </c:marker>
          <c:xVal>
            <c:numRef>
              <c:f>'Net-Zero Mandate'!$D$36:$D$66</c:f>
              <c:numCache>
                <c:formatCode>0.00%</c:formatCode>
                <c:ptCount val="31"/>
                <c:pt idx="0">
                  <c:v>0</c:v>
                </c:pt>
                <c:pt idx="1">
                  <c:v>1.0644545520472448E-2</c:v>
                </c:pt>
                <c:pt idx="2">
                  <c:v>1.9307500550778789E-2</c:v>
                </c:pt>
                <c:pt idx="3">
                  <c:v>1.0561718679330978E-2</c:v>
                </c:pt>
                <c:pt idx="4">
                  <c:v>-3.5505216962306463E-2</c:v>
                </c:pt>
                <c:pt idx="5">
                  <c:v>1.2916266583007374E-2</c:v>
                </c:pt>
                <c:pt idx="6">
                  <c:v>1.0368295287968898E-2</c:v>
                </c:pt>
                <c:pt idx="7">
                  <c:v>6.028874409642615E-3</c:v>
                </c:pt>
                <c:pt idx="8">
                  <c:v>8.6785676172369541E-3</c:v>
                </c:pt>
                <c:pt idx="9">
                  <c:v>7.9536652884248937E-3</c:v>
                </c:pt>
                <c:pt idx="10">
                  <c:v>1.3462435030650033E-2</c:v>
                </c:pt>
                <c:pt idx="11">
                  <c:v>8.799150970965508E-3</c:v>
                </c:pt>
                <c:pt idx="12">
                  <c:v>1.7531058139190758E-3</c:v>
                </c:pt>
                <c:pt idx="13">
                  <c:v>9.890681049470551E-3</c:v>
                </c:pt>
                <c:pt idx="14">
                  <c:v>1.573425906758108E-2</c:v>
                </c:pt>
                <c:pt idx="15">
                  <c:v>9.8615793669942775E-3</c:v>
                </c:pt>
                <c:pt idx="16">
                  <c:v>1.6667279937599533E-2</c:v>
                </c:pt>
                <c:pt idx="17">
                  <c:v>-4.0784874285260897E-2</c:v>
                </c:pt>
                <c:pt idx="18">
                  <c:v>3.2111903006877052E-2</c:v>
                </c:pt>
                <c:pt idx="19">
                  <c:v>3.0034551655996999E-2</c:v>
                </c:pt>
                <c:pt idx="20">
                  <c:v>1.661132846933655E-2</c:v>
                </c:pt>
                <c:pt idx="21">
                  <c:v>-1.6392791573464072E-3</c:v>
                </c:pt>
                <c:pt idx="22">
                  <c:v>2.5921629907545318E-2</c:v>
                </c:pt>
                <c:pt idx="23">
                  <c:v>5.2812324074540395E-3</c:v>
                </c:pt>
                <c:pt idx="24">
                  <c:v>1.1236011741936558E-2</c:v>
                </c:pt>
                <c:pt idx="25">
                  <c:v>4.3829892274163118E-3</c:v>
                </c:pt>
                <c:pt idx="26">
                  <c:v>1.5607277067723579E-2</c:v>
                </c:pt>
                <c:pt idx="27">
                  <c:v>-2.1957027168099885E-2</c:v>
                </c:pt>
                <c:pt idx="28">
                  <c:v>0.30992141669265538</c:v>
                </c:pt>
                <c:pt idx="29">
                  <c:v>7.8199073013818232E-3</c:v>
                </c:pt>
                <c:pt idx="30">
                  <c:v>3.9508683522927468E-2</c:v>
                </c:pt>
              </c:numCache>
            </c:numRef>
          </c:xVal>
          <c:yVal>
            <c:numRef>
              <c:f>'Net-Zero Mandate'!$J$36:$J$66</c:f>
              <c:numCache>
                <c:formatCode>0.00%</c:formatCode>
                <c:ptCount val="3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936-407F-94DA-4FE9742D9C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8358192"/>
        <c:axId val="688359152"/>
      </c:scatterChart>
      <c:valAx>
        <c:axId val="688358192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bg2">
                        <a:lumMod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400">
                    <a:solidFill>
                      <a:schemeClr val="bg2">
                        <a:lumMod val="25000"/>
                      </a:schemeClr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Cost of Mitigation in 2050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bg2">
                      <a:lumMod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%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bg2">
                <a:lumMod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bg2">
                    <a:lumMod val="2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88359152"/>
        <c:crossesAt val="-4"/>
        <c:crossBetween val="midCat"/>
      </c:valAx>
      <c:valAx>
        <c:axId val="688359152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0" i="0" u="none" strike="noStrike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NPV Ratio to 100 Mt Baseline (%)</a:t>
                </a:r>
              </a:p>
            </c:rich>
          </c:tx>
          <c:layout>
            <c:manualLayout>
              <c:xMode val="edge"/>
              <c:yMode val="edge"/>
              <c:x val="2.3006874574242643E-2"/>
              <c:y val="0.2544069751535059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in"/>
        <c:minorTickMark val="none"/>
        <c:tickLblPos val="low"/>
        <c:spPr>
          <a:noFill/>
          <a:ln w="9525" cap="flat" cmpd="sng" algn="ctr">
            <a:solidFill>
              <a:schemeClr val="bg2">
                <a:lumMod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t" anchorCtr="0"/>
          <a:lstStyle/>
          <a:p>
            <a:pPr>
              <a:defRPr sz="1300" b="0" i="0" u="none" strike="noStrike" kern="1200" baseline="0">
                <a:solidFill>
                  <a:schemeClr val="bg2">
                    <a:lumMod val="2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88358192"/>
        <c:crossesAt val="-10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38553300100656673"/>
          <c:y val="2.1410668712617081E-2"/>
          <c:w val="0.35847707433483322"/>
          <c:h val="0.29509347654156204"/>
        </c:manualLayout>
      </c:layout>
      <c:overlay val="0"/>
      <c:spPr>
        <a:solidFill>
          <a:schemeClr val="bg1">
            <a:alpha val="50000"/>
          </a:schemeClr>
        </a:solidFill>
        <a:ln>
          <a:solidFill>
            <a:schemeClr val="bg2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chemeClr val="bg2">
                  <a:lumMod val="2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398616723931959"/>
          <c:y val="3.5891588464031364E-2"/>
          <c:w val="0.83992277852189623"/>
          <c:h val="0.86428893797207329"/>
        </c:manualLayout>
      </c:layout>
      <c:scatterChart>
        <c:scatterStyle val="lineMarker"/>
        <c:varyColors val="0"/>
        <c:ser>
          <c:idx val="0"/>
          <c:order val="0"/>
          <c:tx>
            <c:strRef>
              <c:f>'Net-Zero Mandate'!$E$35</c:f>
              <c:strCache>
                <c:ptCount val="1"/>
                <c:pt idx="0">
                  <c:v>Innovation Scenarios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19050">
                <a:solidFill>
                  <a:schemeClr val="accent1"/>
                </a:solidFill>
              </a:ln>
              <a:effectLst/>
            </c:spPr>
          </c:marker>
          <c:xVal>
            <c:numRef>
              <c:f>'Net-Zero Mandate'!$D$36:$D$66</c:f>
              <c:numCache>
                <c:formatCode>0.00%</c:formatCode>
                <c:ptCount val="31"/>
                <c:pt idx="0">
                  <c:v>0</c:v>
                </c:pt>
                <c:pt idx="1">
                  <c:v>1.0644545520472448E-2</c:v>
                </c:pt>
                <c:pt idx="2">
                  <c:v>1.9307500550778789E-2</c:v>
                </c:pt>
                <c:pt idx="3">
                  <c:v>1.0561718679330978E-2</c:v>
                </c:pt>
                <c:pt idx="4">
                  <c:v>-3.5505216962306463E-2</c:v>
                </c:pt>
                <c:pt idx="5">
                  <c:v>1.2916266583007374E-2</c:v>
                </c:pt>
                <c:pt idx="6">
                  <c:v>1.0368295287968898E-2</c:v>
                </c:pt>
                <c:pt idx="7">
                  <c:v>6.028874409642615E-3</c:v>
                </c:pt>
                <c:pt idx="8">
                  <c:v>8.6785676172369541E-3</c:v>
                </c:pt>
                <c:pt idx="9">
                  <c:v>7.9536652884248937E-3</c:v>
                </c:pt>
                <c:pt idx="10">
                  <c:v>1.3462435030650033E-2</c:v>
                </c:pt>
                <c:pt idx="11">
                  <c:v>8.799150970965508E-3</c:v>
                </c:pt>
                <c:pt idx="12">
                  <c:v>1.7531058139190758E-3</c:v>
                </c:pt>
                <c:pt idx="13">
                  <c:v>9.890681049470551E-3</c:v>
                </c:pt>
                <c:pt idx="14">
                  <c:v>1.573425906758108E-2</c:v>
                </c:pt>
                <c:pt idx="15">
                  <c:v>9.8615793669942775E-3</c:v>
                </c:pt>
                <c:pt idx="16">
                  <c:v>1.6667279937599533E-2</c:v>
                </c:pt>
                <c:pt idx="17">
                  <c:v>-4.0784874285260897E-2</c:v>
                </c:pt>
                <c:pt idx="18">
                  <c:v>3.2111903006877052E-2</c:v>
                </c:pt>
                <c:pt idx="19">
                  <c:v>3.0034551655996999E-2</c:v>
                </c:pt>
                <c:pt idx="20">
                  <c:v>1.661132846933655E-2</c:v>
                </c:pt>
                <c:pt idx="21">
                  <c:v>-1.6392791573464072E-3</c:v>
                </c:pt>
                <c:pt idx="22">
                  <c:v>2.5921629907545318E-2</c:v>
                </c:pt>
                <c:pt idx="23">
                  <c:v>5.2812324074540395E-3</c:v>
                </c:pt>
                <c:pt idx="24">
                  <c:v>1.1236011741936558E-2</c:v>
                </c:pt>
                <c:pt idx="25">
                  <c:v>4.3829892274163118E-3</c:v>
                </c:pt>
                <c:pt idx="26">
                  <c:v>1.5607277067723579E-2</c:v>
                </c:pt>
                <c:pt idx="27">
                  <c:v>-2.1957027168099885E-2</c:v>
                </c:pt>
                <c:pt idx="28">
                  <c:v>0.30992141669265538</c:v>
                </c:pt>
                <c:pt idx="29">
                  <c:v>7.8199073013818232E-3</c:v>
                </c:pt>
                <c:pt idx="30">
                  <c:v>3.9508683522927468E-2</c:v>
                </c:pt>
              </c:numCache>
            </c:numRef>
          </c:xVal>
          <c:yVal>
            <c:numRef>
              <c:f>'Net-Zero Mandate'!$E$36:$E$66</c:f>
              <c:numCache>
                <c:formatCode>0.00%</c:formatCode>
                <c:ptCount val="31"/>
                <c:pt idx="5">
                  <c:v>1.8512746406389669E-2</c:v>
                </c:pt>
                <c:pt idx="6">
                  <c:v>1.8116493092832586E-2</c:v>
                </c:pt>
                <c:pt idx="7">
                  <c:v>1.9847893861255628E-2</c:v>
                </c:pt>
                <c:pt idx="8">
                  <c:v>1.8578382802939997E-2</c:v>
                </c:pt>
                <c:pt idx="9">
                  <c:v>1.8376044712895112E-2</c:v>
                </c:pt>
                <c:pt idx="19">
                  <c:v>4.6056724286448691E-2</c:v>
                </c:pt>
                <c:pt idx="20">
                  <c:v>4.0004148288965036E-2</c:v>
                </c:pt>
                <c:pt idx="21">
                  <c:v>3.3180587011108598E-2</c:v>
                </c:pt>
                <c:pt idx="22">
                  <c:v>4.2076393638264875E-2</c:v>
                </c:pt>
                <c:pt idx="23">
                  <c:v>3.5230245964742446E-2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69-4630-A422-526D25E52A1C}"/>
            </c:ext>
          </c:extLst>
        </c:ser>
        <c:ser>
          <c:idx val="1"/>
          <c:order val="1"/>
          <c:tx>
            <c:strRef>
              <c:f>'Net-Zero Mandate'!$F$35</c:f>
              <c:strCache>
                <c:ptCount val="1"/>
                <c:pt idx="0">
                  <c:v>Subsidy Scenarios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19050">
                <a:solidFill>
                  <a:schemeClr val="accent2"/>
                </a:solidFill>
              </a:ln>
              <a:effectLst/>
            </c:spPr>
          </c:marker>
          <c:xVal>
            <c:numRef>
              <c:f>'Net-Zero Mandate'!$D$36:$D$66</c:f>
              <c:numCache>
                <c:formatCode>0.00%</c:formatCode>
                <c:ptCount val="31"/>
                <c:pt idx="0">
                  <c:v>0</c:v>
                </c:pt>
                <c:pt idx="1">
                  <c:v>1.0644545520472448E-2</c:v>
                </c:pt>
                <c:pt idx="2">
                  <c:v>1.9307500550778789E-2</c:v>
                </c:pt>
                <c:pt idx="3">
                  <c:v>1.0561718679330978E-2</c:v>
                </c:pt>
                <c:pt idx="4">
                  <c:v>-3.5505216962306463E-2</c:v>
                </c:pt>
                <c:pt idx="5">
                  <c:v>1.2916266583007374E-2</c:v>
                </c:pt>
                <c:pt idx="6">
                  <c:v>1.0368295287968898E-2</c:v>
                </c:pt>
                <c:pt idx="7">
                  <c:v>6.028874409642615E-3</c:v>
                </c:pt>
                <c:pt idx="8">
                  <c:v>8.6785676172369541E-3</c:v>
                </c:pt>
                <c:pt idx="9">
                  <c:v>7.9536652884248937E-3</c:v>
                </c:pt>
                <c:pt idx="10">
                  <c:v>1.3462435030650033E-2</c:v>
                </c:pt>
                <c:pt idx="11">
                  <c:v>8.799150970965508E-3</c:v>
                </c:pt>
                <c:pt idx="12">
                  <c:v>1.7531058139190758E-3</c:v>
                </c:pt>
                <c:pt idx="13">
                  <c:v>9.890681049470551E-3</c:v>
                </c:pt>
                <c:pt idx="14">
                  <c:v>1.573425906758108E-2</c:v>
                </c:pt>
                <c:pt idx="15">
                  <c:v>9.8615793669942775E-3</c:v>
                </c:pt>
                <c:pt idx="16">
                  <c:v>1.6667279937599533E-2</c:v>
                </c:pt>
                <c:pt idx="17">
                  <c:v>-4.0784874285260897E-2</c:v>
                </c:pt>
                <c:pt idx="18">
                  <c:v>3.2111903006877052E-2</c:v>
                </c:pt>
                <c:pt idx="19">
                  <c:v>3.0034551655996999E-2</c:v>
                </c:pt>
                <c:pt idx="20">
                  <c:v>1.661132846933655E-2</c:v>
                </c:pt>
                <c:pt idx="21">
                  <c:v>-1.6392791573464072E-3</c:v>
                </c:pt>
                <c:pt idx="22">
                  <c:v>2.5921629907545318E-2</c:v>
                </c:pt>
                <c:pt idx="23">
                  <c:v>5.2812324074540395E-3</c:v>
                </c:pt>
                <c:pt idx="24">
                  <c:v>1.1236011741936558E-2</c:v>
                </c:pt>
                <c:pt idx="25">
                  <c:v>4.3829892274163118E-3</c:v>
                </c:pt>
                <c:pt idx="26">
                  <c:v>1.5607277067723579E-2</c:v>
                </c:pt>
                <c:pt idx="27">
                  <c:v>-2.1957027168099885E-2</c:v>
                </c:pt>
                <c:pt idx="28">
                  <c:v>0.30992141669265538</c:v>
                </c:pt>
                <c:pt idx="29">
                  <c:v>7.8199073013818232E-3</c:v>
                </c:pt>
                <c:pt idx="30">
                  <c:v>3.9508683522927468E-2</c:v>
                </c:pt>
              </c:numCache>
            </c:numRef>
          </c:xVal>
          <c:yVal>
            <c:numRef>
              <c:f>'Net-Zero Mandate'!$F$36:$F$66</c:f>
              <c:numCache>
                <c:formatCode>0.00%</c:formatCode>
                <c:ptCount val="31"/>
                <c:pt idx="1">
                  <c:v>1.9855136263676076E-2</c:v>
                </c:pt>
                <c:pt idx="2">
                  <c:v>3.1974942191127509E-2</c:v>
                </c:pt>
                <c:pt idx="3">
                  <c:v>1.8330138160197462E-2</c:v>
                </c:pt>
                <c:pt idx="4">
                  <c:v>-2.1039346251833457E-2</c:v>
                </c:pt>
                <c:pt idx="14">
                  <c:v>4.1843412809888569E-2</c:v>
                </c:pt>
                <c:pt idx="15">
                  <c:v>5.3955125464572484E-2</c:v>
                </c:pt>
                <c:pt idx="16">
                  <c:v>4.0699234368546833E-2</c:v>
                </c:pt>
                <c:pt idx="17">
                  <c:v>-3.2397963351503356E-2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B69-4630-A422-526D25E52A1C}"/>
            </c:ext>
          </c:extLst>
        </c:ser>
        <c:ser>
          <c:idx val="2"/>
          <c:order val="2"/>
          <c:tx>
            <c:strRef>
              <c:f>'Net-Zero Mandate'!$G$35</c:f>
              <c:strCache>
                <c:ptCount val="1"/>
                <c:pt idx="0">
                  <c:v>Procurement Scenarios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19050">
                <a:solidFill>
                  <a:schemeClr val="accent3"/>
                </a:solidFill>
              </a:ln>
              <a:effectLst/>
            </c:spPr>
          </c:marker>
          <c:xVal>
            <c:numRef>
              <c:f>'Net-Zero Mandate'!$D$36:$D$66</c:f>
              <c:numCache>
                <c:formatCode>0.00%</c:formatCode>
                <c:ptCount val="31"/>
                <c:pt idx="0">
                  <c:v>0</c:v>
                </c:pt>
                <c:pt idx="1">
                  <c:v>1.0644545520472448E-2</c:v>
                </c:pt>
                <c:pt idx="2">
                  <c:v>1.9307500550778789E-2</c:v>
                </c:pt>
                <c:pt idx="3">
                  <c:v>1.0561718679330978E-2</c:v>
                </c:pt>
                <c:pt idx="4">
                  <c:v>-3.5505216962306463E-2</c:v>
                </c:pt>
                <c:pt idx="5">
                  <c:v>1.2916266583007374E-2</c:v>
                </c:pt>
                <c:pt idx="6">
                  <c:v>1.0368295287968898E-2</c:v>
                </c:pt>
                <c:pt idx="7">
                  <c:v>6.028874409642615E-3</c:v>
                </c:pt>
                <c:pt idx="8">
                  <c:v>8.6785676172369541E-3</c:v>
                </c:pt>
                <c:pt idx="9">
                  <c:v>7.9536652884248937E-3</c:v>
                </c:pt>
                <c:pt idx="10">
                  <c:v>1.3462435030650033E-2</c:v>
                </c:pt>
                <c:pt idx="11">
                  <c:v>8.799150970965508E-3</c:v>
                </c:pt>
                <c:pt idx="12">
                  <c:v>1.7531058139190758E-3</c:v>
                </c:pt>
                <c:pt idx="13">
                  <c:v>9.890681049470551E-3</c:v>
                </c:pt>
                <c:pt idx="14">
                  <c:v>1.573425906758108E-2</c:v>
                </c:pt>
                <c:pt idx="15">
                  <c:v>9.8615793669942775E-3</c:v>
                </c:pt>
                <c:pt idx="16">
                  <c:v>1.6667279937599533E-2</c:v>
                </c:pt>
                <c:pt idx="17">
                  <c:v>-4.0784874285260897E-2</c:v>
                </c:pt>
                <c:pt idx="18">
                  <c:v>3.2111903006877052E-2</c:v>
                </c:pt>
                <c:pt idx="19">
                  <c:v>3.0034551655996999E-2</c:v>
                </c:pt>
                <c:pt idx="20">
                  <c:v>1.661132846933655E-2</c:v>
                </c:pt>
                <c:pt idx="21">
                  <c:v>-1.6392791573464072E-3</c:v>
                </c:pt>
                <c:pt idx="22">
                  <c:v>2.5921629907545318E-2</c:v>
                </c:pt>
                <c:pt idx="23">
                  <c:v>5.2812324074540395E-3</c:v>
                </c:pt>
                <c:pt idx="24">
                  <c:v>1.1236011741936558E-2</c:v>
                </c:pt>
                <c:pt idx="25">
                  <c:v>4.3829892274163118E-3</c:v>
                </c:pt>
                <c:pt idx="26">
                  <c:v>1.5607277067723579E-2</c:v>
                </c:pt>
                <c:pt idx="27">
                  <c:v>-2.1957027168099885E-2</c:v>
                </c:pt>
                <c:pt idx="28">
                  <c:v>0.30992141669265538</c:v>
                </c:pt>
                <c:pt idx="29">
                  <c:v>7.8199073013818232E-3</c:v>
                </c:pt>
                <c:pt idx="30">
                  <c:v>3.9508683522927468E-2</c:v>
                </c:pt>
              </c:numCache>
            </c:numRef>
          </c:xVal>
          <c:yVal>
            <c:numRef>
              <c:f>'Net-Zero Mandate'!$G$36:$G$66</c:f>
              <c:numCache>
                <c:formatCode>0.00%</c:formatCode>
                <c:ptCount val="31"/>
                <c:pt idx="11">
                  <c:v>2.1618485320876513E-2</c:v>
                </c:pt>
                <c:pt idx="12">
                  <c:v>6.3034837625914664E-2</c:v>
                </c:pt>
                <c:pt idx="13">
                  <c:v>1.9669980877950799E-2</c:v>
                </c:pt>
                <c:pt idx="24">
                  <c:v>4.0711707606672087E-2</c:v>
                </c:pt>
                <c:pt idx="25">
                  <c:v>6.6782244660237744E-2</c:v>
                </c:pt>
                <c:pt idx="26">
                  <c:v>4.0735246119355084E-2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B69-4630-A422-526D25E52A1C}"/>
            </c:ext>
          </c:extLst>
        </c:ser>
        <c:ser>
          <c:idx val="3"/>
          <c:order val="3"/>
          <c:tx>
            <c:strRef>
              <c:f>'Net-Zero Mandate'!$H$35</c:f>
              <c:strCache>
                <c:ptCount val="1"/>
                <c:pt idx="0">
                  <c:v>Optimal Scenarios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19050">
                <a:solidFill>
                  <a:schemeClr val="accent4"/>
                </a:solidFill>
              </a:ln>
              <a:effectLst/>
            </c:spPr>
          </c:marker>
          <c:xVal>
            <c:numRef>
              <c:f>'Net-Zero Mandate'!$D$36:$D$66</c:f>
              <c:numCache>
                <c:formatCode>0.00%</c:formatCode>
                <c:ptCount val="31"/>
                <c:pt idx="0">
                  <c:v>0</c:v>
                </c:pt>
                <c:pt idx="1">
                  <c:v>1.0644545520472448E-2</c:v>
                </c:pt>
                <c:pt idx="2">
                  <c:v>1.9307500550778789E-2</c:v>
                </c:pt>
                <c:pt idx="3">
                  <c:v>1.0561718679330978E-2</c:v>
                </c:pt>
                <c:pt idx="4">
                  <c:v>-3.5505216962306463E-2</c:v>
                </c:pt>
                <c:pt idx="5">
                  <c:v>1.2916266583007374E-2</c:v>
                </c:pt>
                <c:pt idx="6">
                  <c:v>1.0368295287968898E-2</c:v>
                </c:pt>
                <c:pt idx="7">
                  <c:v>6.028874409642615E-3</c:v>
                </c:pt>
                <c:pt idx="8">
                  <c:v>8.6785676172369541E-3</c:v>
                </c:pt>
                <c:pt idx="9">
                  <c:v>7.9536652884248937E-3</c:v>
                </c:pt>
                <c:pt idx="10">
                  <c:v>1.3462435030650033E-2</c:v>
                </c:pt>
                <c:pt idx="11">
                  <c:v>8.799150970965508E-3</c:v>
                </c:pt>
                <c:pt idx="12">
                  <c:v>1.7531058139190758E-3</c:v>
                </c:pt>
                <c:pt idx="13">
                  <c:v>9.890681049470551E-3</c:v>
                </c:pt>
                <c:pt idx="14">
                  <c:v>1.573425906758108E-2</c:v>
                </c:pt>
                <c:pt idx="15">
                  <c:v>9.8615793669942775E-3</c:v>
                </c:pt>
                <c:pt idx="16">
                  <c:v>1.6667279937599533E-2</c:v>
                </c:pt>
                <c:pt idx="17">
                  <c:v>-4.0784874285260897E-2</c:v>
                </c:pt>
                <c:pt idx="18">
                  <c:v>3.2111903006877052E-2</c:v>
                </c:pt>
                <c:pt idx="19">
                  <c:v>3.0034551655996999E-2</c:v>
                </c:pt>
                <c:pt idx="20">
                  <c:v>1.661132846933655E-2</c:v>
                </c:pt>
                <c:pt idx="21">
                  <c:v>-1.6392791573464072E-3</c:v>
                </c:pt>
                <c:pt idx="22">
                  <c:v>2.5921629907545318E-2</c:v>
                </c:pt>
                <c:pt idx="23">
                  <c:v>5.2812324074540395E-3</c:v>
                </c:pt>
                <c:pt idx="24">
                  <c:v>1.1236011741936558E-2</c:v>
                </c:pt>
                <c:pt idx="25">
                  <c:v>4.3829892274163118E-3</c:v>
                </c:pt>
                <c:pt idx="26">
                  <c:v>1.5607277067723579E-2</c:v>
                </c:pt>
                <c:pt idx="27">
                  <c:v>-2.1957027168099885E-2</c:v>
                </c:pt>
                <c:pt idx="28">
                  <c:v>0.30992141669265538</c:v>
                </c:pt>
                <c:pt idx="29">
                  <c:v>7.8199073013818232E-3</c:v>
                </c:pt>
                <c:pt idx="30">
                  <c:v>3.9508683522927468E-2</c:v>
                </c:pt>
              </c:numCache>
            </c:numRef>
          </c:xVal>
          <c:yVal>
            <c:numRef>
              <c:f>'Net-Zero Mandate'!$H$36:$H$66</c:f>
              <c:numCache>
                <c:formatCode>0.00%</c:formatCode>
                <c:ptCount val="31"/>
                <c:pt idx="29">
                  <c:v>2.0007445681786917E-2</c:v>
                </c:pt>
                <c:pt idx="30">
                  <c:v>4.5551880726005356E-2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B69-4630-A422-526D25E52A1C}"/>
            </c:ext>
          </c:extLst>
        </c:ser>
        <c:ser>
          <c:idx val="4"/>
          <c:order val="4"/>
          <c:tx>
            <c:strRef>
              <c:f>'Net-Zero Mandate'!$I$35</c:f>
              <c:strCache>
                <c:ptCount val="1"/>
                <c:pt idx="0">
                  <c:v>Baseline Pathways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19050">
                <a:solidFill>
                  <a:schemeClr val="accent5"/>
                </a:solidFill>
              </a:ln>
              <a:effectLst/>
            </c:spPr>
          </c:marker>
          <c:xVal>
            <c:numRef>
              <c:f>'Net-Zero Mandate'!$D$36:$D$66</c:f>
              <c:numCache>
                <c:formatCode>0.00%</c:formatCode>
                <c:ptCount val="31"/>
                <c:pt idx="0">
                  <c:v>0</c:v>
                </c:pt>
                <c:pt idx="1">
                  <c:v>1.0644545520472448E-2</c:v>
                </c:pt>
                <c:pt idx="2">
                  <c:v>1.9307500550778789E-2</c:v>
                </c:pt>
                <c:pt idx="3">
                  <c:v>1.0561718679330978E-2</c:v>
                </c:pt>
                <c:pt idx="4">
                  <c:v>-3.5505216962306463E-2</c:v>
                </c:pt>
                <c:pt idx="5">
                  <c:v>1.2916266583007374E-2</c:v>
                </c:pt>
                <c:pt idx="6">
                  <c:v>1.0368295287968898E-2</c:v>
                </c:pt>
                <c:pt idx="7">
                  <c:v>6.028874409642615E-3</c:v>
                </c:pt>
                <c:pt idx="8">
                  <c:v>8.6785676172369541E-3</c:v>
                </c:pt>
                <c:pt idx="9">
                  <c:v>7.9536652884248937E-3</c:v>
                </c:pt>
                <c:pt idx="10">
                  <c:v>1.3462435030650033E-2</c:v>
                </c:pt>
                <c:pt idx="11">
                  <c:v>8.799150970965508E-3</c:v>
                </c:pt>
                <c:pt idx="12">
                  <c:v>1.7531058139190758E-3</c:v>
                </c:pt>
                <c:pt idx="13">
                  <c:v>9.890681049470551E-3</c:v>
                </c:pt>
                <c:pt idx="14">
                  <c:v>1.573425906758108E-2</c:v>
                </c:pt>
                <c:pt idx="15">
                  <c:v>9.8615793669942775E-3</c:v>
                </c:pt>
                <c:pt idx="16">
                  <c:v>1.6667279937599533E-2</c:v>
                </c:pt>
                <c:pt idx="17">
                  <c:v>-4.0784874285260897E-2</c:v>
                </c:pt>
                <c:pt idx="18">
                  <c:v>3.2111903006877052E-2</c:v>
                </c:pt>
                <c:pt idx="19">
                  <c:v>3.0034551655996999E-2</c:v>
                </c:pt>
                <c:pt idx="20">
                  <c:v>1.661132846933655E-2</c:v>
                </c:pt>
                <c:pt idx="21">
                  <c:v>-1.6392791573464072E-3</c:v>
                </c:pt>
                <c:pt idx="22">
                  <c:v>2.5921629907545318E-2</c:v>
                </c:pt>
                <c:pt idx="23">
                  <c:v>5.2812324074540395E-3</c:v>
                </c:pt>
                <c:pt idx="24">
                  <c:v>1.1236011741936558E-2</c:v>
                </c:pt>
                <c:pt idx="25">
                  <c:v>4.3829892274163118E-3</c:v>
                </c:pt>
                <c:pt idx="26">
                  <c:v>1.5607277067723579E-2</c:v>
                </c:pt>
                <c:pt idx="27">
                  <c:v>-2.1957027168099885E-2</c:v>
                </c:pt>
                <c:pt idx="28">
                  <c:v>0.30992141669265538</c:v>
                </c:pt>
                <c:pt idx="29">
                  <c:v>7.8199073013818232E-3</c:v>
                </c:pt>
                <c:pt idx="30">
                  <c:v>3.9508683522927468E-2</c:v>
                </c:pt>
              </c:numCache>
            </c:numRef>
          </c:xVal>
          <c:yVal>
            <c:numRef>
              <c:f>'Net-Zero Mandate'!$I$36:$I$66</c:f>
              <c:numCache>
                <c:formatCode>0.00%</c:formatCode>
                <c:ptCount val="31"/>
                <c:pt idx="10">
                  <c:v>1.8400050597163986E-2</c:v>
                </c:pt>
                <c:pt idx="18">
                  <c:v>4.6730027156246301E-2</c:v>
                </c:pt>
                <c:pt idx="27">
                  <c:v>3.9746960786196883E-2</c:v>
                </c:pt>
                <c:pt idx="28">
                  <c:v>8.7571994223182736E-2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B69-4630-A422-526D25E52A1C}"/>
            </c:ext>
          </c:extLst>
        </c:ser>
        <c:ser>
          <c:idx val="5"/>
          <c:order val="5"/>
          <c:tx>
            <c:strRef>
              <c:f>'Net-Zero Mandate'!$J$35</c:f>
              <c:strCache>
                <c:ptCount val="1"/>
                <c:pt idx="0">
                  <c:v>100 Mt Baseline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19050">
                <a:solidFill>
                  <a:schemeClr val="accent6"/>
                </a:solidFill>
              </a:ln>
              <a:effectLst/>
            </c:spPr>
          </c:marker>
          <c:xVal>
            <c:numRef>
              <c:f>'Net-Zero Mandate'!$D$36:$D$66</c:f>
              <c:numCache>
                <c:formatCode>0.00%</c:formatCode>
                <c:ptCount val="31"/>
                <c:pt idx="0">
                  <c:v>0</c:v>
                </c:pt>
                <c:pt idx="1">
                  <c:v>1.0644545520472448E-2</c:v>
                </c:pt>
                <c:pt idx="2">
                  <c:v>1.9307500550778789E-2</c:v>
                </c:pt>
                <c:pt idx="3">
                  <c:v>1.0561718679330978E-2</c:v>
                </c:pt>
                <c:pt idx="4">
                  <c:v>-3.5505216962306463E-2</c:v>
                </c:pt>
                <c:pt idx="5">
                  <c:v>1.2916266583007374E-2</c:v>
                </c:pt>
                <c:pt idx="6">
                  <c:v>1.0368295287968898E-2</c:v>
                </c:pt>
                <c:pt idx="7">
                  <c:v>6.028874409642615E-3</c:v>
                </c:pt>
                <c:pt idx="8">
                  <c:v>8.6785676172369541E-3</c:v>
                </c:pt>
                <c:pt idx="9">
                  <c:v>7.9536652884248937E-3</c:v>
                </c:pt>
                <c:pt idx="10">
                  <c:v>1.3462435030650033E-2</c:v>
                </c:pt>
                <c:pt idx="11">
                  <c:v>8.799150970965508E-3</c:v>
                </c:pt>
                <c:pt idx="12">
                  <c:v>1.7531058139190758E-3</c:v>
                </c:pt>
                <c:pt idx="13">
                  <c:v>9.890681049470551E-3</c:v>
                </c:pt>
                <c:pt idx="14">
                  <c:v>1.573425906758108E-2</c:v>
                </c:pt>
                <c:pt idx="15">
                  <c:v>9.8615793669942775E-3</c:v>
                </c:pt>
                <c:pt idx="16">
                  <c:v>1.6667279937599533E-2</c:v>
                </c:pt>
                <c:pt idx="17">
                  <c:v>-4.0784874285260897E-2</c:v>
                </c:pt>
                <c:pt idx="18">
                  <c:v>3.2111903006877052E-2</c:v>
                </c:pt>
                <c:pt idx="19">
                  <c:v>3.0034551655996999E-2</c:v>
                </c:pt>
                <c:pt idx="20">
                  <c:v>1.661132846933655E-2</c:v>
                </c:pt>
                <c:pt idx="21">
                  <c:v>-1.6392791573464072E-3</c:v>
                </c:pt>
                <c:pt idx="22">
                  <c:v>2.5921629907545318E-2</c:v>
                </c:pt>
                <c:pt idx="23">
                  <c:v>5.2812324074540395E-3</c:v>
                </c:pt>
                <c:pt idx="24">
                  <c:v>1.1236011741936558E-2</c:v>
                </c:pt>
                <c:pt idx="25">
                  <c:v>4.3829892274163118E-3</c:v>
                </c:pt>
                <c:pt idx="26">
                  <c:v>1.5607277067723579E-2</c:v>
                </c:pt>
                <c:pt idx="27">
                  <c:v>-2.1957027168099885E-2</c:v>
                </c:pt>
                <c:pt idx="28">
                  <c:v>0.30992141669265538</c:v>
                </c:pt>
                <c:pt idx="29">
                  <c:v>7.8199073013818232E-3</c:v>
                </c:pt>
                <c:pt idx="30">
                  <c:v>3.9508683522927468E-2</c:v>
                </c:pt>
              </c:numCache>
            </c:numRef>
          </c:xVal>
          <c:yVal>
            <c:numRef>
              <c:f>'Net-Zero Mandate'!$J$36:$J$66</c:f>
              <c:numCache>
                <c:formatCode>0.00%</c:formatCode>
                <c:ptCount val="3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B69-4630-A422-526D25E52A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8358192"/>
        <c:axId val="688359152"/>
      </c:scatterChart>
      <c:valAx>
        <c:axId val="688358192"/>
        <c:scaling>
          <c:orientation val="minMax"/>
          <c:max val="5.000000000000001E-2"/>
          <c:min val="-3.0000000000000006E-2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%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bg2">
                <a:lumMod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bg2">
                    <a:lumMod val="2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88359152"/>
        <c:crossesAt val="-4"/>
        <c:crossBetween val="midCat"/>
        <c:majorUnit val="2.0000000000000004E-2"/>
      </c:valAx>
      <c:valAx>
        <c:axId val="688359152"/>
        <c:scaling>
          <c:orientation val="minMax"/>
          <c:max val="5.000000000000001E-2"/>
          <c:min val="1.5000000000000003E-2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.0%" sourceLinked="0"/>
        <c:majorTickMark val="in"/>
        <c:minorTickMark val="none"/>
        <c:tickLblPos val="low"/>
        <c:spPr>
          <a:noFill/>
          <a:ln w="9525" cap="flat" cmpd="sng" algn="ctr">
            <a:solidFill>
              <a:schemeClr val="bg2">
                <a:lumMod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t" anchorCtr="0"/>
          <a:lstStyle/>
          <a:p>
            <a:pPr>
              <a:defRPr sz="1200" b="0" i="0" u="none" strike="noStrike" kern="1200" baseline="0">
                <a:solidFill>
                  <a:schemeClr val="bg2">
                    <a:lumMod val="2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88358192"/>
        <c:crossesAt val="-10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54424681072335"/>
          <c:y val="3.5891588464031364E-2"/>
          <c:w val="0.80302993991102123"/>
          <c:h val="0.86428893797207329"/>
        </c:manualLayout>
      </c:layout>
      <c:scatterChart>
        <c:scatterStyle val="lineMarker"/>
        <c:varyColors val="0"/>
        <c:ser>
          <c:idx val="0"/>
          <c:order val="0"/>
          <c:tx>
            <c:strRef>
              <c:f>'Net-Zero Mandate'!$E$35</c:f>
              <c:strCache>
                <c:ptCount val="1"/>
                <c:pt idx="0">
                  <c:v>Innovation Scenarios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19050">
                <a:solidFill>
                  <a:schemeClr val="accent1"/>
                </a:solidFill>
              </a:ln>
              <a:effectLst/>
            </c:spPr>
          </c:marker>
          <c:xVal>
            <c:numRef>
              <c:f>'Net-Zero Mandate'!$D$69:$D$99</c:f>
              <c:numCache>
                <c:formatCode>0.00%</c:formatCode>
                <c:ptCount val="31"/>
                <c:pt idx="0">
                  <c:v>0</c:v>
                </c:pt>
                <c:pt idx="1">
                  <c:v>1.0644545520472448E-2</c:v>
                </c:pt>
                <c:pt idx="2">
                  <c:v>1.9307500550778789E-2</c:v>
                </c:pt>
                <c:pt idx="3">
                  <c:v>1.0561718679330978E-2</c:v>
                </c:pt>
                <c:pt idx="4">
                  <c:v>-3.5505216962306463E-2</c:v>
                </c:pt>
                <c:pt idx="5">
                  <c:v>1.2916266583007374E-2</c:v>
                </c:pt>
                <c:pt idx="6">
                  <c:v>1.0368295287968898E-2</c:v>
                </c:pt>
                <c:pt idx="7">
                  <c:v>6.028874409642615E-3</c:v>
                </c:pt>
                <c:pt idx="8">
                  <c:v>8.6785676172369541E-3</c:v>
                </c:pt>
                <c:pt idx="9">
                  <c:v>7.9536652884248937E-3</c:v>
                </c:pt>
                <c:pt idx="10">
                  <c:v>1.3462435030650033E-2</c:v>
                </c:pt>
                <c:pt idx="11">
                  <c:v>8.799150970965508E-3</c:v>
                </c:pt>
                <c:pt idx="12">
                  <c:v>1.7531058139190758E-3</c:v>
                </c:pt>
                <c:pt idx="13">
                  <c:v>9.890681049470551E-3</c:v>
                </c:pt>
                <c:pt idx="14">
                  <c:v>1.573425906758108E-2</c:v>
                </c:pt>
                <c:pt idx="15">
                  <c:v>9.8615793669942775E-3</c:v>
                </c:pt>
                <c:pt idx="16">
                  <c:v>1.6667279937599533E-2</c:v>
                </c:pt>
                <c:pt idx="17">
                  <c:v>-4.0784874285260897E-2</c:v>
                </c:pt>
                <c:pt idx="18">
                  <c:v>3.2111903006877052E-2</c:v>
                </c:pt>
                <c:pt idx="19">
                  <c:v>3.0034551655996999E-2</c:v>
                </c:pt>
                <c:pt idx="20">
                  <c:v>1.661132846933655E-2</c:v>
                </c:pt>
                <c:pt idx="21">
                  <c:v>-1.6392791573464072E-3</c:v>
                </c:pt>
                <c:pt idx="22">
                  <c:v>2.5921629907545318E-2</c:v>
                </c:pt>
                <c:pt idx="23">
                  <c:v>5.2812324074540395E-3</c:v>
                </c:pt>
                <c:pt idx="24">
                  <c:v>1.1236011741936558E-2</c:v>
                </c:pt>
                <c:pt idx="25">
                  <c:v>4.3829892274163118E-3</c:v>
                </c:pt>
                <c:pt idx="26">
                  <c:v>1.5607277067723579E-2</c:v>
                </c:pt>
                <c:pt idx="27">
                  <c:v>-2.1957027168099885E-2</c:v>
                </c:pt>
                <c:pt idx="28">
                  <c:v>0.30992141669265538</c:v>
                </c:pt>
                <c:pt idx="29">
                  <c:v>7.8199073013818232E-3</c:v>
                </c:pt>
                <c:pt idx="30">
                  <c:v>3.9508683522927468E-2</c:v>
                </c:pt>
              </c:numCache>
            </c:numRef>
          </c:xVal>
          <c:yVal>
            <c:numRef>
              <c:f>'Net-Zero Mandate'!$E$69:$E$99</c:f>
              <c:numCache>
                <c:formatCode>0.00%</c:formatCode>
                <c:ptCount val="31"/>
                <c:pt idx="5">
                  <c:v>2.2202789691228908E-2</c:v>
                </c:pt>
                <c:pt idx="6">
                  <c:v>2.0394201340220519E-2</c:v>
                </c:pt>
                <c:pt idx="7">
                  <c:v>2.4831719294460486E-2</c:v>
                </c:pt>
                <c:pt idx="8">
                  <c:v>2.1679853655029335E-2</c:v>
                </c:pt>
                <c:pt idx="9">
                  <c:v>2.1454987678930948E-2</c:v>
                </c:pt>
                <c:pt idx="19">
                  <c:v>4.929681263480501E-2</c:v>
                </c:pt>
                <c:pt idx="20">
                  <c:v>4.3704615637033539E-2</c:v>
                </c:pt>
                <c:pt idx="21">
                  <c:v>4.1577042341038206E-2</c:v>
                </c:pt>
                <c:pt idx="22">
                  <c:v>4.4917454887877017E-2</c:v>
                </c:pt>
                <c:pt idx="23">
                  <c:v>4.1120079861178827E-2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A63-4DD8-ABE7-3D78BE972182}"/>
            </c:ext>
          </c:extLst>
        </c:ser>
        <c:ser>
          <c:idx val="1"/>
          <c:order val="1"/>
          <c:tx>
            <c:strRef>
              <c:f>'Net-Zero Mandate'!$F$35</c:f>
              <c:strCache>
                <c:ptCount val="1"/>
                <c:pt idx="0">
                  <c:v>Subsidy Scenarios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19050">
                <a:solidFill>
                  <a:schemeClr val="accent2"/>
                </a:solidFill>
              </a:ln>
              <a:effectLst/>
            </c:spPr>
          </c:marker>
          <c:xVal>
            <c:numRef>
              <c:f>'Net-Zero Mandate'!$D$69:$D$99</c:f>
              <c:numCache>
                <c:formatCode>0.00%</c:formatCode>
                <c:ptCount val="31"/>
                <c:pt idx="0">
                  <c:v>0</c:v>
                </c:pt>
                <c:pt idx="1">
                  <c:v>1.0644545520472448E-2</c:v>
                </c:pt>
                <c:pt idx="2">
                  <c:v>1.9307500550778789E-2</c:v>
                </c:pt>
                <c:pt idx="3">
                  <c:v>1.0561718679330978E-2</c:v>
                </c:pt>
                <c:pt idx="4">
                  <c:v>-3.5505216962306463E-2</c:v>
                </c:pt>
                <c:pt idx="5">
                  <c:v>1.2916266583007374E-2</c:v>
                </c:pt>
                <c:pt idx="6">
                  <c:v>1.0368295287968898E-2</c:v>
                </c:pt>
                <c:pt idx="7">
                  <c:v>6.028874409642615E-3</c:v>
                </c:pt>
                <c:pt idx="8">
                  <c:v>8.6785676172369541E-3</c:v>
                </c:pt>
                <c:pt idx="9">
                  <c:v>7.9536652884248937E-3</c:v>
                </c:pt>
                <c:pt idx="10">
                  <c:v>1.3462435030650033E-2</c:v>
                </c:pt>
                <c:pt idx="11">
                  <c:v>8.799150970965508E-3</c:v>
                </c:pt>
                <c:pt idx="12">
                  <c:v>1.7531058139190758E-3</c:v>
                </c:pt>
                <c:pt idx="13">
                  <c:v>9.890681049470551E-3</c:v>
                </c:pt>
                <c:pt idx="14">
                  <c:v>1.573425906758108E-2</c:v>
                </c:pt>
                <c:pt idx="15">
                  <c:v>9.8615793669942775E-3</c:v>
                </c:pt>
                <c:pt idx="16">
                  <c:v>1.6667279937599533E-2</c:v>
                </c:pt>
                <c:pt idx="17">
                  <c:v>-4.0784874285260897E-2</c:v>
                </c:pt>
                <c:pt idx="18">
                  <c:v>3.2111903006877052E-2</c:v>
                </c:pt>
                <c:pt idx="19">
                  <c:v>3.0034551655996999E-2</c:v>
                </c:pt>
                <c:pt idx="20">
                  <c:v>1.661132846933655E-2</c:v>
                </c:pt>
                <c:pt idx="21">
                  <c:v>-1.6392791573464072E-3</c:v>
                </c:pt>
                <c:pt idx="22">
                  <c:v>2.5921629907545318E-2</c:v>
                </c:pt>
                <c:pt idx="23">
                  <c:v>5.2812324074540395E-3</c:v>
                </c:pt>
                <c:pt idx="24">
                  <c:v>1.1236011741936558E-2</c:v>
                </c:pt>
                <c:pt idx="25">
                  <c:v>4.3829892274163118E-3</c:v>
                </c:pt>
                <c:pt idx="26">
                  <c:v>1.5607277067723579E-2</c:v>
                </c:pt>
                <c:pt idx="27">
                  <c:v>-2.1957027168099885E-2</c:v>
                </c:pt>
                <c:pt idx="28">
                  <c:v>0.30992141669265538</c:v>
                </c:pt>
                <c:pt idx="29">
                  <c:v>7.8199073013818232E-3</c:v>
                </c:pt>
                <c:pt idx="30">
                  <c:v>3.9508683522927468E-2</c:v>
                </c:pt>
              </c:numCache>
            </c:numRef>
          </c:xVal>
          <c:yVal>
            <c:numRef>
              <c:f>'Net-Zero Mandate'!$F$69:$F$99</c:f>
              <c:numCache>
                <c:formatCode>0.00%</c:formatCode>
                <c:ptCount val="31"/>
                <c:pt idx="1">
                  <c:v>2.5209004386937295E-2</c:v>
                </c:pt>
                <c:pt idx="2">
                  <c:v>3.4198049672304665E-2</c:v>
                </c:pt>
                <c:pt idx="3">
                  <c:v>2.4461885798017446E-2</c:v>
                </c:pt>
                <c:pt idx="4">
                  <c:v>-9.4129782282971197E-3</c:v>
                </c:pt>
                <c:pt idx="14">
                  <c:v>5.0456290197662401E-2</c:v>
                </c:pt>
                <c:pt idx="15">
                  <c:v>6.1083028588815536E-2</c:v>
                </c:pt>
                <c:pt idx="16">
                  <c:v>5.0352890177856713E-2</c:v>
                </c:pt>
                <c:pt idx="17">
                  <c:v>-1.2285964574096364E-2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A63-4DD8-ABE7-3D78BE972182}"/>
            </c:ext>
          </c:extLst>
        </c:ser>
        <c:ser>
          <c:idx val="2"/>
          <c:order val="2"/>
          <c:tx>
            <c:strRef>
              <c:f>'Net-Zero Mandate'!$G$35</c:f>
              <c:strCache>
                <c:ptCount val="1"/>
                <c:pt idx="0">
                  <c:v>Procurement Scenarios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19050">
                <a:solidFill>
                  <a:schemeClr val="accent3"/>
                </a:solidFill>
              </a:ln>
              <a:effectLst/>
            </c:spPr>
          </c:marker>
          <c:xVal>
            <c:numRef>
              <c:f>'Net-Zero Mandate'!$D$69:$D$99</c:f>
              <c:numCache>
                <c:formatCode>0.00%</c:formatCode>
                <c:ptCount val="31"/>
                <c:pt idx="0">
                  <c:v>0</c:v>
                </c:pt>
                <c:pt idx="1">
                  <c:v>1.0644545520472448E-2</c:v>
                </c:pt>
                <c:pt idx="2">
                  <c:v>1.9307500550778789E-2</c:v>
                </c:pt>
                <c:pt idx="3">
                  <c:v>1.0561718679330978E-2</c:v>
                </c:pt>
                <c:pt idx="4">
                  <c:v>-3.5505216962306463E-2</c:v>
                </c:pt>
                <c:pt idx="5">
                  <c:v>1.2916266583007374E-2</c:v>
                </c:pt>
                <c:pt idx="6">
                  <c:v>1.0368295287968898E-2</c:v>
                </c:pt>
                <c:pt idx="7">
                  <c:v>6.028874409642615E-3</c:v>
                </c:pt>
                <c:pt idx="8">
                  <c:v>8.6785676172369541E-3</c:v>
                </c:pt>
                <c:pt idx="9">
                  <c:v>7.9536652884248937E-3</c:v>
                </c:pt>
                <c:pt idx="10">
                  <c:v>1.3462435030650033E-2</c:v>
                </c:pt>
                <c:pt idx="11">
                  <c:v>8.799150970965508E-3</c:v>
                </c:pt>
                <c:pt idx="12">
                  <c:v>1.7531058139190758E-3</c:v>
                </c:pt>
                <c:pt idx="13">
                  <c:v>9.890681049470551E-3</c:v>
                </c:pt>
                <c:pt idx="14">
                  <c:v>1.573425906758108E-2</c:v>
                </c:pt>
                <c:pt idx="15">
                  <c:v>9.8615793669942775E-3</c:v>
                </c:pt>
                <c:pt idx="16">
                  <c:v>1.6667279937599533E-2</c:v>
                </c:pt>
                <c:pt idx="17">
                  <c:v>-4.0784874285260897E-2</c:v>
                </c:pt>
                <c:pt idx="18">
                  <c:v>3.2111903006877052E-2</c:v>
                </c:pt>
                <c:pt idx="19">
                  <c:v>3.0034551655996999E-2</c:v>
                </c:pt>
                <c:pt idx="20">
                  <c:v>1.661132846933655E-2</c:v>
                </c:pt>
                <c:pt idx="21">
                  <c:v>-1.6392791573464072E-3</c:v>
                </c:pt>
                <c:pt idx="22">
                  <c:v>2.5921629907545318E-2</c:v>
                </c:pt>
                <c:pt idx="23">
                  <c:v>5.2812324074540395E-3</c:v>
                </c:pt>
                <c:pt idx="24">
                  <c:v>1.1236011741936558E-2</c:v>
                </c:pt>
                <c:pt idx="25">
                  <c:v>4.3829892274163118E-3</c:v>
                </c:pt>
                <c:pt idx="26">
                  <c:v>1.5607277067723579E-2</c:v>
                </c:pt>
                <c:pt idx="27">
                  <c:v>-2.1957027168099885E-2</c:v>
                </c:pt>
                <c:pt idx="28">
                  <c:v>0.30992141669265538</c:v>
                </c:pt>
                <c:pt idx="29">
                  <c:v>7.8199073013818232E-3</c:v>
                </c:pt>
                <c:pt idx="30">
                  <c:v>3.9508683522927468E-2</c:v>
                </c:pt>
              </c:numCache>
            </c:numRef>
          </c:xVal>
          <c:yVal>
            <c:numRef>
              <c:f>'Net-Zero Mandate'!$G$69:$G$99</c:f>
              <c:numCache>
                <c:formatCode>0.00%</c:formatCode>
                <c:ptCount val="31"/>
                <c:pt idx="11">
                  <c:v>2.9815748364587558E-2</c:v>
                </c:pt>
                <c:pt idx="12">
                  <c:v>0.11093343672575018</c:v>
                </c:pt>
                <c:pt idx="13">
                  <c:v>2.4222185665893514E-2</c:v>
                </c:pt>
                <c:pt idx="24">
                  <c:v>5.0763015263472377E-2</c:v>
                </c:pt>
                <c:pt idx="25">
                  <c:v>0.11883462661366395</c:v>
                </c:pt>
                <c:pt idx="26">
                  <c:v>4.6654528270856144E-2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A63-4DD8-ABE7-3D78BE972182}"/>
            </c:ext>
          </c:extLst>
        </c:ser>
        <c:ser>
          <c:idx val="3"/>
          <c:order val="3"/>
          <c:tx>
            <c:strRef>
              <c:f>'Net-Zero Mandate'!$H$35</c:f>
              <c:strCache>
                <c:ptCount val="1"/>
                <c:pt idx="0">
                  <c:v>Optimal Scenarios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19050">
                <a:solidFill>
                  <a:schemeClr val="accent4"/>
                </a:solidFill>
              </a:ln>
              <a:effectLst/>
            </c:spPr>
          </c:marker>
          <c:xVal>
            <c:numRef>
              <c:f>'Net-Zero Mandate'!$D$69:$D$99</c:f>
              <c:numCache>
                <c:formatCode>0.00%</c:formatCode>
                <c:ptCount val="31"/>
                <c:pt idx="0">
                  <c:v>0</c:v>
                </c:pt>
                <c:pt idx="1">
                  <c:v>1.0644545520472448E-2</c:v>
                </c:pt>
                <c:pt idx="2">
                  <c:v>1.9307500550778789E-2</c:v>
                </c:pt>
                <c:pt idx="3">
                  <c:v>1.0561718679330978E-2</c:v>
                </c:pt>
                <c:pt idx="4">
                  <c:v>-3.5505216962306463E-2</c:v>
                </c:pt>
                <c:pt idx="5">
                  <c:v>1.2916266583007374E-2</c:v>
                </c:pt>
                <c:pt idx="6">
                  <c:v>1.0368295287968898E-2</c:v>
                </c:pt>
                <c:pt idx="7">
                  <c:v>6.028874409642615E-3</c:v>
                </c:pt>
                <c:pt idx="8">
                  <c:v>8.6785676172369541E-3</c:v>
                </c:pt>
                <c:pt idx="9">
                  <c:v>7.9536652884248937E-3</c:v>
                </c:pt>
                <c:pt idx="10">
                  <c:v>1.3462435030650033E-2</c:v>
                </c:pt>
                <c:pt idx="11">
                  <c:v>8.799150970965508E-3</c:v>
                </c:pt>
                <c:pt idx="12">
                  <c:v>1.7531058139190758E-3</c:v>
                </c:pt>
                <c:pt idx="13">
                  <c:v>9.890681049470551E-3</c:v>
                </c:pt>
                <c:pt idx="14">
                  <c:v>1.573425906758108E-2</c:v>
                </c:pt>
                <c:pt idx="15">
                  <c:v>9.8615793669942775E-3</c:v>
                </c:pt>
                <c:pt idx="16">
                  <c:v>1.6667279937599533E-2</c:v>
                </c:pt>
                <c:pt idx="17">
                  <c:v>-4.0784874285260897E-2</c:v>
                </c:pt>
                <c:pt idx="18">
                  <c:v>3.2111903006877052E-2</c:v>
                </c:pt>
                <c:pt idx="19">
                  <c:v>3.0034551655996999E-2</c:v>
                </c:pt>
                <c:pt idx="20">
                  <c:v>1.661132846933655E-2</c:v>
                </c:pt>
                <c:pt idx="21">
                  <c:v>-1.6392791573464072E-3</c:v>
                </c:pt>
                <c:pt idx="22">
                  <c:v>2.5921629907545318E-2</c:v>
                </c:pt>
                <c:pt idx="23">
                  <c:v>5.2812324074540395E-3</c:v>
                </c:pt>
                <c:pt idx="24">
                  <c:v>1.1236011741936558E-2</c:v>
                </c:pt>
                <c:pt idx="25">
                  <c:v>4.3829892274163118E-3</c:v>
                </c:pt>
                <c:pt idx="26">
                  <c:v>1.5607277067723579E-2</c:v>
                </c:pt>
                <c:pt idx="27">
                  <c:v>-2.1957027168099885E-2</c:v>
                </c:pt>
                <c:pt idx="28">
                  <c:v>0.30992141669265538</c:v>
                </c:pt>
                <c:pt idx="29">
                  <c:v>7.8199073013818232E-3</c:v>
                </c:pt>
                <c:pt idx="30">
                  <c:v>3.9508683522927468E-2</c:v>
                </c:pt>
              </c:numCache>
            </c:numRef>
          </c:xVal>
          <c:yVal>
            <c:numRef>
              <c:f>'Net-Zero Mandate'!$H$69:$H$99</c:f>
              <c:numCache>
                <c:formatCode>0.00%</c:formatCode>
                <c:ptCount val="31"/>
                <c:pt idx="29">
                  <c:v>2.6052304406058546E-2</c:v>
                </c:pt>
                <c:pt idx="30">
                  <c:v>4.8213799167334814E-2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A63-4DD8-ABE7-3D78BE972182}"/>
            </c:ext>
          </c:extLst>
        </c:ser>
        <c:ser>
          <c:idx val="4"/>
          <c:order val="4"/>
          <c:tx>
            <c:strRef>
              <c:f>'Net-Zero Mandate'!$I$35</c:f>
              <c:strCache>
                <c:ptCount val="1"/>
                <c:pt idx="0">
                  <c:v>Baseline Pathways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19050">
                <a:solidFill>
                  <a:schemeClr val="accent5"/>
                </a:solidFill>
              </a:ln>
              <a:effectLst/>
            </c:spPr>
          </c:marker>
          <c:xVal>
            <c:numRef>
              <c:f>'Net-Zero Mandate'!$D$69:$D$99</c:f>
              <c:numCache>
                <c:formatCode>0.00%</c:formatCode>
                <c:ptCount val="31"/>
                <c:pt idx="0">
                  <c:v>0</c:v>
                </c:pt>
                <c:pt idx="1">
                  <c:v>1.0644545520472448E-2</c:v>
                </c:pt>
                <c:pt idx="2">
                  <c:v>1.9307500550778789E-2</c:v>
                </c:pt>
                <c:pt idx="3">
                  <c:v>1.0561718679330978E-2</c:v>
                </c:pt>
                <c:pt idx="4">
                  <c:v>-3.5505216962306463E-2</c:v>
                </c:pt>
                <c:pt idx="5">
                  <c:v>1.2916266583007374E-2</c:v>
                </c:pt>
                <c:pt idx="6">
                  <c:v>1.0368295287968898E-2</c:v>
                </c:pt>
                <c:pt idx="7">
                  <c:v>6.028874409642615E-3</c:v>
                </c:pt>
                <c:pt idx="8">
                  <c:v>8.6785676172369541E-3</c:v>
                </c:pt>
                <c:pt idx="9">
                  <c:v>7.9536652884248937E-3</c:v>
                </c:pt>
                <c:pt idx="10">
                  <c:v>1.3462435030650033E-2</c:v>
                </c:pt>
                <c:pt idx="11">
                  <c:v>8.799150970965508E-3</c:v>
                </c:pt>
                <c:pt idx="12">
                  <c:v>1.7531058139190758E-3</c:v>
                </c:pt>
                <c:pt idx="13">
                  <c:v>9.890681049470551E-3</c:v>
                </c:pt>
                <c:pt idx="14">
                  <c:v>1.573425906758108E-2</c:v>
                </c:pt>
                <c:pt idx="15">
                  <c:v>9.8615793669942775E-3</c:v>
                </c:pt>
                <c:pt idx="16">
                  <c:v>1.6667279937599533E-2</c:v>
                </c:pt>
                <c:pt idx="17">
                  <c:v>-4.0784874285260897E-2</c:v>
                </c:pt>
                <c:pt idx="18">
                  <c:v>3.2111903006877052E-2</c:v>
                </c:pt>
                <c:pt idx="19">
                  <c:v>3.0034551655996999E-2</c:v>
                </c:pt>
                <c:pt idx="20">
                  <c:v>1.661132846933655E-2</c:v>
                </c:pt>
                <c:pt idx="21">
                  <c:v>-1.6392791573464072E-3</c:v>
                </c:pt>
                <c:pt idx="22">
                  <c:v>2.5921629907545318E-2</c:v>
                </c:pt>
                <c:pt idx="23">
                  <c:v>5.2812324074540395E-3</c:v>
                </c:pt>
                <c:pt idx="24">
                  <c:v>1.1236011741936558E-2</c:v>
                </c:pt>
                <c:pt idx="25">
                  <c:v>4.3829892274163118E-3</c:v>
                </c:pt>
                <c:pt idx="26">
                  <c:v>1.5607277067723579E-2</c:v>
                </c:pt>
                <c:pt idx="27">
                  <c:v>-2.1957027168099885E-2</c:v>
                </c:pt>
                <c:pt idx="28">
                  <c:v>0.30992141669265538</c:v>
                </c:pt>
                <c:pt idx="29">
                  <c:v>7.8199073013818232E-3</c:v>
                </c:pt>
                <c:pt idx="30">
                  <c:v>3.9508683522927468E-2</c:v>
                </c:pt>
              </c:numCache>
            </c:numRef>
          </c:xVal>
          <c:yVal>
            <c:numRef>
              <c:f>'Net-Zero Mandate'!$I$69:$I$99</c:f>
              <c:numCache>
                <c:formatCode>0.00%</c:formatCode>
                <c:ptCount val="31"/>
                <c:pt idx="10">
                  <c:v>1.9999391501168695E-2</c:v>
                </c:pt>
                <c:pt idx="18">
                  <c:v>4.7727120246340293E-2</c:v>
                </c:pt>
                <c:pt idx="27">
                  <c:v>5.1301049981022695E-2</c:v>
                </c:pt>
                <c:pt idx="28">
                  <c:v>8.3416775047346015E-2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A63-4DD8-ABE7-3D78BE972182}"/>
            </c:ext>
          </c:extLst>
        </c:ser>
        <c:ser>
          <c:idx val="5"/>
          <c:order val="5"/>
          <c:tx>
            <c:strRef>
              <c:f>'Net-Zero Mandate'!$J$35</c:f>
              <c:strCache>
                <c:ptCount val="1"/>
                <c:pt idx="0">
                  <c:v>100 Mt Baseline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19050">
                <a:solidFill>
                  <a:schemeClr val="accent6"/>
                </a:solidFill>
              </a:ln>
              <a:effectLst/>
            </c:spPr>
          </c:marker>
          <c:xVal>
            <c:numRef>
              <c:f>'Net-Zero Mandate'!$D$69:$D$99</c:f>
              <c:numCache>
                <c:formatCode>0.00%</c:formatCode>
                <c:ptCount val="31"/>
                <c:pt idx="0">
                  <c:v>0</c:v>
                </c:pt>
                <c:pt idx="1">
                  <c:v>1.0644545520472448E-2</c:v>
                </c:pt>
                <c:pt idx="2">
                  <c:v>1.9307500550778789E-2</c:v>
                </c:pt>
                <c:pt idx="3">
                  <c:v>1.0561718679330978E-2</c:v>
                </c:pt>
                <c:pt idx="4">
                  <c:v>-3.5505216962306463E-2</c:v>
                </c:pt>
                <c:pt idx="5">
                  <c:v>1.2916266583007374E-2</c:v>
                </c:pt>
                <c:pt idx="6">
                  <c:v>1.0368295287968898E-2</c:v>
                </c:pt>
                <c:pt idx="7">
                  <c:v>6.028874409642615E-3</c:v>
                </c:pt>
                <c:pt idx="8">
                  <c:v>8.6785676172369541E-3</c:v>
                </c:pt>
                <c:pt idx="9">
                  <c:v>7.9536652884248937E-3</c:v>
                </c:pt>
                <c:pt idx="10">
                  <c:v>1.3462435030650033E-2</c:v>
                </c:pt>
                <c:pt idx="11">
                  <c:v>8.799150970965508E-3</c:v>
                </c:pt>
                <c:pt idx="12">
                  <c:v>1.7531058139190758E-3</c:v>
                </c:pt>
                <c:pt idx="13">
                  <c:v>9.890681049470551E-3</c:v>
                </c:pt>
                <c:pt idx="14">
                  <c:v>1.573425906758108E-2</c:v>
                </c:pt>
                <c:pt idx="15">
                  <c:v>9.8615793669942775E-3</c:v>
                </c:pt>
                <c:pt idx="16">
                  <c:v>1.6667279937599533E-2</c:v>
                </c:pt>
                <c:pt idx="17">
                  <c:v>-4.0784874285260897E-2</c:v>
                </c:pt>
                <c:pt idx="18">
                  <c:v>3.2111903006877052E-2</c:v>
                </c:pt>
                <c:pt idx="19">
                  <c:v>3.0034551655996999E-2</c:v>
                </c:pt>
                <c:pt idx="20">
                  <c:v>1.661132846933655E-2</c:v>
                </c:pt>
                <c:pt idx="21">
                  <c:v>-1.6392791573464072E-3</c:v>
                </c:pt>
                <c:pt idx="22">
                  <c:v>2.5921629907545318E-2</c:v>
                </c:pt>
                <c:pt idx="23">
                  <c:v>5.2812324074540395E-3</c:v>
                </c:pt>
                <c:pt idx="24">
                  <c:v>1.1236011741936558E-2</c:v>
                </c:pt>
                <c:pt idx="25">
                  <c:v>4.3829892274163118E-3</c:v>
                </c:pt>
                <c:pt idx="26">
                  <c:v>1.5607277067723579E-2</c:v>
                </c:pt>
                <c:pt idx="27">
                  <c:v>-2.1957027168099885E-2</c:v>
                </c:pt>
                <c:pt idx="28">
                  <c:v>0.30992141669265538</c:v>
                </c:pt>
                <c:pt idx="29">
                  <c:v>7.8199073013818232E-3</c:v>
                </c:pt>
                <c:pt idx="30">
                  <c:v>3.9508683522927468E-2</c:v>
                </c:pt>
              </c:numCache>
            </c:numRef>
          </c:xVal>
          <c:yVal>
            <c:numRef>
              <c:f>'Net-Zero Mandate'!$J$69:$J$99</c:f>
              <c:numCache>
                <c:formatCode>0.00%</c:formatCode>
                <c:ptCount val="3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A63-4DD8-ABE7-3D78BE9721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8358192"/>
        <c:axId val="688359152"/>
      </c:scatterChart>
      <c:valAx>
        <c:axId val="688358192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bg2">
                        <a:lumMod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400">
                    <a:solidFill>
                      <a:schemeClr val="bg2">
                        <a:lumMod val="25000"/>
                      </a:schemeClr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Cost of Mitigation in 2050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bg2">
                      <a:lumMod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%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bg2">
                <a:lumMod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bg2">
                    <a:lumMod val="2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88359152"/>
        <c:crossesAt val="-6"/>
        <c:crossBetween val="midCat"/>
      </c:valAx>
      <c:valAx>
        <c:axId val="688359152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0" i="0" u="none" strike="noStrike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NPV Ratio to 100 Mt Baseline (%)</a:t>
                </a:r>
              </a:p>
            </c:rich>
          </c:tx>
          <c:layout>
            <c:manualLayout>
              <c:xMode val="edge"/>
              <c:yMode val="edge"/>
              <c:x val="2.5312701902139308E-2"/>
              <c:y val="0.1460938808047150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in"/>
        <c:minorTickMark val="none"/>
        <c:tickLblPos val="low"/>
        <c:spPr>
          <a:noFill/>
          <a:ln w="9525" cap="flat" cmpd="sng" algn="ctr">
            <a:solidFill>
              <a:schemeClr val="bg2">
                <a:lumMod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t" anchorCtr="0"/>
          <a:lstStyle/>
          <a:p>
            <a:pPr>
              <a:defRPr sz="1300" b="0" i="0" u="none" strike="noStrike" kern="1200" baseline="0">
                <a:solidFill>
                  <a:schemeClr val="bg2">
                    <a:lumMod val="2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88358192"/>
        <c:crossesAt val="-10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2747030047394325"/>
          <c:y val="8.547992406649255E-3"/>
          <c:w val="0.35847707433483322"/>
          <c:h val="0.29509347654156204"/>
        </c:manualLayout>
      </c:layout>
      <c:overlay val="0"/>
      <c:spPr>
        <a:solidFill>
          <a:schemeClr val="bg1">
            <a:alpha val="50000"/>
          </a:schemeClr>
        </a:solidFill>
        <a:ln>
          <a:solidFill>
            <a:schemeClr val="bg2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chemeClr val="bg2">
                  <a:lumMod val="2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0644283478551695E-2"/>
          <c:y val="3.5891588464031364E-2"/>
          <c:w val="0.88326466228266431"/>
          <c:h val="0.90894903735571908"/>
        </c:manualLayout>
      </c:layout>
      <c:scatterChart>
        <c:scatterStyle val="lineMarker"/>
        <c:varyColors val="0"/>
        <c:ser>
          <c:idx val="0"/>
          <c:order val="0"/>
          <c:tx>
            <c:strRef>
              <c:f>'Net-Zero Mandate'!$E$35</c:f>
              <c:strCache>
                <c:ptCount val="1"/>
                <c:pt idx="0">
                  <c:v>Innovation Scenarios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19050">
                <a:solidFill>
                  <a:schemeClr val="accent1"/>
                </a:solidFill>
              </a:ln>
              <a:effectLst/>
            </c:spPr>
          </c:marker>
          <c:xVal>
            <c:numRef>
              <c:f>'Net-Zero Mandate'!$D$69:$D$99</c:f>
              <c:numCache>
                <c:formatCode>0.00%</c:formatCode>
                <c:ptCount val="31"/>
                <c:pt idx="0">
                  <c:v>0</c:v>
                </c:pt>
                <c:pt idx="1">
                  <c:v>1.0644545520472448E-2</c:v>
                </c:pt>
                <c:pt idx="2">
                  <c:v>1.9307500550778789E-2</c:v>
                </c:pt>
                <c:pt idx="3">
                  <c:v>1.0561718679330978E-2</c:v>
                </c:pt>
                <c:pt idx="4">
                  <c:v>-3.5505216962306463E-2</c:v>
                </c:pt>
                <c:pt idx="5">
                  <c:v>1.2916266583007374E-2</c:v>
                </c:pt>
                <c:pt idx="6">
                  <c:v>1.0368295287968898E-2</c:v>
                </c:pt>
                <c:pt idx="7">
                  <c:v>6.028874409642615E-3</c:v>
                </c:pt>
                <c:pt idx="8">
                  <c:v>8.6785676172369541E-3</c:v>
                </c:pt>
                <c:pt idx="9">
                  <c:v>7.9536652884248937E-3</c:v>
                </c:pt>
                <c:pt idx="10">
                  <c:v>1.3462435030650033E-2</c:v>
                </c:pt>
                <c:pt idx="11">
                  <c:v>8.799150970965508E-3</c:v>
                </c:pt>
                <c:pt idx="12">
                  <c:v>1.7531058139190758E-3</c:v>
                </c:pt>
                <c:pt idx="13">
                  <c:v>9.890681049470551E-3</c:v>
                </c:pt>
                <c:pt idx="14">
                  <c:v>1.573425906758108E-2</c:v>
                </c:pt>
                <c:pt idx="15">
                  <c:v>9.8615793669942775E-3</c:v>
                </c:pt>
                <c:pt idx="16">
                  <c:v>1.6667279937599533E-2</c:v>
                </c:pt>
                <c:pt idx="17">
                  <c:v>-4.0784874285260897E-2</c:v>
                </c:pt>
                <c:pt idx="18">
                  <c:v>3.2111903006877052E-2</c:v>
                </c:pt>
                <c:pt idx="19">
                  <c:v>3.0034551655996999E-2</c:v>
                </c:pt>
                <c:pt idx="20">
                  <c:v>1.661132846933655E-2</c:v>
                </c:pt>
                <c:pt idx="21">
                  <c:v>-1.6392791573464072E-3</c:v>
                </c:pt>
                <c:pt idx="22">
                  <c:v>2.5921629907545318E-2</c:v>
                </c:pt>
                <c:pt idx="23">
                  <c:v>5.2812324074540395E-3</c:v>
                </c:pt>
                <c:pt idx="24">
                  <c:v>1.1236011741936558E-2</c:v>
                </c:pt>
                <c:pt idx="25">
                  <c:v>4.3829892274163118E-3</c:v>
                </c:pt>
                <c:pt idx="26">
                  <c:v>1.5607277067723579E-2</c:v>
                </c:pt>
                <c:pt idx="27">
                  <c:v>-2.1957027168099885E-2</c:v>
                </c:pt>
                <c:pt idx="28">
                  <c:v>0.30992141669265538</c:v>
                </c:pt>
                <c:pt idx="29">
                  <c:v>7.8199073013818232E-3</c:v>
                </c:pt>
                <c:pt idx="30">
                  <c:v>3.9508683522927468E-2</c:v>
                </c:pt>
              </c:numCache>
            </c:numRef>
          </c:xVal>
          <c:yVal>
            <c:numRef>
              <c:f>'Net-Zero Mandate'!$E$69:$E$99</c:f>
              <c:numCache>
                <c:formatCode>0.00%</c:formatCode>
                <c:ptCount val="31"/>
                <c:pt idx="5">
                  <c:v>2.2202789691228908E-2</c:v>
                </c:pt>
                <c:pt idx="6">
                  <c:v>2.0394201340220519E-2</c:v>
                </c:pt>
                <c:pt idx="7">
                  <c:v>2.4831719294460486E-2</c:v>
                </c:pt>
                <c:pt idx="8">
                  <c:v>2.1679853655029335E-2</c:v>
                </c:pt>
                <c:pt idx="9">
                  <c:v>2.1454987678930948E-2</c:v>
                </c:pt>
                <c:pt idx="19">
                  <c:v>4.929681263480501E-2</c:v>
                </c:pt>
                <c:pt idx="20">
                  <c:v>4.3704615637033539E-2</c:v>
                </c:pt>
                <c:pt idx="21">
                  <c:v>4.1577042341038206E-2</c:v>
                </c:pt>
                <c:pt idx="22">
                  <c:v>4.4917454887877017E-2</c:v>
                </c:pt>
                <c:pt idx="23">
                  <c:v>4.1120079861178827E-2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6A8-4728-8741-439E240FC25B}"/>
            </c:ext>
          </c:extLst>
        </c:ser>
        <c:ser>
          <c:idx val="1"/>
          <c:order val="1"/>
          <c:tx>
            <c:strRef>
              <c:f>'Net-Zero Mandate'!$F$35</c:f>
              <c:strCache>
                <c:ptCount val="1"/>
                <c:pt idx="0">
                  <c:v>Subsidy Scenarios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19050">
                <a:solidFill>
                  <a:schemeClr val="accent2"/>
                </a:solidFill>
              </a:ln>
              <a:effectLst/>
            </c:spPr>
          </c:marker>
          <c:xVal>
            <c:numRef>
              <c:f>'Net-Zero Mandate'!$D$69:$D$99</c:f>
              <c:numCache>
                <c:formatCode>0.00%</c:formatCode>
                <c:ptCount val="31"/>
                <c:pt idx="0">
                  <c:v>0</c:v>
                </c:pt>
                <c:pt idx="1">
                  <c:v>1.0644545520472448E-2</c:v>
                </c:pt>
                <c:pt idx="2">
                  <c:v>1.9307500550778789E-2</c:v>
                </c:pt>
                <c:pt idx="3">
                  <c:v>1.0561718679330978E-2</c:v>
                </c:pt>
                <c:pt idx="4">
                  <c:v>-3.5505216962306463E-2</c:v>
                </c:pt>
                <c:pt idx="5">
                  <c:v>1.2916266583007374E-2</c:v>
                </c:pt>
                <c:pt idx="6">
                  <c:v>1.0368295287968898E-2</c:v>
                </c:pt>
                <c:pt idx="7">
                  <c:v>6.028874409642615E-3</c:v>
                </c:pt>
                <c:pt idx="8">
                  <c:v>8.6785676172369541E-3</c:v>
                </c:pt>
                <c:pt idx="9">
                  <c:v>7.9536652884248937E-3</c:v>
                </c:pt>
                <c:pt idx="10">
                  <c:v>1.3462435030650033E-2</c:v>
                </c:pt>
                <c:pt idx="11">
                  <c:v>8.799150970965508E-3</c:v>
                </c:pt>
                <c:pt idx="12">
                  <c:v>1.7531058139190758E-3</c:v>
                </c:pt>
                <c:pt idx="13">
                  <c:v>9.890681049470551E-3</c:v>
                </c:pt>
                <c:pt idx="14">
                  <c:v>1.573425906758108E-2</c:v>
                </c:pt>
                <c:pt idx="15">
                  <c:v>9.8615793669942775E-3</c:v>
                </c:pt>
                <c:pt idx="16">
                  <c:v>1.6667279937599533E-2</c:v>
                </c:pt>
                <c:pt idx="17">
                  <c:v>-4.0784874285260897E-2</c:v>
                </c:pt>
                <c:pt idx="18">
                  <c:v>3.2111903006877052E-2</c:v>
                </c:pt>
                <c:pt idx="19">
                  <c:v>3.0034551655996999E-2</c:v>
                </c:pt>
                <c:pt idx="20">
                  <c:v>1.661132846933655E-2</c:v>
                </c:pt>
                <c:pt idx="21">
                  <c:v>-1.6392791573464072E-3</c:v>
                </c:pt>
                <c:pt idx="22">
                  <c:v>2.5921629907545318E-2</c:v>
                </c:pt>
                <c:pt idx="23">
                  <c:v>5.2812324074540395E-3</c:v>
                </c:pt>
                <c:pt idx="24">
                  <c:v>1.1236011741936558E-2</c:v>
                </c:pt>
                <c:pt idx="25">
                  <c:v>4.3829892274163118E-3</c:v>
                </c:pt>
                <c:pt idx="26">
                  <c:v>1.5607277067723579E-2</c:v>
                </c:pt>
                <c:pt idx="27">
                  <c:v>-2.1957027168099885E-2</c:v>
                </c:pt>
                <c:pt idx="28">
                  <c:v>0.30992141669265538</c:v>
                </c:pt>
                <c:pt idx="29">
                  <c:v>7.8199073013818232E-3</c:v>
                </c:pt>
                <c:pt idx="30">
                  <c:v>3.9508683522927468E-2</c:v>
                </c:pt>
              </c:numCache>
            </c:numRef>
          </c:xVal>
          <c:yVal>
            <c:numRef>
              <c:f>'Net-Zero Mandate'!$F$69:$F$99</c:f>
              <c:numCache>
                <c:formatCode>0.00%</c:formatCode>
                <c:ptCount val="31"/>
                <c:pt idx="1">
                  <c:v>2.5209004386937295E-2</c:v>
                </c:pt>
                <c:pt idx="2">
                  <c:v>3.4198049672304665E-2</c:v>
                </c:pt>
                <c:pt idx="3">
                  <c:v>2.4461885798017446E-2</c:v>
                </c:pt>
                <c:pt idx="4">
                  <c:v>-9.4129782282971197E-3</c:v>
                </c:pt>
                <c:pt idx="14">
                  <c:v>5.0456290197662401E-2</c:v>
                </c:pt>
                <c:pt idx="15">
                  <c:v>6.1083028588815536E-2</c:v>
                </c:pt>
                <c:pt idx="16">
                  <c:v>5.0352890177856713E-2</c:v>
                </c:pt>
                <c:pt idx="17">
                  <c:v>-1.2285964574096364E-2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6A8-4728-8741-439E240FC25B}"/>
            </c:ext>
          </c:extLst>
        </c:ser>
        <c:ser>
          <c:idx val="2"/>
          <c:order val="2"/>
          <c:tx>
            <c:strRef>
              <c:f>'Net-Zero Mandate'!$G$35</c:f>
              <c:strCache>
                <c:ptCount val="1"/>
                <c:pt idx="0">
                  <c:v>Procurement Scenarios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19050">
                <a:solidFill>
                  <a:schemeClr val="accent3"/>
                </a:solidFill>
              </a:ln>
              <a:effectLst/>
            </c:spPr>
          </c:marker>
          <c:xVal>
            <c:numRef>
              <c:f>'Net-Zero Mandate'!$D$69:$D$99</c:f>
              <c:numCache>
                <c:formatCode>0.00%</c:formatCode>
                <c:ptCount val="31"/>
                <c:pt idx="0">
                  <c:v>0</c:v>
                </c:pt>
                <c:pt idx="1">
                  <c:v>1.0644545520472448E-2</c:v>
                </c:pt>
                <c:pt idx="2">
                  <c:v>1.9307500550778789E-2</c:v>
                </c:pt>
                <c:pt idx="3">
                  <c:v>1.0561718679330978E-2</c:v>
                </c:pt>
                <c:pt idx="4">
                  <c:v>-3.5505216962306463E-2</c:v>
                </c:pt>
                <c:pt idx="5">
                  <c:v>1.2916266583007374E-2</c:v>
                </c:pt>
                <c:pt idx="6">
                  <c:v>1.0368295287968898E-2</c:v>
                </c:pt>
                <c:pt idx="7">
                  <c:v>6.028874409642615E-3</c:v>
                </c:pt>
                <c:pt idx="8">
                  <c:v>8.6785676172369541E-3</c:v>
                </c:pt>
                <c:pt idx="9">
                  <c:v>7.9536652884248937E-3</c:v>
                </c:pt>
                <c:pt idx="10">
                  <c:v>1.3462435030650033E-2</c:v>
                </c:pt>
                <c:pt idx="11">
                  <c:v>8.799150970965508E-3</c:v>
                </c:pt>
                <c:pt idx="12">
                  <c:v>1.7531058139190758E-3</c:v>
                </c:pt>
                <c:pt idx="13">
                  <c:v>9.890681049470551E-3</c:v>
                </c:pt>
                <c:pt idx="14">
                  <c:v>1.573425906758108E-2</c:v>
                </c:pt>
                <c:pt idx="15">
                  <c:v>9.8615793669942775E-3</c:v>
                </c:pt>
                <c:pt idx="16">
                  <c:v>1.6667279937599533E-2</c:v>
                </c:pt>
                <c:pt idx="17">
                  <c:v>-4.0784874285260897E-2</c:v>
                </c:pt>
                <c:pt idx="18">
                  <c:v>3.2111903006877052E-2</c:v>
                </c:pt>
                <c:pt idx="19">
                  <c:v>3.0034551655996999E-2</c:v>
                </c:pt>
                <c:pt idx="20">
                  <c:v>1.661132846933655E-2</c:v>
                </c:pt>
                <c:pt idx="21">
                  <c:v>-1.6392791573464072E-3</c:v>
                </c:pt>
                <c:pt idx="22">
                  <c:v>2.5921629907545318E-2</c:v>
                </c:pt>
                <c:pt idx="23">
                  <c:v>5.2812324074540395E-3</c:v>
                </c:pt>
                <c:pt idx="24">
                  <c:v>1.1236011741936558E-2</c:v>
                </c:pt>
                <c:pt idx="25">
                  <c:v>4.3829892274163118E-3</c:v>
                </c:pt>
                <c:pt idx="26">
                  <c:v>1.5607277067723579E-2</c:v>
                </c:pt>
                <c:pt idx="27">
                  <c:v>-2.1957027168099885E-2</c:v>
                </c:pt>
                <c:pt idx="28">
                  <c:v>0.30992141669265538</c:v>
                </c:pt>
                <c:pt idx="29">
                  <c:v>7.8199073013818232E-3</c:v>
                </c:pt>
                <c:pt idx="30">
                  <c:v>3.9508683522927468E-2</c:v>
                </c:pt>
              </c:numCache>
            </c:numRef>
          </c:xVal>
          <c:yVal>
            <c:numRef>
              <c:f>'Net-Zero Mandate'!$G$69:$G$99</c:f>
              <c:numCache>
                <c:formatCode>0.00%</c:formatCode>
                <c:ptCount val="31"/>
                <c:pt idx="11">
                  <c:v>2.9815748364587558E-2</c:v>
                </c:pt>
                <c:pt idx="12">
                  <c:v>0.11093343672575018</c:v>
                </c:pt>
                <c:pt idx="13">
                  <c:v>2.4222185665893514E-2</c:v>
                </c:pt>
                <c:pt idx="24">
                  <c:v>5.0763015263472377E-2</c:v>
                </c:pt>
                <c:pt idx="25">
                  <c:v>0.11883462661366395</c:v>
                </c:pt>
                <c:pt idx="26">
                  <c:v>4.6654528270856144E-2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6A8-4728-8741-439E240FC25B}"/>
            </c:ext>
          </c:extLst>
        </c:ser>
        <c:ser>
          <c:idx val="3"/>
          <c:order val="3"/>
          <c:tx>
            <c:strRef>
              <c:f>'Net-Zero Mandate'!$H$35</c:f>
              <c:strCache>
                <c:ptCount val="1"/>
                <c:pt idx="0">
                  <c:v>Optimal Scenarios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19050">
                <a:solidFill>
                  <a:schemeClr val="accent4"/>
                </a:solidFill>
              </a:ln>
              <a:effectLst/>
            </c:spPr>
          </c:marker>
          <c:xVal>
            <c:numRef>
              <c:f>'Net-Zero Mandate'!$D$69:$D$99</c:f>
              <c:numCache>
                <c:formatCode>0.00%</c:formatCode>
                <c:ptCount val="31"/>
                <c:pt idx="0">
                  <c:v>0</c:v>
                </c:pt>
                <c:pt idx="1">
                  <c:v>1.0644545520472448E-2</c:v>
                </c:pt>
                <c:pt idx="2">
                  <c:v>1.9307500550778789E-2</c:v>
                </c:pt>
                <c:pt idx="3">
                  <c:v>1.0561718679330978E-2</c:v>
                </c:pt>
                <c:pt idx="4">
                  <c:v>-3.5505216962306463E-2</c:v>
                </c:pt>
                <c:pt idx="5">
                  <c:v>1.2916266583007374E-2</c:v>
                </c:pt>
                <c:pt idx="6">
                  <c:v>1.0368295287968898E-2</c:v>
                </c:pt>
                <c:pt idx="7">
                  <c:v>6.028874409642615E-3</c:v>
                </c:pt>
                <c:pt idx="8">
                  <c:v>8.6785676172369541E-3</c:v>
                </c:pt>
                <c:pt idx="9">
                  <c:v>7.9536652884248937E-3</c:v>
                </c:pt>
                <c:pt idx="10">
                  <c:v>1.3462435030650033E-2</c:v>
                </c:pt>
                <c:pt idx="11">
                  <c:v>8.799150970965508E-3</c:v>
                </c:pt>
                <c:pt idx="12">
                  <c:v>1.7531058139190758E-3</c:v>
                </c:pt>
                <c:pt idx="13">
                  <c:v>9.890681049470551E-3</c:v>
                </c:pt>
                <c:pt idx="14">
                  <c:v>1.573425906758108E-2</c:v>
                </c:pt>
                <c:pt idx="15">
                  <c:v>9.8615793669942775E-3</c:v>
                </c:pt>
                <c:pt idx="16">
                  <c:v>1.6667279937599533E-2</c:v>
                </c:pt>
                <c:pt idx="17">
                  <c:v>-4.0784874285260897E-2</c:v>
                </c:pt>
                <c:pt idx="18">
                  <c:v>3.2111903006877052E-2</c:v>
                </c:pt>
                <c:pt idx="19">
                  <c:v>3.0034551655996999E-2</c:v>
                </c:pt>
                <c:pt idx="20">
                  <c:v>1.661132846933655E-2</c:v>
                </c:pt>
                <c:pt idx="21">
                  <c:v>-1.6392791573464072E-3</c:v>
                </c:pt>
                <c:pt idx="22">
                  <c:v>2.5921629907545318E-2</c:v>
                </c:pt>
                <c:pt idx="23">
                  <c:v>5.2812324074540395E-3</c:v>
                </c:pt>
                <c:pt idx="24">
                  <c:v>1.1236011741936558E-2</c:v>
                </c:pt>
                <c:pt idx="25">
                  <c:v>4.3829892274163118E-3</c:v>
                </c:pt>
                <c:pt idx="26">
                  <c:v>1.5607277067723579E-2</c:v>
                </c:pt>
                <c:pt idx="27">
                  <c:v>-2.1957027168099885E-2</c:v>
                </c:pt>
                <c:pt idx="28">
                  <c:v>0.30992141669265538</c:v>
                </c:pt>
                <c:pt idx="29">
                  <c:v>7.8199073013818232E-3</c:v>
                </c:pt>
                <c:pt idx="30">
                  <c:v>3.9508683522927468E-2</c:v>
                </c:pt>
              </c:numCache>
            </c:numRef>
          </c:xVal>
          <c:yVal>
            <c:numRef>
              <c:f>'Net-Zero Mandate'!$H$69:$H$99</c:f>
              <c:numCache>
                <c:formatCode>0.00%</c:formatCode>
                <c:ptCount val="31"/>
                <c:pt idx="29">
                  <c:v>2.6052304406058546E-2</c:v>
                </c:pt>
                <c:pt idx="30">
                  <c:v>4.8213799167334814E-2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6A8-4728-8741-439E240FC25B}"/>
            </c:ext>
          </c:extLst>
        </c:ser>
        <c:ser>
          <c:idx val="4"/>
          <c:order val="4"/>
          <c:tx>
            <c:strRef>
              <c:f>'Net-Zero Mandate'!$I$35</c:f>
              <c:strCache>
                <c:ptCount val="1"/>
                <c:pt idx="0">
                  <c:v>Baseline Pathways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19050">
                <a:solidFill>
                  <a:schemeClr val="accent5"/>
                </a:solidFill>
              </a:ln>
              <a:effectLst/>
            </c:spPr>
          </c:marker>
          <c:xVal>
            <c:numRef>
              <c:f>'Net-Zero Mandate'!$D$69:$D$99</c:f>
              <c:numCache>
                <c:formatCode>0.00%</c:formatCode>
                <c:ptCount val="31"/>
                <c:pt idx="0">
                  <c:v>0</c:v>
                </c:pt>
                <c:pt idx="1">
                  <c:v>1.0644545520472448E-2</c:v>
                </c:pt>
                <c:pt idx="2">
                  <c:v>1.9307500550778789E-2</c:v>
                </c:pt>
                <c:pt idx="3">
                  <c:v>1.0561718679330978E-2</c:v>
                </c:pt>
                <c:pt idx="4">
                  <c:v>-3.5505216962306463E-2</c:v>
                </c:pt>
                <c:pt idx="5">
                  <c:v>1.2916266583007374E-2</c:v>
                </c:pt>
                <c:pt idx="6">
                  <c:v>1.0368295287968898E-2</c:v>
                </c:pt>
                <c:pt idx="7">
                  <c:v>6.028874409642615E-3</c:v>
                </c:pt>
                <c:pt idx="8">
                  <c:v>8.6785676172369541E-3</c:v>
                </c:pt>
                <c:pt idx="9">
                  <c:v>7.9536652884248937E-3</c:v>
                </c:pt>
                <c:pt idx="10">
                  <c:v>1.3462435030650033E-2</c:v>
                </c:pt>
                <c:pt idx="11">
                  <c:v>8.799150970965508E-3</c:v>
                </c:pt>
                <c:pt idx="12">
                  <c:v>1.7531058139190758E-3</c:v>
                </c:pt>
                <c:pt idx="13">
                  <c:v>9.890681049470551E-3</c:v>
                </c:pt>
                <c:pt idx="14">
                  <c:v>1.573425906758108E-2</c:v>
                </c:pt>
                <c:pt idx="15">
                  <c:v>9.8615793669942775E-3</c:v>
                </c:pt>
                <c:pt idx="16">
                  <c:v>1.6667279937599533E-2</c:v>
                </c:pt>
                <c:pt idx="17">
                  <c:v>-4.0784874285260897E-2</c:v>
                </c:pt>
                <c:pt idx="18">
                  <c:v>3.2111903006877052E-2</c:v>
                </c:pt>
                <c:pt idx="19">
                  <c:v>3.0034551655996999E-2</c:v>
                </c:pt>
                <c:pt idx="20">
                  <c:v>1.661132846933655E-2</c:v>
                </c:pt>
                <c:pt idx="21">
                  <c:v>-1.6392791573464072E-3</c:v>
                </c:pt>
                <c:pt idx="22">
                  <c:v>2.5921629907545318E-2</c:v>
                </c:pt>
                <c:pt idx="23">
                  <c:v>5.2812324074540395E-3</c:v>
                </c:pt>
                <c:pt idx="24">
                  <c:v>1.1236011741936558E-2</c:v>
                </c:pt>
                <c:pt idx="25">
                  <c:v>4.3829892274163118E-3</c:v>
                </c:pt>
                <c:pt idx="26">
                  <c:v>1.5607277067723579E-2</c:v>
                </c:pt>
                <c:pt idx="27">
                  <c:v>-2.1957027168099885E-2</c:v>
                </c:pt>
                <c:pt idx="28">
                  <c:v>0.30992141669265538</c:v>
                </c:pt>
                <c:pt idx="29">
                  <c:v>7.8199073013818232E-3</c:v>
                </c:pt>
                <c:pt idx="30">
                  <c:v>3.9508683522927468E-2</c:v>
                </c:pt>
              </c:numCache>
            </c:numRef>
          </c:xVal>
          <c:yVal>
            <c:numRef>
              <c:f>'Net-Zero Mandate'!$I$69:$I$99</c:f>
              <c:numCache>
                <c:formatCode>0.00%</c:formatCode>
                <c:ptCount val="31"/>
                <c:pt idx="10">
                  <c:v>1.9999391501168695E-2</c:v>
                </c:pt>
                <c:pt idx="18">
                  <c:v>4.7727120246340293E-2</c:v>
                </c:pt>
                <c:pt idx="27">
                  <c:v>5.1301049981022695E-2</c:v>
                </c:pt>
                <c:pt idx="28">
                  <c:v>8.3416775047346015E-2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6A8-4728-8741-439E240FC25B}"/>
            </c:ext>
          </c:extLst>
        </c:ser>
        <c:ser>
          <c:idx val="5"/>
          <c:order val="5"/>
          <c:tx>
            <c:strRef>
              <c:f>'Net-Zero Mandate'!$J$35</c:f>
              <c:strCache>
                <c:ptCount val="1"/>
                <c:pt idx="0">
                  <c:v>100 Mt Baseline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19050">
                <a:solidFill>
                  <a:schemeClr val="accent6"/>
                </a:solidFill>
              </a:ln>
              <a:effectLst/>
            </c:spPr>
          </c:marker>
          <c:xVal>
            <c:numRef>
              <c:f>'Net-Zero Mandate'!$D$69:$D$99</c:f>
              <c:numCache>
                <c:formatCode>0.00%</c:formatCode>
                <c:ptCount val="31"/>
                <c:pt idx="0">
                  <c:v>0</c:v>
                </c:pt>
                <c:pt idx="1">
                  <c:v>1.0644545520472448E-2</c:v>
                </c:pt>
                <c:pt idx="2">
                  <c:v>1.9307500550778789E-2</c:v>
                </c:pt>
                <c:pt idx="3">
                  <c:v>1.0561718679330978E-2</c:v>
                </c:pt>
                <c:pt idx="4">
                  <c:v>-3.5505216962306463E-2</c:v>
                </c:pt>
                <c:pt idx="5">
                  <c:v>1.2916266583007374E-2</c:v>
                </c:pt>
                <c:pt idx="6">
                  <c:v>1.0368295287968898E-2</c:v>
                </c:pt>
                <c:pt idx="7">
                  <c:v>6.028874409642615E-3</c:v>
                </c:pt>
                <c:pt idx="8">
                  <c:v>8.6785676172369541E-3</c:v>
                </c:pt>
                <c:pt idx="9">
                  <c:v>7.9536652884248937E-3</c:v>
                </c:pt>
                <c:pt idx="10">
                  <c:v>1.3462435030650033E-2</c:v>
                </c:pt>
                <c:pt idx="11">
                  <c:v>8.799150970965508E-3</c:v>
                </c:pt>
                <c:pt idx="12">
                  <c:v>1.7531058139190758E-3</c:v>
                </c:pt>
                <c:pt idx="13">
                  <c:v>9.890681049470551E-3</c:v>
                </c:pt>
                <c:pt idx="14">
                  <c:v>1.573425906758108E-2</c:v>
                </c:pt>
                <c:pt idx="15">
                  <c:v>9.8615793669942775E-3</c:v>
                </c:pt>
                <c:pt idx="16">
                  <c:v>1.6667279937599533E-2</c:v>
                </c:pt>
                <c:pt idx="17">
                  <c:v>-4.0784874285260897E-2</c:v>
                </c:pt>
                <c:pt idx="18">
                  <c:v>3.2111903006877052E-2</c:v>
                </c:pt>
                <c:pt idx="19">
                  <c:v>3.0034551655996999E-2</c:v>
                </c:pt>
                <c:pt idx="20">
                  <c:v>1.661132846933655E-2</c:v>
                </c:pt>
                <c:pt idx="21">
                  <c:v>-1.6392791573464072E-3</c:v>
                </c:pt>
                <c:pt idx="22">
                  <c:v>2.5921629907545318E-2</c:v>
                </c:pt>
                <c:pt idx="23">
                  <c:v>5.2812324074540395E-3</c:v>
                </c:pt>
                <c:pt idx="24">
                  <c:v>1.1236011741936558E-2</c:v>
                </c:pt>
                <c:pt idx="25">
                  <c:v>4.3829892274163118E-3</c:v>
                </c:pt>
                <c:pt idx="26">
                  <c:v>1.5607277067723579E-2</c:v>
                </c:pt>
                <c:pt idx="27">
                  <c:v>-2.1957027168099885E-2</c:v>
                </c:pt>
                <c:pt idx="28">
                  <c:v>0.30992141669265538</c:v>
                </c:pt>
                <c:pt idx="29">
                  <c:v>7.8199073013818232E-3</c:v>
                </c:pt>
                <c:pt idx="30">
                  <c:v>3.9508683522927468E-2</c:v>
                </c:pt>
              </c:numCache>
            </c:numRef>
          </c:xVal>
          <c:yVal>
            <c:numRef>
              <c:f>'Net-Zero Mandate'!$J$69:$J$99</c:f>
              <c:numCache>
                <c:formatCode>0.00%</c:formatCode>
                <c:ptCount val="3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6A8-4728-8741-439E240FC2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8358192"/>
        <c:axId val="688359152"/>
      </c:scatterChart>
      <c:valAx>
        <c:axId val="688358192"/>
        <c:scaling>
          <c:orientation val="minMax"/>
          <c:max val="4.0000000000000008E-2"/>
          <c:min val="-1.0000000000000002E-2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%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bg2">
                <a:lumMod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bg2">
                    <a:lumMod val="2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88359152"/>
        <c:crossesAt val="-6"/>
        <c:crossBetween val="midCat"/>
        <c:majorUnit val="1.0000000000000002E-2"/>
      </c:valAx>
      <c:valAx>
        <c:axId val="688359152"/>
        <c:scaling>
          <c:orientation val="minMax"/>
          <c:max val="5.5000000000000007E-2"/>
          <c:min val="1.5000000000000003E-2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.0%" sourceLinked="0"/>
        <c:majorTickMark val="in"/>
        <c:minorTickMark val="none"/>
        <c:tickLblPos val="low"/>
        <c:spPr>
          <a:noFill/>
          <a:ln w="9525" cap="flat" cmpd="sng" algn="ctr">
            <a:solidFill>
              <a:schemeClr val="bg2">
                <a:lumMod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t" anchorCtr="0"/>
          <a:lstStyle/>
          <a:p>
            <a:pPr>
              <a:defRPr sz="1300" b="0" i="0" u="none" strike="noStrike" kern="1200" baseline="0">
                <a:solidFill>
                  <a:schemeClr val="bg2">
                    <a:lumMod val="2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88358192"/>
        <c:crossesAt val="-10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621923835004408"/>
          <c:y val="3.5891588464031364E-2"/>
          <c:w val="0.8122531696682106"/>
          <c:h val="0.86428893797207329"/>
        </c:manualLayout>
      </c:layout>
      <c:scatterChart>
        <c:scatterStyle val="lineMarker"/>
        <c:varyColors val="0"/>
        <c:ser>
          <c:idx val="0"/>
          <c:order val="0"/>
          <c:tx>
            <c:strRef>
              <c:f>'Net-Zero Mandate'!$E$35</c:f>
              <c:strCache>
                <c:ptCount val="1"/>
                <c:pt idx="0">
                  <c:v>Innovation Scenarios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19050">
                <a:solidFill>
                  <a:schemeClr val="accent1"/>
                </a:solidFill>
              </a:ln>
              <a:effectLst/>
            </c:spPr>
          </c:marker>
          <c:xVal>
            <c:numRef>
              <c:f>'Net-Zero Mandate'!$D$102:$D$132</c:f>
              <c:numCache>
                <c:formatCode>0.00%</c:formatCode>
                <c:ptCount val="31"/>
                <c:pt idx="0">
                  <c:v>0</c:v>
                </c:pt>
                <c:pt idx="1">
                  <c:v>1.0644545520472448E-2</c:v>
                </c:pt>
                <c:pt idx="2">
                  <c:v>1.9307500550778789E-2</c:v>
                </c:pt>
                <c:pt idx="3">
                  <c:v>1.0561718679330978E-2</c:v>
                </c:pt>
                <c:pt idx="4">
                  <c:v>-3.5505216962306463E-2</c:v>
                </c:pt>
                <c:pt idx="5">
                  <c:v>1.2916266583007374E-2</c:v>
                </c:pt>
                <c:pt idx="6">
                  <c:v>1.0368295287968898E-2</c:v>
                </c:pt>
                <c:pt idx="7">
                  <c:v>6.028874409642615E-3</c:v>
                </c:pt>
                <c:pt idx="8">
                  <c:v>8.6785676172369541E-3</c:v>
                </c:pt>
                <c:pt idx="9">
                  <c:v>7.9536652884248937E-3</c:v>
                </c:pt>
                <c:pt idx="10">
                  <c:v>1.3462435030650033E-2</c:v>
                </c:pt>
                <c:pt idx="11">
                  <c:v>8.799150970965508E-3</c:v>
                </c:pt>
                <c:pt idx="12">
                  <c:v>1.7531058139190758E-3</c:v>
                </c:pt>
                <c:pt idx="13">
                  <c:v>9.890681049470551E-3</c:v>
                </c:pt>
                <c:pt idx="14">
                  <c:v>1.573425906758108E-2</c:v>
                </c:pt>
                <c:pt idx="15">
                  <c:v>9.8615793669942775E-3</c:v>
                </c:pt>
                <c:pt idx="16">
                  <c:v>1.6667279937599533E-2</c:v>
                </c:pt>
                <c:pt idx="17">
                  <c:v>-4.0784874285260897E-2</c:v>
                </c:pt>
                <c:pt idx="18">
                  <c:v>3.2111903006877052E-2</c:v>
                </c:pt>
                <c:pt idx="19">
                  <c:v>3.0034551655996999E-2</c:v>
                </c:pt>
                <c:pt idx="20">
                  <c:v>1.661132846933655E-2</c:v>
                </c:pt>
                <c:pt idx="21">
                  <c:v>-1.6392791573464072E-3</c:v>
                </c:pt>
                <c:pt idx="22">
                  <c:v>2.5921629907545318E-2</c:v>
                </c:pt>
                <c:pt idx="23">
                  <c:v>5.2812324074540395E-3</c:v>
                </c:pt>
                <c:pt idx="24">
                  <c:v>1.1236011741936558E-2</c:v>
                </c:pt>
                <c:pt idx="25">
                  <c:v>4.3829892274163118E-3</c:v>
                </c:pt>
                <c:pt idx="26">
                  <c:v>1.5607277067723579E-2</c:v>
                </c:pt>
                <c:pt idx="27">
                  <c:v>-2.1957027168099885E-2</c:v>
                </c:pt>
                <c:pt idx="28">
                  <c:v>0.30992141669265538</c:v>
                </c:pt>
                <c:pt idx="29">
                  <c:v>7.8199073013818232E-3</c:v>
                </c:pt>
                <c:pt idx="30">
                  <c:v>3.9508683522927468E-2</c:v>
                </c:pt>
              </c:numCache>
            </c:numRef>
          </c:xVal>
          <c:yVal>
            <c:numRef>
              <c:f>'Net-Zero Mandate'!$E$102:$E$132</c:f>
              <c:numCache>
                <c:formatCode>0.00%</c:formatCode>
                <c:ptCount val="31"/>
                <c:pt idx="5">
                  <c:v>2.7008441535348204E-2</c:v>
                </c:pt>
                <c:pt idx="6">
                  <c:v>2.1571817735793752E-2</c:v>
                </c:pt>
                <c:pt idx="7">
                  <c:v>2.6245176951359195E-2</c:v>
                </c:pt>
                <c:pt idx="8">
                  <c:v>2.2688515776797979E-2</c:v>
                </c:pt>
                <c:pt idx="9">
                  <c:v>2.2661320247214567E-2</c:v>
                </c:pt>
                <c:pt idx="19">
                  <c:v>5.3296609238066894E-2</c:v>
                </c:pt>
                <c:pt idx="20">
                  <c:v>4.5335644882663839E-2</c:v>
                </c:pt>
                <c:pt idx="21">
                  <c:v>4.4784412514509597E-2</c:v>
                </c:pt>
                <c:pt idx="22">
                  <c:v>4.5592785399058089E-2</c:v>
                </c:pt>
                <c:pt idx="23">
                  <c:v>4.3713335257698827E-2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32F-4014-A1E1-C3D25F694256}"/>
            </c:ext>
          </c:extLst>
        </c:ser>
        <c:ser>
          <c:idx val="1"/>
          <c:order val="1"/>
          <c:tx>
            <c:strRef>
              <c:f>'Net-Zero Mandate'!$F$35</c:f>
              <c:strCache>
                <c:ptCount val="1"/>
                <c:pt idx="0">
                  <c:v>Subsidy Scenarios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19050">
                <a:solidFill>
                  <a:schemeClr val="accent2"/>
                </a:solidFill>
              </a:ln>
              <a:effectLst/>
            </c:spPr>
          </c:marker>
          <c:xVal>
            <c:numRef>
              <c:f>'Net-Zero Mandate'!$D$102:$D$132</c:f>
              <c:numCache>
                <c:formatCode>0.00%</c:formatCode>
                <c:ptCount val="31"/>
                <c:pt idx="0">
                  <c:v>0</c:v>
                </c:pt>
                <c:pt idx="1">
                  <c:v>1.0644545520472448E-2</c:v>
                </c:pt>
                <c:pt idx="2">
                  <c:v>1.9307500550778789E-2</c:v>
                </c:pt>
                <c:pt idx="3">
                  <c:v>1.0561718679330978E-2</c:v>
                </c:pt>
                <c:pt idx="4">
                  <c:v>-3.5505216962306463E-2</c:v>
                </c:pt>
                <c:pt idx="5">
                  <c:v>1.2916266583007374E-2</c:v>
                </c:pt>
                <c:pt idx="6">
                  <c:v>1.0368295287968898E-2</c:v>
                </c:pt>
                <c:pt idx="7">
                  <c:v>6.028874409642615E-3</c:v>
                </c:pt>
                <c:pt idx="8">
                  <c:v>8.6785676172369541E-3</c:v>
                </c:pt>
                <c:pt idx="9">
                  <c:v>7.9536652884248937E-3</c:v>
                </c:pt>
                <c:pt idx="10">
                  <c:v>1.3462435030650033E-2</c:v>
                </c:pt>
                <c:pt idx="11">
                  <c:v>8.799150970965508E-3</c:v>
                </c:pt>
                <c:pt idx="12">
                  <c:v>1.7531058139190758E-3</c:v>
                </c:pt>
                <c:pt idx="13">
                  <c:v>9.890681049470551E-3</c:v>
                </c:pt>
                <c:pt idx="14">
                  <c:v>1.573425906758108E-2</c:v>
                </c:pt>
                <c:pt idx="15">
                  <c:v>9.8615793669942775E-3</c:v>
                </c:pt>
                <c:pt idx="16">
                  <c:v>1.6667279937599533E-2</c:v>
                </c:pt>
                <c:pt idx="17">
                  <c:v>-4.0784874285260897E-2</c:v>
                </c:pt>
                <c:pt idx="18">
                  <c:v>3.2111903006877052E-2</c:v>
                </c:pt>
                <c:pt idx="19">
                  <c:v>3.0034551655996999E-2</c:v>
                </c:pt>
                <c:pt idx="20">
                  <c:v>1.661132846933655E-2</c:v>
                </c:pt>
                <c:pt idx="21">
                  <c:v>-1.6392791573464072E-3</c:v>
                </c:pt>
                <c:pt idx="22">
                  <c:v>2.5921629907545318E-2</c:v>
                </c:pt>
                <c:pt idx="23">
                  <c:v>5.2812324074540395E-3</c:v>
                </c:pt>
                <c:pt idx="24">
                  <c:v>1.1236011741936558E-2</c:v>
                </c:pt>
                <c:pt idx="25">
                  <c:v>4.3829892274163118E-3</c:v>
                </c:pt>
                <c:pt idx="26">
                  <c:v>1.5607277067723579E-2</c:v>
                </c:pt>
                <c:pt idx="27">
                  <c:v>-2.1957027168099885E-2</c:v>
                </c:pt>
                <c:pt idx="28">
                  <c:v>0.30992141669265538</c:v>
                </c:pt>
                <c:pt idx="29">
                  <c:v>7.8199073013818232E-3</c:v>
                </c:pt>
                <c:pt idx="30">
                  <c:v>3.9508683522927468E-2</c:v>
                </c:pt>
              </c:numCache>
            </c:numRef>
          </c:xVal>
          <c:yVal>
            <c:numRef>
              <c:f>'Net-Zero Mandate'!$F$102:$F$132</c:f>
              <c:numCache>
                <c:formatCode>0.00%</c:formatCode>
                <c:ptCount val="31"/>
                <c:pt idx="1">
                  <c:v>2.8903795027540591E-2</c:v>
                </c:pt>
                <c:pt idx="2">
                  <c:v>3.4874207486603748E-2</c:v>
                </c:pt>
                <c:pt idx="3">
                  <c:v>3.1103255235124028E-2</c:v>
                </c:pt>
                <c:pt idx="4">
                  <c:v>2.1524149722820241E-3</c:v>
                </c:pt>
                <c:pt idx="14">
                  <c:v>5.5771061676000988E-2</c:v>
                </c:pt>
                <c:pt idx="15">
                  <c:v>6.3515173295772831E-2</c:v>
                </c:pt>
                <c:pt idx="16">
                  <c:v>5.9810976655155557E-2</c:v>
                </c:pt>
                <c:pt idx="17">
                  <c:v>7.4400039776509885E-3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32F-4014-A1E1-C3D25F694256}"/>
            </c:ext>
          </c:extLst>
        </c:ser>
        <c:ser>
          <c:idx val="2"/>
          <c:order val="2"/>
          <c:tx>
            <c:strRef>
              <c:f>'Net-Zero Mandate'!$G$35</c:f>
              <c:strCache>
                <c:ptCount val="1"/>
                <c:pt idx="0">
                  <c:v>Procurement Scenarios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19050">
                <a:solidFill>
                  <a:schemeClr val="accent3"/>
                </a:solidFill>
              </a:ln>
              <a:effectLst/>
            </c:spPr>
          </c:marker>
          <c:xVal>
            <c:numRef>
              <c:f>'Net-Zero Mandate'!$D$102:$D$132</c:f>
              <c:numCache>
                <c:formatCode>0.00%</c:formatCode>
                <c:ptCount val="31"/>
                <c:pt idx="0">
                  <c:v>0</c:v>
                </c:pt>
                <c:pt idx="1">
                  <c:v>1.0644545520472448E-2</c:v>
                </c:pt>
                <c:pt idx="2">
                  <c:v>1.9307500550778789E-2</c:v>
                </c:pt>
                <c:pt idx="3">
                  <c:v>1.0561718679330978E-2</c:v>
                </c:pt>
                <c:pt idx="4">
                  <c:v>-3.5505216962306463E-2</c:v>
                </c:pt>
                <c:pt idx="5">
                  <c:v>1.2916266583007374E-2</c:v>
                </c:pt>
                <c:pt idx="6">
                  <c:v>1.0368295287968898E-2</c:v>
                </c:pt>
                <c:pt idx="7">
                  <c:v>6.028874409642615E-3</c:v>
                </c:pt>
                <c:pt idx="8">
                  <c:v>8.6785676172369541E-3</c:v>
                </c:pt>
                <c:pt idx="9">
                  <c:v>7.9536652884248937E-3</c:v>
                </c:pt>
                <c:pt idx="10">
                  <c:v>1.3462435030650033E-2</c:v>
                </c:pt>
                <c:pt idx="11">
                  <c:v>8.799150970965508E-3</c:v>
                </c:pt>
                <c:pt idx="12">
                  <c:v>1.7531058139190758E-3</c:v>
                </c:pt>
                <c:pt idx="13">
                  <c:v>9.890681049470551E-3</c:v>
                </c:pt>
                <c:pt idx="14">
                  <c:v>1.573425906758108E-2</c:v>
                </c:pt>
                <c:pt idx="15">
                  <c:v>9.8615793669942775E-3</c:v>
                </c:pt>
                <c:pt idx="16">
                  <c:v>1.6667279937599533E-2</c:v>
                </c:pt>
                <c:pt idx="17">
                  <c:v>-4.0784874285260897E-2</c:v>
                </c:pt>
                <c:pt idx="18">
                  <c:v>3.2111903006877052E-2</c:v>
                </c:pt>
                <c:pt idx="19">
                  <c:v>3.0034551655996999E-2</c:v>
                </c:pt>
                <c:pt idx="20">
                  <c:v>1.661132846933655E-2</c:v>
                </c:pt>
                <c:pt idx="21">
                  <c:v>-1.6392791573464072E-3</c:v>
                </c:pt>
                <c:pt idx="22">
                  <c:v>2.5921629907545318E-2</c:v>
                </c:pt>
                <c:pt idx="23">
                  <c:v>5.2812324074540395E-3</c:v>
                </c:pt>
                <c:pt idx="24">
                  <c:v>1.1236011741936558E-2</c:v>
                </c:pt>
                <c:pt idx="25">
                  <c:v>4.3829892274163118E-3</c:v>
                </c:pt>
                <c:pt idx="26">
                  <c:v>1.5607277067723579E-2</c:v>
                </c:pt>
                <c:pt idx="27">
                  <c:v>-2.1957027168099885E-2</c:v>
                </c:pt>
                <c:pt idx="28">
                  <c:v>0.30992141669265538</c:v>
                </c:pt>
                <c:pt idx="29">
                  <c:v>7.8199073013818232E-3</c:v>
                </c:pt>
                <c:pt idx="30">
                  <c:v>3.9508683522927468E-2</c:v>
                </c:pt>
              </c:numCache>
            </c:numRef>
          </c:xVal>
          <c:yVal>
            <c:numRef>
              <c:f>'Net-Zero Mandate'!$G$102:$G$132</c:f>
              <c:numCache>
                <c:formatCode>0.00%</c:formatCode>
                <c:ptCount val="31"/>
                <c:pt idx="11">
                  <c:v>3.6978517075664463E-2</c:v>
                </c:pt>
                <c:pt idx="12">
                  <c:v>0.15910771167551552</c:v>
                </c:pt>
                <c:pt idx="13">
                  <c:v>2.7500134230232787E-2</c:v>
                </c:pt>
                <c:pt idx="24">
                  <c:v>5.8662341319144273E-2</c:v>
                </c:pt>
                <c:pt idx="25">
                  <c:v>0.17146419690437154</c:v>
                </c:pt>
                <c:pt idx="26">
                  <c:v>5.0354123932588202E-2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32F-4014-A1E1-C3D25F694256}"/>
            </c:ext>
          </c:extLst>
        </c:ser>
        <c:ser>
          <c:idx val="3"/>
          <c:order val="3"/>
          <c:tx>
            <c:strRef>
              <c:f>'Net-Zero Mandate'!$H$35</c:f>
              <c:strCache>
                <c:ptCount val="1"/>
                <c:pt idx="0">
                  <c:v>Optimal Scenarios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19050">
                <a:solidFill>
                  <a:schemeClr val="accent4"/>
                </a:solidFill>
              </a:ln>
              <a:effectLst/>
            </c:spPr>
          </c:marker>
          <c:xVal>
            <c:numRef>
              <c:f>'Net-Zero Mandate'!$D$102:$D$132</c:f>
              <c:numCache>
                <c:formatCode>0.00%</c:formatCode>
                <c:ptCount val="31"/>
                <c:pt idx="0">
                  <c:v>0</c:v>
                </c:pt>
                <c:pt idx="1">
                  <c:v>1.0644545520472448E-2</c:v>
                </c:pt>
                <c:pt idx="2">
                  <c:v>1.9307500550778789E-2</c:v>
                </c:pt>
                <c:pt idx="3">
                  <c:v>1.0561718679330978E-2</c:v>
                </c:pt>
                <c:pt idx="4">
                  <c:v>-3.5505216962306463E-2</c:v>
                </c:pt>
                <c:pt idx="5">
                  <c:v>1.2916266583007374E-2</c:v>
                </c:pt>
                <c:pt idx="6">
                  <c:v>1.0368295287968898E-2</c:v>
                </c:pt>
                <c:pt idx="7">
                  <c:v>6.028874409642615E-3</c:v>
                </c:pt>
                <c:pt idx="8">
                  <c:v>8.6785676172369541E-3</c:v>
                </c:pt>
                <c:pt idx="9">
                  <c:v>7.9536652884248937E-3</c:v>
                </c:pt>
                <c:pt idx="10">
                  <c:v>1.3462435030650033E-2</c:v>
                </c:pt>
                <c:pt idx="11">
                  <c:v>8.799150970965508E-3</c:v>
                </c:pt>
                <c:pt idx="12">
                  <c:v>1.7531058139190758E-3</c:v>
                </c:pt>
                <c:pt idx="13">
                  <c:v>9.890681049470551E-3</c:v>
                </c:pt>
                <c:pt idx="14">
                  <c:v>1.573425906758108E-2</c:v>
                </c:pt>
                <c:pt idx="15">
                  <c:v>9.8615793669942775E-3</c:v>
                </c:pt>
                <c:pt idx="16">
                  <c:v>1.6667279937599533E-2</c:v>
                </c:pt>
                <c:pt idx="17">
                  <c:v>-4.0784874285260897E-2</c:v>
                </c:pt>
                <c:pt idx="18">
                  <c:v>3.2111903006877052E-2</c:v>
                </c:pt>
                <c:pt idx="19">
                  <c:v>3.0034551655996999E-2</c:v>
                </c:pt>
                <c:pt idx="20">
                  <c:v>1.661132846933655E-2</c:v>
                </c:pt>
                <c:pt idx="21">
                  <c:v>-1.6392791573464072E-3</c:v>
                </c:pt>
                <c:pt idx="22">
                  <c:v>2.5921629907545318E-2</c:v>
                </c:pt>
                <c:pt idx="23">
                  <c:v>5.2812324074540395E-3</c:v>
                </c:pt>
                <c:pt idx="24">
                  <c:v>1.1236011741936558E-2</c:v>
                </c:pt>
                <c:pt idx="25">
                  <c:v>4.3829892274163118E-3</c:v>
                </c:pt>
                <c:pt idx="26">
                  <c:v>1.5607277067723579E-2</c:v>
                </c:pt>
                <c:pt idx="27">
                  <c:v>-2.1957027168099885E-2</c:v>
                </c:pt>
                <c:pt idx="28">
                  <c:v>0.30992141669265538</c:v>
                </c:pt>
                <c:pt idx="29">
                  <c:v>7.8199073013818232E-3</c:v>
                </c:pt>
                <c:pt idx="30">
                  <c:v>3.9508683522927468E-2</c:v>
                </c:pt>
              </c:numCache>
            </c:numRef>
          </c:xVal>
          <c:yVal>
            <c:numRef>
              <c:f>'Net-Zero Mandate'!$H$102:$H$132</c:f>
              <c:numCache>
                <c:formatCode>0.00%</c:formatCode>
                <c:ptCount val="31"/>
                <c:pt idx="29">
                  <c:v>2.9431186683917199E-2</c:v>
                </c:pt>
                <c:pt idx="30">
                  <c:v>4.983300307605032E-2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32F-4014-A1E1-C3D25F694256}"/>
            </c:ext>
          </c:extLst>
        </c:ser>
        <c:ser>
          <c:idx val="4"/>
          <c:order val="4"/>
          <c:tx>
            <c:strRef>
              <c:f>'Net-Zero Mandate'!$I$35</c:f>
              <c:strCache>
                <c:ptCount val="1"/>
                <c:pt idx="0">
                  <c:v>Baseline Pathways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19050">
                <a:solidFill>
                  <a:schemeClr val="accent5"/>
                </a:solidFill>
              </a:ln>
              <a:effectLst/>
            </c:spPr>
          </c:marker>
          <c:xVal>
            <c:numRef>
              <c:f>'Net-Zero Mandate'!$D$102:$D$132</c:f>
              <c:numCache>
                <c:formatCode>0.00%</c:formatCode>
                <c:ptCount val="31"/>
                <c:pt idx="0">
                  <c:v>0</c:v>
                </c:pt>
                <c:pt idx="1">
                  <c:v>1.0644545520472448E-2</c:v>
                </c:pt>
                <c:pt idx="2">
                  <c:v>1.9307500550778789E-2</c:v>
                </c:pt>
                <c:pt idx="3">
                  <c:v>1.0561718679330978E-2</c:v>
                </c:pt>
                <c:pt idx="4">
                  <c:v>-3.5505216962306463E-2</c:v>
                </c:pt>
                <c:pt idx="5">
                  <c:v>1.2916266583007374E-2</c:v>
                </c:pt>
                <c:pt idx="6">
                  <c:v>1.0368295287968898E-2</c:v>
                </c:pt>
                <c:pt idx="7">
                  <c:v>6.028874409642615E-3</c:v>
                </c:pt>
                <c:pt idx="8">
                  <c:v>8.6785676172369541E-3</c:v>
                </c:pt>
                <c:pt idx="9">
                  <c:v>7.9536652884248937E-3</c:v>
                </c:pt>
                <c:pt idx="10">
                  <c:v>1.3462435030650033E-2</c:v>
                </c:pt>
                <c:pt idx="11">
                  <c:v>8.799150970965508E-3</c:v>
                </c:pt>
                <c:pt idx="12">
                  <c:v>1.7531058139190758E-3</c:v>
                </c:pt>
                <c:pt idx="13">
                  <c:v>9.890681049470551E-3</c:v>
                </c:pt>
                <c:pt idx="14">
                  <c:v>1.573425906758108E-2</c:v>
                </c:pt>
                <c:pt idx="15">
                  <c:v>9.8615793669942775E-3</c:v>
                </c:pt>
                <c:pt idx="16">
                  <c:v>1.6667279937599533E-2</c:v>
                </c:pt>
                <c:pt idx="17">
                  <c:v>-4.0784874285260897E-2</c:v>
                </c:pt>
                <c:pt idx="18">
                  <c:v>3.2111903006877052E-2</c:v>
                </c:pt>
                <c:pt idx="19">
                  <c:v>3.0034551655996999E-2</c:v>
                </c:pt>
                <c:pt idx="20">
                  <c:v>1.661132846933655E-2</c:v>
                </c:pt>
                <c:pt idx="21">
                  <c:v>-1.6392791573464072E-3</c:v>
                </c:pt>
                <c:pt idx="22">
                  <c:v>2.5921629907545318E-2</c:v>
                </c:pt>
                <c:pt idx="23">
                  <c:v>5.2812324074540395E-3</c:v>
                </c:pt>
                <c:pt idx="24">
                  <c:v>1.1236011741936558E-2</c:v>
                </c:pt>
                <c:pt idx="25">
                  <c:v>4.3829892274163118E-3</c:v>
                </c:pt>
                <c:pt idx="26">
                  <c:v>1.5607277067723579E-2</c:v>
                </c:pt>
                <c:pt idx="27">
                  <c:v>-2.1957027168099885E-2</c:v>
                </c:pt>
                <c:pt idx="28">
                  <c:v>0.30992141669265538</c:v>
                </c:pt>
                <c:pt idx="29">
                  <c:v>7.8199073013818232E-3</c:v>
                </c:pt>
                <c:pt idx="30">
                  <c:v>3.9508683522927468E-2</c:v>
                </c:pt>
              </c:numCache>
            </c:numRef>
          </c:xVal>
          <c:yVal>
            <c:numRef>
              <c:f>'Net-Zero Mandate'!$I$102:$I$132</c:f>
              <c:numCache>
                <c:formatCode>0.00%</c:formatCode>
                <c:ptCount val="31"/>
                <c:pt idx="10">
                  <c:v>2.1469395795524315E-2</c:v>
                </c:pt>
                <c:pt idx="18">
                  <c:v>4.830102347859988E-2</c:v>
                </c:pt>
                <c:pt idx="27">
                  <c:v>6.0359049607894066E-2</c:v>
                </c:pt>
                <c:pt idx="28">
                  <c:v>8.7254683546111433E-2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32F-4014-A1E1-C3D25F694256}"/>
            </c:ext>
          </c:extLst>
        </c:ser>
        <c:ser>
          <c:idx val="5"/>
          <c:order val="5"/>
          <c:tx>
            <c:strRef>
              <c:f>'Net-Zero Mandate'!$J$35</c:f>
              <c:strCache>
                <c:ptCount val="1"/>
                <c:pt idx="0">
                  <c:v>100 Mt Baseline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19050">
                <a:solidFill>
                  <a:schemeClr val="accent6"/>
                </a:solidFill>
              </a:ln>
              <a:effectLst/>
            </c:spPr>
          </c:marker>
          <c:xVal>
            <c:numRef>
              <c:f>'Net-Zero Mandate'!$D$102:$D$132</c:f>
              <c:numCache>
                <c:formatCode>0.00%</c:formatCode>
                <c:ptCount val="31"/>
                <c:pt idx="0">
                  <c:v>0</c:v>
                </c:pt>
                <c:pt idx="1">
                  <c:v>1.0644545520472448E-2</c:v>
                </c:pt>
                <c:pt idx="2">
                  <c:v>1.9307500550778789E-2</c:v>
                </c:pt>
                <c:pt idx="3">
                  <c:v>1.0561718679330978E-2</c:v>
                </c:pt>
                <c:pt idx="4">
                  <c:v>-3.5505216962306463E-2</c:v>
                </c:pt>
                <c:pt idx="5">
                  <c:v>1.2916266583007374E-2</c:v>
                </c:pt>
                <c:pt idx="6">
                  <c:v>1.0368295287968898E-2</c:v>
                </c:pt>
                <c:pt idx="7">
                  <c:v>6.028874409642615E-3</c:v>
                </c:pt>
                <c:pt idx="8">
                  <c:v>8.6785676172369541E-3</c:v>
                </c:pt>
                <c:pt idx="9">
                  <c:v>7.9536652884248937E-3</c:v>
                </c:pt>
                <c:pt idx="10">
                  <c:v>1.3462435030650033E-2</c:v>
                </c:pt>
                <c:pt idx="11">
                  <c:v>8.799150970965508E-3</c:v>
                </c:pt>
                <c:pt idx="12">
                  <c:v>1.7531058139190758E-3</c:v>
                </c:pt>
                <c:pt idx="13">
                  <c:v>9.890681049470551E-3</c:v>
                </c:pt>
                <c:pt idx="14">
                  <c:v>1.573425906758108E-2</c:v>
                </c:pt>
                <c:pt idx="15">
                  <c:v>9.8615793669942775E-3</c:v>
                </c:pt>
                <c:pt idx="16">
                  <c:v>1.6667279937599533E-2</c:v>
                </c:pt>
                <c:pt idx="17">
                  <c:v>-4.0784874285260897E-2</c:v>
                </c:pt>
                <c:pt idx="18">
                  <c:v>3.2111903006877052E-2</c:v>
                </c:pt>
                <c:pt idx="19">
                  <c:v>3.0034551655996999E-2</c:v>
                </c:pt>
                <c:pt idx="20">
                  <c:v>1.661132846933655E-2</c:v>
                </c:pt>
                <c:pt idx="21">
                  <c:v>-1.6392791573464072E-3</c:v>
                </c:pt>
                <c:pt idx="22">
                  <c:v>2.5921629907545318E-2</c:v>
                </c:pt>
                <c:pt idx="23">
                  <c:v>5.2812324074540395E-3</c:v>
                </c:pt>
                <c:pt idx="24">
                  <c:v>1.1236011741936558E-2</c:v>
                </c:pt>
                <c:pt idx="25">
                  <c:v>4.3829892274163118E-3</c:v>
                </c:pt>
                <c:pt idx="26">
                  <c:v>1.5607277067723579E-2</c:v>
                </c:pt>
                <c:pt idx="27">
                  <c:v>-2.1957027168099885E-2</c:v>
                </c:pt>
                <c:pt idx="28">
                  <c:v>0.30992141669265538</c:v>
                </c:pt>
                <c:pt idx="29">
                  <c:v>7.8199073013818232E-3</c:v>
                </c:pt>
                <c:pt idx="30">
                  <c:v>3.9508683522927468E-2</c:v>
                </c:pt>
              </c:numCache>
            </c:numRef>
          </c:xVal>
          <c:yVal>
            <c:numRef>
              <c:f>'Net-Zero Mandate'!$J$102:$J$132</c:f>
              <c:numCache>
                <c:formatCode>0.00%</c:formatCode>
                <c:ptCount val="3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32F-4014-A1E1-C3D25F6942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8358192"/>
        <c:axId val="688359152"/>
      </c:scatterChart>
      <c:valAx>
        <c:axId val="688358192"/>
        <c:scaling>
          <c:orientation val="minMax"/>
          <c:max val="0.35000000000000003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bg2">
                        <a:lumMod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400">
                    <a:solidFill>
                      <a:schemeClr val="bg2">
                        <a:lumMod val="25000"/>
                      </a:schemeClr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Cost of Mitigation in 2050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bg2">
                      <a:lumMod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%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bg2">
                <a:lumMod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bg2">
                    <a:lumMod val="2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88359152"/>
        <c:crossesAt val="-6"/>
        <c:crossBetween val="midCat"/>
        <c:majorUnit val="5.000000000000001E-2"/>
      </c:valAx>
      <c:valAx>
        <c:axId val="688359152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0" i="0" u="none" strike="noStrike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NPV Ratio to 100 Mt Baseline (%)</a:t>
                </a:r>
              </a:p>
            </c:rich>
          </c:tx>
          <c:layout>
            <c:manualLayout>
              <c:xMode val="edge"/>
              <c:yMode val="edge"/>
              <c:x val="9.1720299384585452E-3"/>
              <c:y val="0.2760695782342351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in"/>
        <c:minorTickMark val="none"/>
        <c:tickLblPos val="low"/>
        <c:spPr>
          <a:noFill/>
          <a:ln w="9525" cap="flat" cmpd="sng" algn="ctr">
            <a:solidFill>
              <a:schemeClr val="bg2">
                <a:lumMod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t" anchorCtr="0"/>
          <a:lstStyle/>
          <a:p>
            <a:pPr>
              <a:defRPr sz="1300" b="0" i="0" u="none" strike="noStrike" kern="1200" baseline="0">
                <a:solidFill>
                  <a:schemeClr val="bg2">
                    <a:lumMod val="2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88358192"/>
        <c:crossesAt val="-10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2516449303464594"/>
          <c:y val="1.0354894844266356E-2"/>
          <c:w val="0.35847707433483322"/>
          <c:h val="0.29509347654156204"/>
        </c:manualLayout>
      </c:layout>
      <c:overlay val="0"/>
      <c:spPr>
        <a:solidFill>
          <a:schemeClr val="bg1">
            <a:alpha val="50000"/>
          </a:schemeClr>
        </a:solidFill>
        <a:ln>
          <a:solidFill>
            <a:schemeClr val="bg2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chemeClr val="bg2">
                  <a:lumMod val="2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6081979924786658E-2"/>
          <c:y val="3.5891588464031364E-2"/>
          <c:w val="0.88782696583642939"/>
          <c:h val="0.89914732235457606"/>
        </c:manualLayout>
      </c:layout>
      <c:scatterChart>
        <c:scatterStyle val="lineMarker"/>
        <c:varyColors val="0"/>
        <c:ser>
          <c:idx val="0"/>
          <c:order val="0"/>
          <c:tx>
            <c:strRef>
              <c:f>'Net-Zero Mandate'!$E$35</c:f>
              <c:strCache>
                <c:ptCount val="1"/>
                <c:pt idx="0">
                  <c:v>Innovation Scenarios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19050">
                <a:solidFill>
                  <a:schemeClr val="accent1"/>
                </a:solidFill>
              </a:ln>
              <a:effectLst/>
            </c:spPr>
          </c:marker>
          <c:xVal>
            <c:numRef>
              <c:f>'Net-Zero Mandate'!$D$102:$D$132</c:f>
              <c:numCache>
                <c:formatCode>0.00%</c:formatCode>
                <c:ptCount val="31"/>
                <c:pt idx="0">
                  <c:v>0</c:v>
                </c:pt>
                <c:pt idx="1">
                  <c:v>1.0644545520472448E-2</c:v>
                </c:pt>
                <c:pt idx="2">
                  <c:v>1.9307500550778789E-2</c:v>
                </c:pt>
                <c:pt idx="3">
                  <c:v>1.0561718679330978E-2</c:v>
                </c:pt>
                <c:pt idx="4">
                  <c:v>-3.5505216962306463E-2</c:v>
                </c:pt>
                <c:pt idx="5">
                  <c:v>1.2916266583007374E-2</c:v>
                </c:pt>
                <c:pt idx="6">
                  <c:v>1.0368295287968898E-2</c:v>
                </c:pt>
                <c:pt idx="7">
                  <c:v>6.028874409642615E-3</c:v>
                </c:pt>
                <c:pt idx="8">
                  <c:v>8.6785676172369541E-3</c:v>
                </c:pt>
                <c:pt idx="9">
                  <c:v>7.9536652884248937E-3</c:v>
                </c:pt>
                <c:pt idx="10">
                  <c:v>1.3462435030650033E-2</c:v>
                </c:pt>
                <c:pt idx="11">
                  <c:v>8.799150970965508E-3</c:v>
                </c:pt>
                <c:pt idx="12">
                  <c:v>1.7531058139190758E-3</c:v>
                </c:pt>
                <c:pt idx="13">
                  <c:v>9.890681049470551E-3</c:v>
                </c:pt>
                <c:pt idx="14">
                  <c:v>1.573425906758108E-2</c:v>
                </c:pt>
                <c:pt idx="15">
                  <c:v>9.8615793669942775E-3</c:v>
                </c:pt>
                <c:pt idx="16">
                  <c:v>1.6667279937599533E-2</c:v>
                </c:pt>
                <c:pt idx="17">
                  <c:v>-4.0784874285260897E-2</c:v>
                </c:pt>
                <c:pt idx="18">
                  <c:v>3.2111903006877052E-2</c:v>
                </c:pt>
                <c:pt idx="19">
                  <c:v>3.0034551655996999E-2</c:v>
                </c:pt>
                <c:pt idx="20">
                  <c:v>1.661132846933655E-2</c:v>
                </c:pt>
                <c:pt idx="21">
                  <c:v>-1.6392791573464072E-3</c:v>
                </c:pt>
                <c:pt idx="22">
                  <c:v>2.5921629907545318E-2</c:v>
                </c:pt>
                <c:pt idx="23">
                  <c:v>5.2812324074540395E-3</c:v>
                </c:pt>
                <c:pt idx="24">
                  <c:v>1.1236011741936558E-2</c:v>
                </c:pt>
                <c:pt idx="25">
                  <c:v>4.3829892274163118E-3</c:v>
                </c:pt>
                <c:pt idx="26">
                  <c:v>1.5607277067723579E-2</c:v>
                </c:pt>
                <c:pt idx="27">
                  <c:v>-2.1957027168099885E-2</c:v>
                </c:pt>
                <c:pt idx="28">
                  <c:v>0.30992141669265538</c:v>
                </c:pt>
                <c:pt idx="29">
                  <c:v>7.8199073013818232E-3</c:v>
                </c:pt>
                <c:pt idx="30">
                  <c:v>3.9508683522927468E-2</c:v>
                </c:pt>
              </c:numCache>
            </c:numRef>
          </c:xVal>
          <c:yVal>
            <c:numRef>
              <c:f>'Net-Zero Mandate'!$E$102:$E$132</c:f>
              <c:numCache>
                <c:formatCode>0.00%</c:formatCode>
                <c:ptCount val="31"/>
                <c:pt idx="5">
                  <c:v>2.7008441535348204E-2</c:v>
                </c:pt>
                <c:pt idx="6">
                  <c:v>2.1571817735793752E-2</c:v>
                </c:pt>
                <c:pt idx="7">
                  <c:v>2.6245176951359195E-2</c:v>
                </c:pt>
                <c:pt idx="8">
                  <c:v>2.2688515776797979E-2</c:v>
                </c:pt>
                <c:pt idx="9">
                  <c:v>2.2661320247214567E-2</c:v>
                </c:pt>
                <c:pt idx="19">
                  <c:v>5.3296609238066894E-2</c:v>
                </c:pt>
                <c:pt idx="20">
                  <c:v>4.5335644882663839E-2</c:v>
                </c:pt>
                <c:pt idx="21">
                  <c:v>4.4784412514509597E-2</c:v>
                </c:pt>
                <c:pt idx="22">
                  <c:v>4.5592785399058089E-2</c:v>
                </c:pt>
                <c:pt idx="23">
                  <c:v>4.3713335257698827E-2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F8-4E1A-A795-4BF49B2488CA}"/>
            </c:ext>
          </c:extLst>
        </c:ser>
        <c:ser>
          <c:idx val="1"/>
          <c:order val="1"/>
          <c:tx>
            <c:strRef>
              <c:f>'Net-Zero Mandate'!$F$35</c:f>
              <c:strCache>
                <c:ptCount val="1"/>
                <c:pt idx="0">
                  <c:v>Subsidy Scenarios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19050">
                <a:solidFill>
                  <a:schemeClr val="accent2"/>
                </a:solidFill>
              </a:ln>
              <a:effectLst/>
            </c:spPr>
          </c:marker>
          <c:xVal>
            <c:numRef>
              <c:f>'Net-Zero Mandate'!$D$102:$D$132</c:f>
              <c:numCache>
                <c:formatCode>0.00%</c:formatCode>
                <c:ptCount val="31"/>
                <c:pt idx="0">
                  <c:v>0</c:v>
                </c:pt>
                <c:pt idx="1">
                  <c:v>1.0644545520472448E-2</c:v>
                </c:pt>
                <c:pt idx="2">
                  <c:v>1.9307500550778789E-2</c:v>
                </c:pt>
                <c:pt idx="3">
                  <c:v>1.0561718679330978E-2</c:v>
                </c:pt>
                <c:pt idx="4">
                  <c:v>-3.5505216962306463E-2</c:v>
                </c:pt>
                <c:pt idx="5">
                  <c:v>1.2916266583007374E-2</c:v>
                </c:pt>
                <c:pt idx="6">
                  <c:v>1.0368295287968898E-2</c:v>
                </c:pt>
                <c:pt idx="7">
                  <c:v>6.028874409642615E-3</c:v>
                </c:pt>
                <c:pt idx="8">
                  <c:v>8.6785676172369541E-3</c:v>
                </c:pt>
                <c:pt idx="9">
                  <c:v>7.9536652884248937E-3</c:v>
                </c:pt>
                <c:pt idx="10">
                  <c:v>1.3462435030650033E-2</c:v>
                </c:pt>
                <c:pt idx="11">
                  <c:v>8.799150970965508E-3</c:v>
                </c:pt>
                <c:pt idx="12">
                  <c:v>1.7531058139190758E-3</c:v>
                </c:pt>
                <c:pt idx="13">
                  <c:v>9.890681049470551E-3</c:v>
                </c:pt>
                <c:pt idx="14">
                  <c:v>1.573425906758108E-2</c:v>
                </c:pt>
                <c:pt idx="15">
                  <c:v>9.8615793669942775E-3</c:v>
                </c:pt>
                <c:pt idx="16">
                  <c:v>1.6667279937599533E-2</c:v>
                </c:pt>
                <c:pt idx="17">
                  <c:v>-4.0784874285260897E-2</c:v>
                </c:pt>
                <c:pt idx="18">
                  <c:v>3.2111903006877052E-2</c:v>
                </c:pt>
                <c:pt idx="19">
                  <c:v>3.0034551655996999E-2</c:v>
                </c:pt>
                <c:pt idx="20">
                  <c:v>1.661132846933655E-2</c:v>
                </c:pt>
                <c:pt idx="21">
                  <c:v>-1.6392791573464072E-3</c:v>
                </c:pt>
                <c:pt idx="22">
                  <c:v>2.5921629907545318E-2</c:v>
                </c:pt>
                <c:pt idx="23">
                  <c:v>5.2812324074540395E-3</c:v>
                </c:pt>
                <c:pt idx="24">
                  <c:v>1.1236011741936558E-2</c:v>
                </c:pt>
                <c:pt idx="25">
                  <c:v>4.3829892274163118E-3</c:v>
                </c:pt>
                <c:pt idx="26">
                  <c:v>1.5607277067723579E-2</c:v>
                </c:pt>
                <c:pt idx="27">
                  <c:v>-2.1957027168099885E-2</c:v>
                </c:pt>
                <c:pt idx="28">
                  <c:v>0.30992141669265538</c:v>
                </c:pt>
                <c:pt idx="29">
                  <c:v>7.8199073013818232E-3</c:v>
                </c:pt>
                <c:pt idx="30">
                  <c:v>3.9508683522927468E-2</c:v>
                </c:pt>
              </c:numCache>
            </c:numRef>
          </c:xVal>
          <c:yVal>
            <c:numRef>
              <c:f>'Net-Zero Mandate'!$F$102:$F$132</c:f>
              <c:numCache>
                <c:formatCode>0.00%</c:formatCode>
                <c:ptCount val="31"/>
                <c:pt idx="1">
                  <c:v>2.8903795027540591E-2</c:v>
                </c:pt>
                <c:pt idx="2">
                  <c:v>3.4874207486603748E-2</c:v>
                </c:pt>
                <c:pt idx="3">
                  <c:v>3.1103255235124028E-2</c:v>
                </c:pt>
                <c:pt idx="4">
                  <c:v>2.1524149722820241E-3</c:v>
                </c:pt>
                <c:pt idx="14">
                  <c:v>5.5771061676000988E-2</c:v>
                </c:pt>
                <c:pt idx="15">
                  <c:v>6.3515173295772831E-2</c:v>
                </c:pt>
                <c:pt idx="16">
                  <c:v>5.9810976655155557E-2</c:v>
                </c:pt>
                <c:pt idx="17">
                  <c:v>7.4400039776509885E-3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0F8-4E1A-A795-4BF49B2488CA}"/>
            </c:ext>
          </c:extLst>
        </c:ser>
        <c:ser>
          <c:idx val="2"/>
          <c:order val="2"/>
          <c:tx>
            <c:strRef>
              <c:f>'Net-Zero Mandate'!$G$35</c:f>
              <c:strCache>
                <c:ptCount val="1"/>
                <c:pt idx="0">
                  <c:v>Procurement Scenarios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19050">
                <a:solidFill>
                  <a:schemeClr val="accent3"/>
                </a:solidFill>
              </a:ln>
              <a:effectLst/>
            </c:spPr>
          </c:marker>
          <c:xVal>
            <c:numRef>
              <c:f>'Net-Zero Mandate'!$D$102:$D$132</c:f>
              <c:numCache>
                <c:formatCode>0.00%</c:formatCode>
                <c:ptCount val="31"/>
                <c:pt idx="0">
                  <c:v>0</c:v>
                </c:pt>
                <c:pt idx="1">
                  <c:v>1.0644545520472448E-2</c:v>
                </c:pt>
                <c:pt idx="2">
                  <c:v>1.9307500550778789E-2</c:v>
                </c:pt>
                <c:pt idx="3">
                  <c:v>1.0561718679330978E-2</c:v>
                </c:pt>
                <c:pt idx="4">
                  <c:v>-3.5505216962306463E-2</c:v>
                </c:pt>
                <c:pt idx="5">
                  <c:v>1.2916266583007374E-2</c:v>
                </c:pt>
                <c:pt idx="6">
                  <c:v>1.0368295287968898E-2</c:v>
                </c:pt>
                <c:pt idx="7">
                  <c:v>6.028874409642615E-3</c:v>
                </c:pt>
                <c:pt idx="8">
                  <c:v>8.6785676172369541E-3</c:v>
                </c:pt>
                <c:pt idx="9">
                  <c:v>7.9536652884248937E-3</c:v>
                </c:pt>
                <c:pt idx="10">
                  <c:v>1.3462435030650033E-2</c:v>
                </c:pt>
                <c:pt idx="11">
                  <c:v>8.799150970965508E-3</c:v>
                </c:pt>
                <c:pt idx="12">
                  <c:v>1.7531058139190758E-3</c:v>
                </c:pt>
                <c:pt idx="13">
                  <c:v>9.890681049470551E-3</c:v>
                </c:pt>
                <c:pt idx="14">
                  <c:v>1.573425906758108E-2</c:v>
                </c:pt>
                <c:pt idx="15">
                  <c:v>9.8615793669942775E-3</c:v>
                </c:pt>
                <c:pt idx="16">
                  <c:v>1.6667279937599533E-2</c:v>
                </c:pt>
                <c:pt idx="17">
                  <c:v>-4.0784874285260897E-2</c:v>
                </c:pt>
                <c:pt idx="18">
                  <c:v>3.2111903006877052E-2</c:v>
                </c:pt>
                <c:pt idx="19">
                  <c:v>3.0034551655996999E-2</c:v>
                </c:pt>
                <c:pt idx="20">
                  <c:v>1.661132846933655E-2</c:v>
                </c:pt>
                <c:pt idx="21">
                  <c:v>-1.6392791573464072E-3</c:v>
                </c:pt>
                <c:pt idx="22">
                  <c:v>2.5921629907545318E-2</c:v>
                </c:pt>
                <c:pt idx="23">
                  <c:v>5.2812324074540395E-3</c:v>
                </c:pt>
                <c:pt idx="24">
                  <c:v>1.1236011741936558E-2</c:v>
                </c:pt>
                <c:pt idx="25">
                  <c:v>4.3829892274163118E-3</c:v>
                </c:pt>
                <c:pt idx="26">
                  <c:v>1.5607277067723579E-2</c:v>
                </c:pt>
                <c:pt idx="27">
                  <c:v>-2.1957027168099885E-2</c:v>
                </c:pt>
                <c:pt idx="28">
                  <c:v>0.30992141669265538</c:v>
                </c:pt>
                <c:pt idx="29">
                  <c:v>7.8199073013818232E-3</c:v>
                </c:pt>
                <c:pt idx="30">
                  <c:v>3.9508683522927468E-2</c:v>
                </c:pt>
              </c:numCache>
            </c:numRef>
          </c:xVal>
          <c:yVal>
            <c:numRef>
              <c:f>'Net-Zero Mandate'!$G$102:$G$132</c:f>
              <c:numCache>
                <c:formatCode>0.00%</c:formatCode>
                <c:ptCount val="31"/>
                <c:pt idx="11">
                  <c:v>3.6978517075664463E-2</c:v>
                </c:pt>
                <c:pt idx="12">
                  <c:v>0.15910771167551552</c:v>
                </c:pt>
                <c:pt idx="13">
                  <c:v>2.7500134230232787E-2</c:v>
                </c:pt>
                <c:pt idx="24">
                  <c:v>5.8662341319144273E-2</c:v>
                </c:pt>
                <c:pt idx="25">
                  <c:v>0.17146419690437154</c:v>
                </c:pt>
                <c:pt idx="26">
                  <c:v>5.0354123932588202E-2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0F8-4E1A-A795-4BF49B2488CA}"/>
            </c:ext>
          </c:extLst>
        </c:ser>
        <c:ser>
          <c:idx val="3"/>
          <c:order val="3"/>
          <c:tx>
            <c:strRef>
              <c:f>'Net-Zero Mandate'!$H$35</c:f>
              <c:strCache>
                <c:ptCount val="1"/>
                <c:pt idx="0">
                  <c:v>Optimal Scenarios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19050">
                <a:solidFill>
                  <a:schemeClr val="accent4"/>
                </a:solidFill>
              </a:ln>
              <a:effectLst/>
            </c:spPr>
          </c:marker>
          <c:xVal>
            <c:numRef>
              <c:f>'Net-Zero Mandate'!$D$102:$D$132</c:f>
              <c:numCache>
                <c:formatCode>0.00%</c:formatCode>
                <c:ptCount val="31"/>
                <c:pt idx="0">
                  <c:v>0</c:v>
                </c:pt>
                <c:pt idx="1">
                  <c:v>1.0644545520472448E-2</c:v>
                </c:pt>
                <c:pt idx="2">
                  <c:v>1.9307500550778789E-2</c:v>
                </c:pt>
                <c:pt idx="3">
                  <c:v>1.0561718679330978E-2</c:v>
                </c:pt>
                <c:pt idx="4">
                  <c:v>-3.5505216962306463E-2</c:v>
                </c:pt>
                <c:pt idx="5">
                  <c:v>1.2916266583007374E-2</c:v>
                </c:pt>
                <c:pt idx="6">
                  <c:v>1.0368295287968898E-2</c:v>
                </c:pt>
                <c:pt idx="7">
                  <c:v>6.028874409642615E-3</c:v>
                </c:pt>
                <c:pt idx="8">
                  <c:v>8.6785676172369541E-3</c:v>
                </c:pt>
                <c:pt idx="9">
                  <c:v>7.9536652884248937E-3</c:v>
                </c:pt>
                <c:pt idx="10">
                  <c:v>1.3462435030650033E-2</c:v>
                </c:pt>
                <c:pt idx="11">
                  <c:v>8.799150970965508E-3</c:v>
                </c:pt>
                <c:pt idx="12">
                  <c:v>1.7531058139190758E-3</c:v>
                </c:pt>
                <c:pt idx="13">
                  <c:v>9.890681049470551E-3</c:v>
                </c:pt>
                <c:pt idx="14">
                  <c:v>1.573425906758108E-2</c:v>
                </c:pt>
                <c:pt idx="15">
                  <c:v>9.8615793669942775E-3</c:v>
                </c:pt>
                <c:pt idx="16">
                  <c:v>1.6667279937599533E-2</c:v>
                </c:pt>
                <c:pt idx="17">
                  <c:v>-4.0784874285260897E-2</c:v>
                </c:pt>
                <c:pt idx="18">
                  <c:v>3.2111903006877052E-2</c:v>
                </c:pt>
                <c:pt idx="19">
                  <c:v>3.0034551655996999E-2</c:v>
                </c:pt>
                <c:pt idx="20">
                  <c:v>1.661132846933655E-2</c:v>
                </c:pt>
                <c:pt idx="21">
                  <c:v>-1.6392791573464072E-3</c:v>
                </c:pt>
                <c:pt idx="22">
                  <c:v>2.5921629907545318E-2</c:v>
                </c:pt>
                <c:pt idx="23">
                  <c:v>5.2812324074540395E-3</c:v>
                </c:pt>
                <c:pt idx="24">
                  <c:v>1.1236011741936558E-2</c:v>
                </c:pt>
                <c:pt idx="25">
                  <c:v>4.3829892274163118E-3</c:v>
                </c:pt>
                <c:pt idx="26">
                  <c:v>1.5607277067723579E-2</c:v>
                </c:pt>
                <c:pt idx="27">
                  <c:v>-2.1957027168099885E-2</c:v>
                </c:pt>
                <c:pt idx="28">
                  <c:v>0.30992141669265538</c:v>
                </c:pt>
                <c:pt idx="29">
                  <c:v>7.8199073013818232E-3</c:v>
                </c:pt>
                <c:pt idx="30">
                  <c:v>3.9508683522927468E-2</c:v>
                </c:pt>
              </c:numCache>
            </c:numRef>
          </c:xVal>
          <c:yVal>
            <c:numRef>
              <c:f>'Net-Zero Mandate'!$H$102:$H$132</c:f>
              <c:numCache>
                <c:formatCode>0.00%</c:formatCode>
                <c:ptCount val="31"/>
                <c:pt idx="29">
                  <c:v>2.9431186683917199E-2</c:v>
                </c:pt>
                <c:pt idx="30">
                  <c:v>4.983300307605032E-2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0F8-4E1A-A795-4BF49B2488CA}"/>
            </c:ext>
          </c:extLst>
        </c:ser>
        <c:ser>
          <c:idx val="4"/>
          <c:order val="4"/>
          <c:tx>
            <c:strRef>
              <c:f>'Net-Zero Mandate'!$I$35</c:f>
              <c:strCache>
                <c:ptCount val="1"/>
                <c:pt idx="0">
                  <c:v>Baseline Pathways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19050">
                <a:solidFill>
                  <a:schemeClr val="accent5"/>
                </a:solidFill>
              </a:ln>
              <a:effectLst/>
            </c:spPr>
          </c:marker>
          <c:xVal>
            <c:numRef>
              <c:f>'Net-Zero Mandate'!$D$102:$D$132</c:f>
              <c:numCache>
                <c:formatCode>0.00%</c:formatCode>
                <c:ptCount val="31"/>
                <c:pt idx="0">
                  <c:v>0</c:v>
                </c:pt>
                <c:pt idx="1">
                  <c:v>1.0644545520472448E-2</c:v>
                </c:pt>
                <c:pt idx="2">
                  <c:v>1.9307500550778789E-2</c:v>
                </c:pt>
                <c:pt idx="3">
                  <c:v>1.0561718679330978E-2</c:v>
                </c:pt>
                <c:pt idx="4">
                  <c:v>-3.5505216962306463E-2</c:v>
                </c:pt>
                <c:pt idx="5">
                  <c:v>1.2916266583007374E-2</c:v>
                </c:pt>
                <c:pt idx="6">
                  <c:v>1.0368295287968898E-2</c:v>
                </c:pt>
                <c:pt idx="7">
                  <c:v>6.028874409642615E-3</c:v>
                </c:pt>
                <c:pt idx="8">
                  <c:v>8.6785676172369541E-3</c:v>
                </c:pt>
                <c:pt idx="9">
                  <c:v>7.9536652884248937E-3</c:v>
                </c:pt>
                <c:pt idx="10">
                  <c:v>1.3462435030650033E-2</c:v>
                </c:pt>
                <c:pt idx="11">
                  <c:v>8.799150970965508E-3</c:v>
                </c:pt>
                <c:pt idx="12">
                  <c:v>1.7531058139190758E-3</c:v>
                </c:pt>
                <c:pt idx="13">
                  <c:v>9.890681049470551E-3</c:v>
                </c:pt>
                <c:pt idx="14">
                  <c:v>1.573425906758108E-2</c:v>
                </c:pt>
                <c:pt idx="15">
                  <c:v>9.8615793669942775E-3</c:v>
                </c:pt>
                <c:pt idx="16">
                  <c:v>1.6667279937599533E-2</c:v>
                </c:pt>
                <c:pt idx="17">
                  <c:v>-4.0784874285260897E-2</c:v>
                </c:pt>
                <c:pt idx="18">
                  <c:v>3.2111903006877052E-2</c:v>
                </c:pt>
                <c:pt idx="19">
                  <c:v>3.0034551655996999E-2</c:v>
                </c:pt>
                <c:pt idx="20">
                  <c:v>1.661132846933655E-2</c:v>
                </c:pt>
                <c:pt idx="21">
                  <c:v>-1.6392791573464072E-3</c:v>
                </c:pt>
                <c:pt idx="22">
                  <c:v>2.5921629907545318E-2</c:v>
                </c:pt>
                <c:pt idx="23">
                  <c:v>5.2812324074540395E-3</c:v>
                </c:pt>
                <c:pt idx="24">
                  <c:v>1.1236011741936558E-2</c:v>
                </c:pt>
                <c:pt idx="25">
                  <c:v>4.3829892274163118E-3</c:v>
                </c:pt>
                <c:pt idx="26">
                  <c:v>1.5607277067723579E-2</c:v>
                </c:pt>
                <c:pt idx="27">
                  <c:v>-2.1957027168099885E-2</c:v>
                </c:pt>
                <c:pt idx="28">
                  <c:v>0.30992141669265538</c:v>
                </c:pt>
                <c:pt idx="29">
                  <c:v>7.8199073013818232E-3</c:v>
                </c:pt>
                <c:pt idx="30">
                  <c:v>3.9508683522927468E-2</c:v>
                </c:pt>
              </c:numCache>
            </c:numRef>
          </c:xVal>
          <c:yVal>
            <c:numRef>
              <c:f>'Net-Zero Mandate'!$I$102:$I$132</c:f>
              <c:numCache>
                <c:formatCode>0.00%</c:formatCode>
                <c:ptCount val="31"/>
                <c:pt idx="10">
                  <c:v>2.1469395795524315E-2</c:v>
                </c:pt>
                <c:pt idx="18">
                  <c:v>4.830102347859988E-2</c:v>
                </c:pt>
                <c:pt idx="27">
                  <c:v>6.0359049607894066E-2</c:v>
                </c:pt>
                <c:pt idx="28">
                  <c:v>8.7254683546111433E-2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0F8-4E1A-A795-4BF49B2488CA}"/>
            </c:ext>
          </c:extLst>
        </c:ser>
        <c:ser>
          <c:idx val="5"/>
          <c:order val="5"/>
          <c:tx>
            <c:strRef>
              <c:f>'Net-Zero Mandate'!$J$35</c:f>
              <c:strCache>
                <c:ptCount val="1"/>
                <c:pt idx="0">
                  <c:v>100 Mt Baseline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19050">
                <a:solidFill>
                  <a:schemeClr val="accent6"/>
                </a:solidFill>
              </a:ln>
              <a:effectLst/>
            </c:spPr>
          </c:marker>
          <c:xVal>
            <c:numRef>
              <c:f>'Net-Zero Mandate'!$D$102:$D$132</c:f>
              <c:numCache>
                <c:formatCode>0.00%</c:formatCode>
                <c:ptCount val="31"/>
                <c:pt idx="0">
                  <c:v>0</c:v>
                </c:pt>
                <c:pt idx="1">
                  <c:v>1.0644545520472448E-2</c:v>
                </c:pt>
                <c:pt idx="2">
                  <c:v>1.9307500550778789E-2</c:v>
                </c:pt>
                <c:pt idx="3">
                  <c:v>1.0561718679330978E-2</c:v>
                </c:pt>
                <c:pt idx="4">
                  <c:v>-3.5505216962306463E-2</c:v>
                </c:pt>
                <c:pt idx="5">
                  <c:v>1.2916266583007374E-2</c:v>
                </c:pt>
                <c:pt idx="6">
                  <c:v>1.0368295287968898E-2</c:v>
                </c:pt>
                <c:pt idx="7">
                  <c:v>6.028874409642615E-3</c:v>
                </c:pt>
                <c:pt idx="8">
                  <c:v>8.6785676172369541E-3</c:v>
                </c:pt>
                <c:pt idx="9">
                  <c:v>7.9536652884248937E-3</c:v>
                </c:pt>
                <c:pt idx="10">
                  <c:v>1.3462435030650033E-2</c:v>
                </c:pt>
                <c:pt idx="11">
                  <c:v>8.799150970965508E-3</c:v>
                </c:pt>
                <c:pt idx="12">
                  <c:v>1.7531058139190758E-3</c:v>
                </c:pt>
                <c:pt idx="13">
                  <c:v>9.890681049470551E-3</c:v>
                </c:pt>
                <c:pt idx="14">
                  <c:v>1.573425906758108E-2</c:v>
                </c:pt>
                <c:pt idx="15">
                  <c:v>9.8615793669942775E-3</c:v>
                </c:pt>
                <c:pt idx="16">
                  <c:v>1.6667279937599533E-2</c:v>
                </c:pt>
                <c:pt idx="17">
                  <c:v>-4.0784874285260897E-2</c:v>
                </c:pt>
                <c:pt idx="18">
                  <c:v>3.2111903006877052E-2</c:v>
                </c:pt>
                <c:pt idx="19">
                  <c:v>3.0034551655996999E-2</c:v>
                </c:pt>
                <c:pt idx="20">
                  <c:v>1.661132846933655E-2</c:v>
                </c:pt>
                <c:pt idx="21">
                  <c:v>-1.6392791573464072E-3</c:v>
                </c:pt>
                <c:pt idx="22">
                  <c:v>2.5921629907545318E-2</c:v>
                </c:pt>
                <c:pt idx="23">
                  <c:v>5.2812324074540395E-3</c:v>
                </c:pt>
                <c:pt idx="24">
                  <c:v>1.1236011741936558E-2</c:v>
                </c:pt>
                <c:pt idx="25">
                  <c:v>4.3829892274163118E-3</c:v>
                </c:pt>
                <c:pt idx="26">
                  <c:v>1.5607277067723579E-2</c:v>
                </c:pt>
                <c:pt idx="27">
                  <c:v>-2.1957027168099885E-2</c:v>
                </c:pt>
                <c:pt idx="28">
                  <c:v>0.30992141669265538</c:v>
                </c:pt>
                <c:pt idx="29">
                  <c:v>7.8199073013818232E-3</c:v>
                </c:pt>
                <c:pt idx="30">
                  <c:v>3.9508683522927468E-2</c:v>
                </c:pt>
              </c:numCache>
            </c:numRef>
          </c:xVal>
          <c:yVal>
            <c:numRef>
              <c:f>'Net-Zero Mandate'!$J$102:$J$132</c:f>
              <c:numCache>
                <c:formatCode>0.00%</c:formatCode>
                <c:ptCount val="3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0F8-4E1A-A795-4BF49B2488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8358192"/>
        <c:axId val="688359152"/>
      </c:scatterChart>
      <c:valAx>
        <c:axId val="688358192"/>
        <c:scaling>
          <c:orientation val="minMax"/>
          <c:max val="4.0000000000000008E-2"/>
          <c:min val="-1.0000000000000002E-2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%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bg2">
                <a:lumMod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bg2">
                    <a:lumMod val="2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88359152"/>
        <c:crossesAt val="-6"/>
        <c:crossBetween val="midCat"/>
        <c:majorUnit val="1.0000000000000002E-2"/>
      </c:valAx>
      <c:valAx>
        <c:axId val="688359152"/>
        <c:scaling>
          <c:orientation val="minMax"/>
          <c:max val="7.0000000000000007E-2"/>
          <c:min val="2.0000000000000004E-2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%" sourceLinked="0"/>
        <c:majorTickMark val="in"/>
        <c:minorTickMark val="none"/>
        <c:tickLblPos val="low"/>
        <c:spPr>
          <a:noFill/>
          <a:ln w="9525" cap="flat" cmpd="sng" algn="ctr">
            <a:solidFill>
              <a:schemeClr val="bg2">
                <a:lumMod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t" anchorCtr="0"/>
          <a:lstStyle/>
          <a:p>
            <a:pPr>
              <a:defRPr sz="1300" b="0" i="0" u="none" strike="noStrike" kern="1200" baseline="0">
                <a:solidFill>
                  <a:schemeClr val="bg2">
                    <a:lumMod val="2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88358192"/>
        <c:crossesAt val="-10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  <cx:data id="1">
      <cx:strDim type="cat">
        <cx:f>_xlchart.v1.0</cx:f>
      </cx:strDim>
      <cx:numDim type="val">
        <cx:f>_xlchart.v1.4</cx:f>
      </cx:numDim>
    </cx:data>
    <cx:data id="2">
      <cx:strDim type="cat">
        <cx:f>_xlchart.v1.0</cx:f>
      </cx:strDim>
      <cx:numDim type="val">
        <cx:f>_xlchart.v1.6</cx:f>
      </cx:numDim>
    </cx:data>
    <cx:data id="3">
      <cx:strDim type="cat">
        <cx:f>_xlchart.v1.0</cx:f>
      </cx:strDim>
      <cx:numDim type="val">
        <cx:f>_xlchart.v1.8</cx:f>
      </cx:numDim>
    </cx:data>
  </cx:chartData>
  <cx:chart>
    <cx:plotArea>
      <cx:plotAreaRegion>
        <cx:series layoutId="boxWhisker" uniqueId="{D7DDA11E-BB64-49A4-92FD-2B8AA1488A96}">
          <cx:tx>
            <cx:txData>
              <cx:f>_xlchart.v1.1</cx:f>
              <cx:v>2% Discount Rate</cx:v>
            </cx:txData>
          </cx:tx>
          <cx:spPr>
            <a:solidFill>
              <a:srgbClr val="0047BB"/>
            </a:solidFill>
            <a:ln>
              <a:solidFill>
                <a:srgbClr val="00102A"/>
              </a:solidFill>
            </a:ln>
          </cx:spPr>
          <cx:dataId val="0"/>
          <cx:layoutPr>
            <cx:statistics quartileMethod="exclusive"/>
          </cx:layoutPr>
        </cx:series>
        <cx:series layoutId="boxWhisker" uniqueId="{BB2DC20C-048A-490D-AB65-11229C93ACF2}">
          <cx:tx>
            <cx:txData>
              <cx:f>_xlchart.v1.3</cx:f>
              <cx:v>12% Discount Rate</cx:v>
            </cx:txData>
          </cx:tx>
          <cx:spPr>
            <a:solidFill>
              <a:srgbClr val="00B5E2"/>
            </a:solidFill>
            <a:ln>
              <a:solidFill>
                <a:srgbClr val="004E60"/>
              </a:solidFill>
            </a:ln>
          </cx:spPr>
          <cx:dataId val="1"/>
          <cx:layoutPr>
            <cx:statistics quartileMethod="exclusive"/>
          </cx:layoutPr>
        </cx:series>
        <cx:series layoutId="boxWhisker" uniqueId="{14FA6E2F-A765-43AD-9556-AF6C2D89BCF9}">
          <cx:tx>
            <cx:txData>
              <cx:f>_xlchart.v1.5</cx:f>
              <cx:v>20% Discount Rate</cx:v>
            </cx:txData>
          </cx:tx>
          <cx:spPr>
            <a:solidFill>
              <a:srgbClr val="75246C"/>
            </a:solidFill>
            <a:ln>
              <a:solidFill>
                <a:srgbClr val="3A1235"/>
              </a:solidFill>
            </a:ln>
          </cx:spPr>
          <cx:dataId val="2"/>
          <cx:layoutPr>
            <cx:statistics quartileMethod="exclusive"/>
          </cx:layoutPr>
        </cx:series>
        <cx:series layoutId="boxWhisker" uniqueId="{4D230C2F-DE91-4B48-8F0B-69AF37FBC6D6}">
          <cx:tx>
            <cx:txData>
              <cx:f>_xlchart.v1.7</cx:f>
              <cx:v>Cost of Mitigation in 2050</cx:v>
            </cx:txData>
          </cx:tx>
          <cx:spPr>
            <a:solidFill>
              <a:srgbClr val="00AE8D"/>
            </a:solidFill>
            <a:ln>
              <a:solidFill>
                <a:srgbClr val="005041"/>
              </a:solidFill>
            </a:ln>
          </cx:spPr>
          <cx:dataId val="3"/>
          <cx:layoutPr>
            <cx:statistics quartileMethod="exclusive"/>
          </cx:layoutPr>
        </cx:series>
      </cx:plotAreaRegion>
      <cx:axis id="0">
        <cx:catScaling gapWidth="0.349999994"/>
        <cx:title>
          <cx:tx>
            <cx:txData>
              <cx:v>CDR Supply in 2050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400">
                  <a:solidFill>
                    <a:schemeClr val="tx1">
                      <a:lumMod val="85000"/>
                      <a:lumOff val="15000"/>
                    </a:schemeClr>
                  </a:solidFill>
                  <a:latin typeface="Arial" panose="020B0604020202020204" pitchFamily="34" charset="0"/>
                  <a:ea typeface="Arial" panose="020B0604020202020204" pitchFamily="34" charset="0"/>
                  <a:cs typeface="Arial" panose="020B0604020202020204" pitchFamily="34" charset="0"/>
                </a:defRPr>
              </a:pPr>
              <a:r>
                <a:rPr lang="en-US" sz="1400" b="0" i="0" u="none" strike="noStrike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CDR Supply in 2050</a:t>
              </a:r>
            </a:p>
          </cx:txPr>
        </cx:title>
        <cx:majorTickMarks type="in"/>
        <cx:tickLabels/>
        <cx:spPr>
          <a:ln>
            <a:solidFill>
              <a:schemeClr val="bg2">
                <a:lumMod val="25000"/>
              </a:schemeClr>
            </a:solidFill>
          </a:ln>
        </cx:spPr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300">
                <a:solidFill>
                  <a:schemeClr val="tx1">
                    <a:lumMod val="85000"/>
                    <a:lumOff val="15000"/>
                  </a:schemeClr>
                </a:solidFill>
                <a:latin typeface="Arial" panose="020B0604020202020204" pitchFamily="34" charset="0"/>
                <a:ea typeface="Arial" panose="020B0604020202020204" pitchFamily="34" charset="0"/>
                <a:cs typeface="Arial" panose="020B0604020202020204" pitchFamily="34" charset="0"/>
              </a:defRPr>
            </a:pPr>
            <a:endParaRPr lang="en-US" sz="1300" b="0" i="0" u="none" strike="noStrike" baseline="0">
              <a:solidFill>
                <a:schemeClr val="tx1">
                  <a:lumMod val="85000"/>
                  <a:lumOff val="1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x:txPr>
      </cx:axis>
      <cx:axis id="1">
        <cx:valScaling min="-0.05000000000000001"/>
        <cx:title>
          <cx:tx>
            <cx:txData>
              <cx:v>NPV Ratio to 100 Mt Baseline (%)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500">
                  <a:solidFill>
                    <a:schemeClr val="tx1">
                      <a:lumMod val="85000"/>
                      <a:lumOff val="15000"/>
                    </a:schemeClr>
                  </a:solidFill>
                  <a:latin typeface="Arial" panose="020B0604020202020204" pitchFamily="34" charset="0"/>
                  <a:ea typeface="Arial" panose="020B0604020202020204" pitchFamily="34" charset="0"/>
                  <a:cs typeface="Arial" panose="020B0604020202020204" pitchFamily="34" charset="0"/>
                </a:defRPr>
              </a:pPr>
              <a:r>
                <a:rPr lang="en-US" sz="1200" b="0" i="0" u="none" strike="noStrike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NPV Ratio to 100 Mt Baseline (%)</a:t>
              </a:r>
            </a:p>
          </cx:txPr>
        </cx:title>
        <cx:majorGridlines>
          <cx:spPr>
            <a:ln>
              <a:noFill/>
            </a:ln>
          </cx:spPr>
        </cx:majorGridlines>
        <cx:majorTickMarks type="in"/>
        <cx:tickLabels/>
        <cx:numFmt formatCode="0%" sourceLinked="0"/>
        <cx:spPr>
          <a:ln>
            <a:solidFill>
              <a:schemeClr val="bg2">
                <a:lumMod val="25000"/>
              </a:schemeClr>
            </a:solidFill>
          </a:ln>
        </cx:spPr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300">
                <a:solidFill>
                  <a:schemeClr val="tx1">
                    <a:lumMod val="85000"/>
                    <a:lumOff val="15000"/>
                  </a:schemeClr>
                </a:solidFill>
                <a:latin typeface="Arial" panose="020B0604020202020204" pitchFamily="34" charset="0"/>
                <a:ea typeface="Arial" panose="020B0604020202020204" pitchFamily="34" charset="0"/>
                <a:cs typeface="Arial" panose="020B0604020202020204" pitchFamily="34" charset="0"/>
              </a:defRPr>
            </a:pPr>
            <a:endParaRPr lang="en-US" sz="1300" b="0" i="0" u="none" strike="noStrike" baseline="0">
              <a:solidFill>
                <a:schemeClr val="tx1">
                  <a:lumMod val="85000"/>
                  <a:lumOff val="1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x:txPr>
      </cx:axis>
    </cx:plotArea>
    <cx:legend pos="t" align="ctr" overlay="1"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200">
              <a:solidFill>
                <a:schemeClr val="tx1">
                  <a:lumMod val="85000"/>
                  <a:lumOff val="15000"/>
                </a:schemeClr>
              </a:solidFill>
            </a:defRPr>
          </a:pPr>
          <a:endParaRPr lang="en-US" sz="1200" b="0" i="0" u="none" strike="noStrike" baseline="0">
            <a:solidFill>
              <a:schemeClr val="tx1">
                <a:lumMod val="85000"/>
                <a:lumOff val="15000"/>
              </a:schemeClr>
            </a:solidFill>
            <a:latin typeface="Aptos Narrow" panose="02110004020202020204"/>
          </a:endParaRPr>
        </a:p>
      </cx:txPr>
    </cx:legend>
  </cx:chart>
  <cx:spPr>
    <a:ln>
      <a:noFill/>
    </a:ln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_xlchart.v1.64</cx:f>
      </cx:strDim>
      <cx:numDim type="val">
        <cx:f>_xlchart.v1.70</cx:f>
      </cx:numDim>
    </cx:data>
    <cx:data id="1">
      <cx:strDim type="cat">
        <cx:f>_xlchart.v1.64</cx:f>
      </cx:strDim>
      <cx:numDim type="val">
        <cx:f>_xlchart.v1.74</cx:f>
      </cx:numDim>
    </cx:data>
    <cx:data id="2">
      <cx:strDim type="cat">
        <cx:f>_xlchart.v1.64</cx:f>
      </cx:strDim>
      <cx:numDim type="val">
        <cx:f>_xlchart.v1.78</cx:f>
      </cx:numDim>
    </cx:data>
    <cx:data id="3">
      <cx:strDim type="cat">
        <cx:f>_xlchart.v1.64</cx:f>
      </cx:strDim>
      <cx:numDim type="val">
        <cx:f>_xlchart.v1.80</cx:f>
      </cx:numDim>
    </cx:data>
  </cx:chartData>
  <cx:chart>
    <cx:plotArea>
      <cx:plotAreaRegion>
        <cx:series layoutId="boxWhisker" uniqueId="{00000002-4C3E-4CD1-BD61-088666F71C44}" formatIdx="2">
          <cx:tx>
            <cx:txData>
              <cx:f>_xlchart.v1.69</cx:f>
              <cx:v>2% Discount Rate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4-4C3E-4CD1-BD61-088666F71C44}" formatIdx="4">
          <cx:tx>
            <cx:txData>
              <cx:f>_xlchart.v1.73</cx:f>
              <cx:v>12% Discount Rate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00000006-4C3E-4CD1-BD61-088666F71C44}" formatIdx="6">
          <cx:tx>
            <cx:txData>
              <cx:f>_xlchart.v1.77</cx:f>
              <cx:v>20% Discount Rate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00000007-4C3E-4CD1-BD61-088666F71C44}" formatIdx="7">
          <cx:tx>
            <cx:txData>
              <cx:f>_xlchart.v1.79</cx:f>
              <cx:v>2050 Snapshot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tle>
          <cx:tx>
            <cx:txData>
              <cx:v>CDR Supply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100">
                  <a:solidFill>
                    <a:sysClr val="windowText" lastClr="000000"/>
                  </a:solidFill>
                </a:defRPr>
              </a:pPr>
              <a:r>
                <a:rPr lang="en-US" sz="1100" b="0" i="0" u="none" strike="noStrike" baseline="0">
                  <a:solidFill>
                    <a:sysClr val="windowText" lastClr="000000"/>
                  </a:solidFill>
                  <a:latin typeface="Aptos Narrow" panose="02110004020202020204"/>
                </a:rPr>
                <a:t>CDR Supply</a:t>
              </a:r>
            </a:p>
          </cx:txPr>
        </cx:title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100">
                <a:solidFill>
                  <a:sysClr val="windowText" lastClr="000000"/>
                </a:solidFill>
                <a:latin typeface="Arial" panose="020B0604020202020204" pitchFamily="34" charset="0"/>
                <a:ea typeface="Arial" panose="020B0604020202020204" pitchFamily="34" charset="0"/>
                <a:cs typeface="Arial" panose="020B0604020202020204" pitchFamily="34" charset="0"/>
              </a:defRPr>
            </a:pPr>
            <a:endParaRPr lang="en-US" sz="1100" b="0" i="0" u="none" strike="noStrike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x:txPr>
      </cx:axis>
      <cx:axis id="1">
        <cx:valScaling max="100" min="-10"/>
        <cx:title>
          <cx:tx>
            <cx:txData>
              <cx:v>Reduction in PV of CDR Market (%) to be as Cost-Effective as the 100 Mt Baseline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000">
                  <a:latin typeface="Arial" panose="020B0604020202020204" pitchFamily="34" charset="0"/>
                  <a:ea typeface="Arial" panose="020B0604020202020204" pitchFamily="34" charset="0"/>
                  <a:cs typeface="Arial" panose="020B0604020202020204" pitchFamily="34" charset="0"/>
                </a:defRPr>
              </a:pPr>
              <a:r>
                <a:rPr lang="en-US" sz="1000" b="0" i="0" u="none" strike="noStrike" baseline="0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Reduction in PV of CDR Market (%) to be as Cost-Effective as the 100 Mt Baseline</a:t>
              </a:r>
            </a:p>
          </cx:txPr>
        </cx:title>
        <cx:majorGridlines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100">
                <a:solidFill>
                  <a:sysClr val="windowText" lastClr="000000"/>
                </a:solidFill>
                <a:latin typeface="Arial" panose="020B0604020202020204" pitchFamily="34" charset="0"/>
                <a:ea typeface="Arial" panose="020B0604020202020204" pitchFamily="34" charset="0"/>
                <a:cs typeface="Arial" panose="020B0604020202020204" pitchFamily="34" charset="0"/>
              </a:defRPr>
            </a:pPr>
            <a:endParaRPr lang="en-US" sz="1100" b="0" i="0" u="none" strike="noStrike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x:txPr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900">
              <a:solidFill>
                <a:sysClr val="windowText" lastClr="000000"/>
              </a:solidFill>
            </a:defRPr>
          </a:pPr>
          <a:endParaRPr lang="en-US" sz="900" b="0" i="0" u="none" strike="noStrike" baseline="0">
            <a:solidFill>
              <a:sysClr val="windowText" lastClr="000000"/>
            </a:solidFill>
            <a:latin typeface="Aptos Narrow" panose="02110004020202020204"/>
          </a:endParaRPr>
        </a:p>
      </cx:txPr>
    </cx:legend>
  </cx:chart>
  <cx:spPr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7" Type="http://schemas.openxmlformats.org/officeDocument/2006/relationships/chart" Target="../charts/chart12.xml"/><Relationship Id="rId2" Type="http://schemas.openxmlformats.org/officeDocument/2006/relationships/chart" Target="../charts/chart7.xml"/><Relationship Id="rId1" Type="http://schemas.microsoft.com/office/2014/relationships/chartEx" Target="../charts/chartEx1.xml"/><Relationship Id="rId6" Type="http://schemas.openxmlformats.org/officeDocument/2006/relationships/chart" Target="../charts/chart11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247650</xdr:colOff>
      <xdr:row>1</xdr:row>
      <xdr:rowOff>47625</xdr:rowOff>
    </xdr:from>
    <xdr:to>
      <xdr:col>15</xdr:col>
      <xdr:colOff>333375</xdr:colOff>
      <xdr:row>26</xdr:row>
      <xdr:rowOff>4763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590213B-0A6F-407F-B98B-2CFEF45206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273050</xdr:colOff>
      <xdr:row>19</xdr:row>
      <xdr:rowOff>108857</xdr:rowOff>
    </xdr:from>
    <xdr:to>
      <xdr:col>11</xdr:col>
      <xdr:colOff>666749</xdr:colOff>
      <xdr:row>23</xdr:row>
      <xdr:rowOff>88900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B12183F5-6FCC-493B-8F23-6404C755CE5A}"/>
            </a:ext>
          </a:extLst>
        </xdr:cNvPr>
        <xdr:cNvSpPr/>
      </xdr:nvSpPr>
      <xdr:spPr>
        <a:xfrm>
          <a:off x="9539514" y="3728357"/>
          <a:ext cx="393699" cy="742043"/>
        </a:xfrm>
        <a:prstGeom prst="rect">
          <a:avLst/>
        </a:prstGeom>
        <a:noFill/>
        <a:ln>
          <a:solidFill>
            <a:schemeClr val="bg2">
              <a:lumMod val="9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285750</xdr:colOff>
      <xdr:row>6</xdr:row>
      <xdr:rowOff>149679</xdr:rowOff>
    </xdr:from>
    <xdr:to>
      <xdr:col>12</xdr:col>
      <xdr:colOff>530679</xdr:colOff>
      <xdr:row>19</xdr:row>
      <xdr:rowOff>152400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C79FCDF6-E576-49A3-A8D8-01E70741D384}"/>
            </a:ext>
          </a:extLst>
        </xdr:cNvPr>
        <xdr:cNvCxnSpPr/>
      </xdr:nvCxnSpPr>
      <xdr:spPr>
        <a:xfrm flipV="1">
          <a:off x="9552214" y="1292679"/>
          <a:ext cx="925286" cy="2479221"/>
        </a:xfrm>
        <a:prstGeom prst="line">
          <a:avLst/>
        </a:prstGeom>
        <a:ln>
          <a:solidFill>
            <a:schemeClr val="bg2">
              <a:lumMod val="9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19</xdr:row>
      <xdr:rowOff>27214</xdr:rowOff>
    </xdr:from>
    <xdr:to>
      <xdr:col>15</xdr:col>
      <xdr:colOff>285750</xdr:colOff>
      <xdr:row>23</xdr:row>
      <xdr:rowOff>108857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7378C693-7BA7-49EE-8892-35B191A54B32}"/>
            </a:ext>
          </a:extLst>
        </xdr:cNvPr>
        <xdr:cNvCxnSpPr/>
      </xdr:nvCxnSpPr>
      <xdr:spPr>
        <a:xfrm flipV="1">
          <a:off x="9946821" y="3646714"/>
          <a:ext cx="2122715" cy="843643"/>
        </a:xfrm>
        <a:prstGeom prst="line">
          <a:avLst/>
        </a:prstGeom>
        <a:ln>
          <a:solidFill>
            <a:schemeClr val="bg2">
              <a:lumMod val="9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217714</xdr:colOff>
      <xdr:row>31</xdr:row>
      <xdr:rowOff>95250</xdr:rowOff>
    </xdr:from>
    <xdr:to>
      <xdr:col>20</xdr:col>
      <xdr:colOff>435429</xdr:colOff>
      <xdr:row>55</xdr:row>
      <xdr:rowOff>163286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D9B858B9-986A-44DA-9C6B-CED8E957C5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308882</xdr:colOff>
      <xdr:row>50</xdr:row>
      <xdr:rowOff>123825</xdr:rowOff>
    </xdr:from>
    <xdr:to>
      <xdr:col>16</xdr:col>
      <xdr:colOff>514350</xdr:colOff>
      <xdr:row>53</xdr:row>
      <xdr:rowOff>65768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40316EAC-847A-415A-A25F-49BAC988ABCA}"/>
            </a:ext>
          </a:extLst>
        </xdr:cNvPr>
        <xdr:cNvSpPr/>
      </xdr:nvSpPr>
      <xdr:spPr>
        <a:xfrm>
          <a:off x="12681857" y="9648825"/>
          <a:ext cx="205468" cy="513443"/>
        </a:xfrm>
        <a:prstGeom prst="rect">
          <a:avLst/>
        </a:prstGeom>
        <a:noFill/>
        <a:ln>
          <a:solidFill>
            <a:schemeClr val="bg2">
              <a:lumMod val="9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285750</xdr:colOff>
      <xdr:row>39</xdr:row>
      <xdr:rowOff>9525</xdr:rowOff>
    </xdr:from>
    <xdr:to>
      <xdr:col>18</xdr:col>
      <xdr:colOff>266700</xdr:colOff>
      <xdr:row>50</xdr:row>
      <xdr:rowOff>123825</xdr:rowOff>
    </xdr:to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id="{3E0D71B4-82F2-46F5-B6CE-69ED0EBA4D6F}"/>
            </a:ext>
          </a:extLst>
        </xdr:cNvPr>
        <xdr:cNvCxnSpPr/>
      </xdr:nvCxnSpPr>
      <xdr:spPr>
        <a:xfrm flipV="1">
          <a:off x="12658725" y="7439025"/>
          <a:ext cx="1200150" cy="2209800"/>
        </a:xfrm>
        <a:prstGeom prst="line">
          <a:avLst/>
        </a:prstGeom>
        <a:ln>
          <a:solidFill>
            <a:schemeClr val="bg2">
              <a:lumMod val="9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485775</xdr:colOff>
      <xdr:row>49</xdr:row>
      <xdr:rowOff>114300</xdr:rowOff>
    </xdr:from>
    <xdr:to>
      <xdr:col>20</xdr:col>
      <xdr:colOff>438150</xdr:colOff>
      <xdr:row>53</xdr:row>
      <xdr:rowOff>66675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2AB2B8B4-34B9-4187-8768-E9F46156ED64}"/>
            </a:ext>
          </a:extLst>
        </xdr:cNvPr>
        <xdr:cNvCxnSpPr/>
      </xdr:nvCxnSpPr>
      <xdr:spPr>
        <a:xfrm flipV="1">
          <a:off x="12858750" y="9448800"/>
          <a:ext cx="2390775" cy="714375"/>
        </a:xfrm>
        <a:prstGeom prst="line">
          <a:avLst/>
        </a:prstGeom>
        <a:ln>
          <a:solidFill>
            <a:schemeClr val="bg2">
              <a:lumMod val="9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66</xdr:row>
      <xdr:rowOff>0</xdr:rowOff>
    </xdr:from>
    <xdr:to>
      <xdr:col>22</xdr:col>
      <xdr:colOff>202956</xdr:colOff>
      <xdr:row>90</xdr:row>
      <xdr:rowOff>147638</xdr:rowOff>
    </xdr:to>
    <xdr:graphicFrame macro="">
      <xdr:nvGraphicFramePr>
        <xdr:cNvPr id="47" name="Chart 46">
          <a:extLst>
            <a:ext uri="{FF2B5EF4-FFF2-40B4-BE49-F238E27FC236}">
              <a16:creationId xmlns:a16="http://schemas.microsoft.com/office/drawing/2014/main" id="{2B376FE9-EAA7-43C3-BBA5-989DEEB730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107497</xdr:colOff>
      <xdr:row>85</xdr:row>
      <xdr:rowOff>171450</xdr:rowOff>
    </xdr:from>
    <xdr:to>
      <xdr:col>17</xdr:col>
      <xdr:colOff>419100</xdr:colOff>
      <xdr:row>88</xdr:row>
      <xdr:rowOff>9979</xdr:rowOff>
    </xdr:to>
    <xdr:sp macro="" textlink="">
      <xdr:nvSpPr>
        <xdr:cNvPr id="49" name="Rectangle 48">
          <a:extLst>
            <a:ext uri="{FF2B5EF4-FFF2-40B4-BE49-F238E27FC236}">
              <a16:creationId xmlns:a16="http://schemas.microsoft.com/office/drawing/2014/main" id="{63349856-FA0F-4B8D-A0C4-93BA4D382DE3}"/>
            </a:ext>
          </a:extLst>
        </xdr:cNvPr>
        <xdr:cNvSpPr/>
      </xdr:nvSpPr>
      <xdr:spPr>
        <a:xfrm>
          <a:off x="13090072" y="16363950"/>
          <a:ext cx="311603" cy="410029"/>
        </a:xfrm>
        <a:prstGeom prst="rect">
          <a:avLst/>
        </a:prstGeom>
        <a:noFill/>
        <a:ln>
          <a:solidFill>
            <a:schemeClr val="bg2">
              <a:lumMod val="9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123825</xdr:colOff>
      <xdr:row>70</xdr:row>
      <xdr:rowOff>152400</xdr:rowOff>
    </xdr:from>
    <xdr:to>
      <xdr:col>18</xdr:col>
      <xdr:colOff>533400</xdr:colOff>
      <xdr:row>85</xdr:row>
      <xdr:rowOff>142875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E1CAFB71-88DE-499B-A2D2-379C567FFBAB}"/>
            </a:ext>
          </a:extLst>
        </xdr:cNvPr>
        <xdr:cNvCxnSpPr/>
      </xdr:nvCxnSpPr>
      <xdr:spPr>
        <a:xfrm flipV="1">
          <a:off x="13106400" y="13487400"/>
          <a:ext cx="1019175" cy="2847975"/>
        </a:xfrm>
        <a:prstGeom prst="line">
          <a:avLst/>
        </a:prstGeom>
        <a:ln>
          <a:solidFill>
            <a:schemeClr val="bg2">
              <a:lumMod val="9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419100</xdr:colOff>
      <xdr:row>81</xdr:row>
      <xdr:rowOff>66675</xdr:rowOff>
    </xdr:from>
    <xdr:to>
      <xdr:col>22</xdr:col>
      <xdr:colOff>28575</xdr:colOff>
      <xdr:row>88</xdr:row>
      <xdr:rowOff>19050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5857976B-07D0-4BA5-A2DD-7CF8EDC10C28}"/>
            </a:ext>
          </a:extLst>
        </xdr:cNvPr>
        <xdr:cNvCxnSpPr/>
      </xdr:nvCxnSpPr>
      <xdr:spPr>
        <a:xfrm flipV="1">
          <a:off x="13401675" y="15497175"/>
          <a:ext cx="2657475" cy="1285875"/>
        </a:xfrm>
        <a:prstGeom prst="line">
          <a:avLst/>
        </a:prstGeom>
        <a:ln>
          <a:solidFill>
            <a:schemeClr val="bg2">
              <a:lumMod val="9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544286</xdr:colOff>
      <xdr:row>6</xdr:row>
      <xdr:rowOff>149679</xdr:rowOff>
    </xdr:from>
    <xdr:to>
      <xdr:col>15</xdr:col>
      <xdr:colOff>312964</xdr:colOff>
      <xdr:row>19</xdr:row>
      <xdr:rowOff>27214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C83D2DF-8F40-4D66-B178-B9E422CF1D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272143</xdr:colOff>
      <xdr:row>39</xdr:row>
      <xdr:rowOff>13607</xdr:rowOff>
    </xdr:from>
    <xdr:to>
      <xdr:col>20</xdr:col>
      <xdr:colOff>449035</xdr:colOff>
      <xdr:row>49</xdr:row>
      <xdr:rowOff>108857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56D9711D-C725-437B-B5A5-2BB6948ACB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523874</xdr:colOff>
      <xdr:row>70</xdr:row>
      <xdr:rowOff>142875</xdr:rowOff>
    </xdr:from>
    <xdr:to>
      <xdr:col>22</xdr:col>
      <xdr:colOff>38099</xdr:colOff>
      <xdr:row>81</xdr:row>
      <xdr:rowOff>80962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E1F81315-5AD4-4744-8F1D-EBE970BD29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292894</xdr:colOff>
      <xdr:row>2</xdr:row>
      <xdr:rowOff>47094</xdr:rowOff>
    </xdr:from>
    <xdr:to>
      <xdr:col>26</xdr:col>
      <xdr:colOff>379677</xdr:colOff>
      <xdr:row>18</xdr:row>
      <xdr:rowOff>154781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98AEC7E0-D0A5-1096-0DCB-A2DB2DA0628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819144" y="428094"/>
              <a:ext cx="5573183" cy="315568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10</xdr:col>
      <xdr:colOff>300036</xdr:colOff>
      <xdr:row>34</xdr:row>
      <xdr:rowOff>19050</xdr:rowOff>
    </xdr:from>
    <xdr:to>
      <xdr:col>19</xdr:col>
      <xdr:colOff>342899</xdr:colOff>
      <xdr:row>64</xdr:row>
      <xdr:rowOff>166688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4D9ACEC-3FD7-7289-6819-79EF3D17B1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35718</xdr:colOff>
      <xdr:row>45</xdr:row>
      <xdr:rowOff>141552</xdr:rowOff>
    </xdr:from>
    <xdr:to>
      <xdr:col>19</xdr:col>
      <xdr:colOff>198438</xdr:colOff>
      <xdr:row>60</xdr:row>
      <xdr:rowOff>130969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1A4F01B-9784-46C6-810D-201E64F054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537104</xdr:colOff>
      <xdr:row>44</xdr:row>
      <xdr:rowOff>119062</xdr:rowOff>
    </xdr:from>
    <xdr:to>
      <xdr:col>14</xdr:col>
      <xdr:colOff>59531</xdr:colOff>
      <xdr:row>51</xdr:row>
      <xdr:rowOff>75406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5BB506B7-834F-F352-0FDC-BC3237071A4B}"/>
            </a:ext>
          </a:extLst>
        </xdr:cNvPr>
        <xdr:cNvSpPr/>
      </xdr:nvSpPr>
      <xdr:spPr>
        <a:xfrm>
          <a:off x="16991542" y="8501062"/>
          <a:ext cx="736864" cy="1289844"/>
        </a:xfrm>
        <a:prstGeom prst="rect">
          <a:avLst/>
        </a:prstGeom>
        <a:noFill/>
        <a:ln>
          <a:solidFill>
            <a:schemeClr val="bg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22489</xdr:colOff>
      <xdr:row>44</xdr:row>
      <xdr:rowOff>115094</xdr:rowOff>
    </xdr:from>
    <xdr:to>
      <xdr:col>19</xdr:col>
      <xdr:colOff>214312</xdr:colOff>
      <xdr:row>45</xdr:row>
      <xdr:rowOff>130969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2DA94ACC-BD50-587B-9E76-ED4043D005CD}"/>
            </a:ext>
          </a:extLst>
        </xdr:cNvPr>
        <xdr:cNvCxnSpPr/>
      </xdr:nvCxnSpPr>
      <xdr:spPr>
        <a:xfrm>
          <a:off x="17691364" y="8497094"/>
          <a:ext cx="3227917" cy="206375"/>
        </a:xfrm>
        <a:prstGeom prst="line">
          <a:avLst/>
        </a:prstGeom>
        <a:ln>
          <a:solidFill>
            <a:schemeClr val="bg2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71437</xdr:colOff>
      <xdr:row>51</xdr:row>
      <xdr:rowOff>71437</xdr:rowOff>
    </xdr:from>
    <xdr:to>
      <xdr:col>15</xdr:col>
      <xdr:colOff>23812</xdr:colOff>
      <xdr:row>60</xdr:row>
      <xdr:rowOff>130969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E09AAA52-6562-4915-AC84-D7872AEAEB9C}"/>
            </a:ext>
          </a:extLst>
        </xdr:cNvPr>
        <xdr:cNvCxnSpPr/>
      </xdr:nvCxnSpPr>
      <xdr:spPr>
        <a:xfrm>
          <a:off x="17740312" y="9786937"/>
          <a:ext cx="559594" cy="1774032"/>
        </a:xfrm>
        <a:prstGeom prst="line">
          <a:avLst/>
        </a:prstGeom>
        <a:ln>
          <a:solidFill>
            <a:schemeClr val="bg2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73</xdr:row>
      <xdr:rowOff>0</xdr:rowOff>
    </xdr:from>
    <xdr:to>
      <xdr:col>23</xdr:col>
      <xdr:colOff>42863</xdr:colOff>
      <xdr:row>101</xdr:row>
      <xdr:rowOff>147638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31269C7-99C6-4FE5-9808-FFD3E90ABA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264582</xdr:colOff>
      <xdr:row>86</xdr:row>
      <xdr:rowOff>169333</xdr:rowOff>
    </xdr:from>
    <xdr:to>
      <xdr:col>22</xdr:col>
      <xdr:colOff>497416</xdr:colOff>
      <xdr:row>98</xdr:row>
      <xdr:rowOff>31221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D0642DC2-3796-4314-9A70-833AD3506F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416717</xdr:colOff>
      <xdr:row>87</xdr:row>
      <xdr:rowOff>59531</xdr:rowOff>
    </xdr:from>
    <xdr:to>
      <xdr:col>17</xdr:col>
      <xdr:colOff>392906</xdr:colOff>
      <xdr:row>93</xdr:row>
      <xdr:rowOff>23812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C81D1C6-39F0-4DB8-AF77-764EB5C223DA}"/>
            </a:ext>
          </a:extLst>
        </xdr:cNvPr>
        <xdr:cNvSpPr/>
      </xdr:nvSpPr>
      <xdr:spPr>
        <a:xfrm>
          <a:off x="19300030" y="16633031"/>
          <a:ext cx="583407" cy="1107281"/>
        </a:xfrm>
        <a:prstGeom prst="rect">
          <a:avLst/>
        </a:prstGeom>
        <a:noFill/>
        <a:ln>
          <a:solidFill>
            <a:schemeClr val="bg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416718</xdr:colOff>
      <xdr:row>87</xdr:row>
      <xdr:rowOff>0</xdr:rowOff>
    </xdr:from>
    <xdr:to>
      <xdr:col>18</xdr:col>
      <xdr:colOff>250031</xdr:colOff>
      <xdr:row>87</xdr:row>
      <xdr:rowOff>59531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8C3F2A69-8D80-4528-B297-906CB3E8F706}"/>
            </a:ext>
          </a:extLst>
        </xdr:cNvPr>
        <xdr:cNvCxnSpPr/>
      </xdr:nvCxnSpPr>
      <xdr:spPr>
        <a:xfrm flipV="1">
          <a:off x="19300031" y="16573500"/>
          <a:ext cx="1047750" cy="59531"/>
        </a:xfrm>
        <a:prstGeom prst="line">
          <a:avLst/>
        </a:prstGeom>
        <a:ln>
          <a:solidFill>
            <a:schemeClr val="bg2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428624</xdr:colOff>
      <xdr:row>93</xdr:row>
      <xdr:rowOff>11906</xdr:rowOff>
    </xdr:from>
    <xdr:to>
      <xdr:col>18</xdr:col>
      <xdr:colOff>264583</xdr:colOff>
      <xdr:row>98</xdr:row>
      <xdr:rowOff>31750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742F93A0-3EA9-4A86-A815-559F9B8B86DD}"/>
            </a:ext>
          </a:extLst>
        </xdr:cNvPr>
        <xdr:cNvCxnSpPr/>
      </xdr:nvCxnSpPr>
      <xdr:spPr>
        <a:xfrm>
          <a:off x="19311937" y="17728406"/>
          <a:ext cx="1050396" cy="972344"/>
        </a:xfrm>
        <a:prstGeom prst="line">
          <a:avLst/>
        </a:prstGeom>
        <a:ln>
          <a:solidFill>
            <a:schemeClr val="bg2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232833</xdr:colOff>
      <xdr:row>102</xdr:row>
      <xdr:rowOff>74083</xdr:rowOff>
    </xdr:from>
    <xdr:to>
      <xdr:col>22</xdr:col>
      <xdr:colOff>275696</xdr:colOff>
      <xdr:row>133</xdr:row>
      <xdr:rowOff>31221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D1155679-B632-483C-81DD-7DB228A5CA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17</xdr:col>
      <xdr:colOff>281782</xdr:colOff>
      <xdr:row>118</xdr:row>
      <xdr:rowOff>83344</xdr:rowOff>
    </xdr:from>
    <xdr:to>
      <xdr:col>20</xdr:col>
      <xdr:colOff>583407</xdr:colOff>
      <xdr:row>129</xdr:row>
      <xdr:rowOff>29897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4511A368-0FBC-4D8D-A8BB-068496D76F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16</xdr:col>
      <xdr:colOff>79373</xdr:colOff>
      <xdr:row>121</xdr:row>
      <xdr:rowOff>23812</xdr:rowOff>
    </xdr:from>
    <xdr:to>
      <xdr:col>17</xdr:col>
      <xdr:colOff>59530</xdr:colOff>
      <xdr:row>127</xdr:row>
      <xdr:rowOff>109801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8D6CD52E-B70B-44A5-AB3A-AFD6FB698977}"/>
            </a:ext>
          </a:extLst>
        </xdr:cNvPr>
        <xdr:cNvSpPr/>
      </xdr:nvSpPr>
      <xdr:spPr>
        <a:xfrm>
          <a:off x="18962686" y="23074312"/>
          <a:ext cx="587375" cy="1228989"/>
        </a:xfrm>
        <a:prstGeom prst="rect">
          <a:avLst/>
        </a:prstGeom>
        <a:noFill/>
        <a:ln>
          <a:solidFill>
            <a:schemeClr val="bg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82020</xdr:colOff>
      <xdr:row>118</xdr:row>
      <xdr:rowOff>107156</xdr:rowOff>
    </xdr:from>
    <xdr:to>
      <xdr:col>17</xdr:col>
      <xdr:colOff>273844</xdr:colOff>
      <xdr:row>121</xdr:row>
      <xdr:rowOff>13229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8F5A5B05-C8FA-46AF-89C0-FAB3EAE9E8A0}"/>
            </a:ext>
          </a:extLst>
        </xdr:cNvPr>
        <xdr:cNvCxnSpPr/>
      </xdr:nvCxnSpPr>
      <xdr:spPr>
        <a:xfrm flipV="1">
          <a:off x="18965333" y="22586156"/>
          <a:ext cx="799042" cy="477573"/>
        </a:xfrm>
        <a:prstGeom prst="line">
          <a:avLst/>
        </a:prstGeom>
        <a:ln>
          <a:solidFill>
            <a:schemeClr val="bg2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95249</xdr:colOff>
      <xdr:row>127</xdr:row>
      <xdr:rowOff>107156</xdr:rowOff>
    </xdr:from>
    <xdr:to>
      <xdr:col>17</xdr:col>
      <xdr:colOff>297656</xdr:colOff>
      <xdr:row>129</xdr:row>
      <xdr:rowOff>11906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954F8AB6-D2A5-43DD-AEA5-8CF8067683A4}"/>
            </a:ext>
          </a:extLst>
        </xdr:cNvPr>
        <xdr:cNvCxnSpPr/>
      </xdr:nvCxnSpPr>
      <xdr:spPr>
        <a:xfrm>
          <a:off x="18978562" y="24300656"/>
          <a:ext cx="809625" cy="285750"/>
        </a:xfrm>
        <a:prstGeom prst="line">
          <a:avLst/>
        </a:prstGeom>
        <a:ln>
          <a:solidFill>
            <a:schemeClr val="bg2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380999</xdr:colOff>
      <xdr:row>1</xdr:row>
      <xdr:rowOff>52386</xdr:rowOff>
    </xdr:from>
    <xdr:to>
      <xdr:col>15</xdr:col>
      <xdr:colOff>523875</xdr:colOff>
      <xdr:row>35</xdr:row>
      <xdr:rowOff>190499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7FAB4FD9-0C41-27D7-4070-958043EFC04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581649" y="242886"/>
              <a:ext cx="2581276" cy="661511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Custom 2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C16861"/>
      </a:accent1>
      <a:accent2>
        <a:srgbClr val="74A751"/>
      </a:accent2>
      <a:accent3>
        <a:srgbClr val="698FC6"/>
      </a:accent3>
      <a:accent4>
        <a:srgbClr val="DD9452"/>
      </a:accent4>
      <a:accent5>
        <a:srgbClr val="BFBE43"/>
      </a:accent5>
      <a:accent6>
        <a:srgbClr val="A577A8"/>
      </a:accent6>
      <a:hlink>
        <a:srgbClr val="72B1B4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4DBF1-F2D7-44F8-977D-1BE3C41C10B1}">
  <dimension ref="A1:AP33"/>
  <sheetViews>
    <sheetView zoomScaleNormal="100" workbookViewId="0">
      <selection activeCell="H39" sqref="H39"/>
    </sheetView>
  </sheetViews>
  <sheetFormatPr defaultRowHeight="15" x14ac:dyDescent="0.25"/>
  <cols>
    <col min="1" max="1" width="22.28515625" bestFit="1" customWidth="1"/>
    <col min="2" max="2" width="14.28515625" customWidth="1"/>
    <col min="3" max="3" width="12.85546875" customWidth="1"/>
    <col min="4" max="4" width="20" style="5" customWidth="1"/>
    <col min="5" max="5" width="20" customWidth="1"/>
    <col min="6" max="6" width="15.28515625" bestFit="1" customWidth="1"/>
    <col min="7" max="7" width="13" bestFit="1" customWidth="1"/>
    <col min="8" max="8" width="21" style="5" bestFit="1" customWidth="1"/>
    <col min="9" max="9" width="21" bestFit="1" customWidth="1"/>
    <col min="10" max="10" width="15.28515625" bestFit="1" customWidth="1"/>
    <col min="11" max="11" width="13" bestFit="1" customWidth="1"/>
    <col min="12" max="12" width="21" style="5" bestFit="1" customWidth="1"/>
    <col min="13" max="13" width="21" bestFit="1" customWidth="1"/>
    <col min="14" max="14" width="22.28515625" bestFit="1" customWidth="1"/>
  </cols>
  <sheetData>
    <row r="1" spans="1:42" x14ac:dyDescent="0.25">
      <c r="A1" s="3" t="s">
        <v>0</v>
      </c>
      <c r="B1" t="s">
        <v>36</v>
      </c>
      <c r="C1" t="s">
        <v>37</v>
      </c>
      <c r="D1" s="5" t="s">
        <v>38</v>
      </c>
      <c r="E1" t="s">
        <v>39</v>
      </c>
      <c r="F1" t="s">
        <v>15</v>
      </c>
      <c r="G1" t="s">
        <v>16</v>
      </c>
      <c r="H1" s="5" t="s">
        <v>17</v>
      </c>
      <c r="I1" t="s">
        <v>18</v>
      </c>
      <c r="J1" t="s">
        <v>19</v>
      </c>
      <c r="K1" t="s">
        <v>20</v>
      </c>
      <c r="L1" s="5" t="s">
        <v>21</v>
      </c>
      <c r="M1" t="s">
        <v>22</v>
      </c>
      <c r="N1" t="s">
        <v>23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</row>
    <row r="2" spans="1:42" x14ac:dyDescent="0.25">
      <c r="A2" t="s">
        <v>1</v>
      </c>
      <c r="B2" s="6">
        <v>-87041.623714157293</v>
      </c>
      <c r="C2" s="6">
        <v>68266.070870226496</v>
      </c>
      <c r="D2" s="5">
        <v>-1.27503491272587</v>
      </c>
      <c r="E2" s="6">
        <v>-18775.5528439308</v>
      </c>
      <c r="F2" s="6">
        <v>-24009.774422884198</v>
      </c>
      <c r="G2" s="6">
        <v>29691.982373295901</v>
      </c>
      <c r="H2" s="5">
        <v>-0.80862820545380198</v>
      </c>
      <c r="I2" s="6">
        <v>5682.20795041171</v>
      </c>
      <c r="J2" s="6">
        <v>-10209.740402372299</v>
      </c>
      <c r="K2" s="6">
        <v>18095.102337061198</v>
      </c>
      <c r="L2" s="5">
        <v>-0.56422672898961301</v>
      </c>
      <c r="M2" s="6">
        <v>7885.3619346888499</v>
      </c>
      <c r="N2" t="s">
        <v>24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</row>
    <row r="3" spans="1:42" x14ac:dyDescent="0.25">
      <c r="A3" t="s">
        <v>2</v>
      </c>
      <c r="B3" s="6">
        <v>-277189.41464709002</v>
      </c>
      <c r="C3" s="6">
        <v>285224.80738940899</v>
      </c>
      <c r="D3" s="5">
        <v>-0.97182786162303203</v>
      </c>
      <c r="E3" s="6">
        <v>8035.3927423182704</v>
      </c>
      <c r="F3" s="6">
        <v>-48914.657028755297</v>
      </c>
      <c r="G3" s="6">
        <v>59208.421926960698</v>
      </c>
      <c r="H3" s="5">
        <v>-0.82614356939112998</v>
      </c>
      <c r="I3" s="6">
        <v>10293.7648982053</v>
      </c>
      <c r="J3" s="6">
        <v>-15980.398221146799</v>
      </c>
      <c r="K3" s="6">
        <v>25187.001654923799</v>
      </c>
      <c r="L3" s="5">
        <v>-0.63447005086541497</v>
      </c>
      <c r="M3" s="6">
        <v>9206.6034337769906</v>
      </c>
      <c r="N3" t="s">
        <v>24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</row>
    <row r="4" spans="1:42" x14ac:dyDescent="0.25">
      <c r="A4" t="s">
        <v>3</v>
      </c>
      <c r="B4" s="6">
        <v>-52712.756725281797</v>
      </c>
      <c r="C4" s="6">
        <v>73875.666802922904</v>
      </c>
      <c r="D4" s="5">
        <v>-0.71353341372745804</v>
      </c>
      <c r="E4" s="6">
        <v>21162.910077641001</v>
      </c>
      <c r="F4" s="6">
        <v>-18634.107191897401</v>
      </c>
      <c r="G4" s="6">
        <v>40963.2275402632</v>
      </c>
      <c r="H4" s="5">
        <v>-0.45489841281627003</v>
      </c>
      <c r="I4" s="6">
        <v>22329.120348365701</v>
      </c>
      <c r="J4" s="6">
        <v>-10131.117210586999</v>
      </c>
      <c r="K4" s="6">
        <v>27756.054329294901</v>
      </c>
      <c r="L4" s="5">
        <v>-0.365005670128489</v>
      </c>
      <c r="M4" s="6">
        <v>17624.9371187078</v>
      </c>
      <c r="N4" t="s">
        <v>24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spans="1:42" x14ac:dyDescent="0.25">
      <c r="A5" t="s">
        <v>4</v>
      </c>
      <c r="B5" s="6">
        <v>-568357.47058677697</v>
      </c>
      <c r="C5" s="6">
        <v>643393.81551935896</v>
      </c>
      <c r="D5" s="5">
        <v>-0.88337415883923098</v>
      </c>
      <c r="E5" s="6">
        <v>75036.344932581502</v>
      </c>
      <c r="F5" s="6">
        <v>-107357.135510147</v>
      </c>
      <c r="G5" s="6">
        <v>133387.41987712201</v>
      </c>
      <c r="H5" s="5">
        <v>-0.80485202884234297</v>
      </c>
      <c r="I5" s="6">
        <v>26030.2843669748</v>
      </c>
      <c r="J5" s="6">
        <v>-37918.655503970796</v>
      </c>
      <c r="K5" s="6">
        <v>54270.809029890203</v>
      </c>
      <c r="L5" s="5">
        <v>-0.69869338935203096</v>
      </c>
      <c r="M5" s="6">
        <v>16352.153525919401</v>
      </c>
      <c r="N5" t="s">
        <v>24</v>
      </c>
    </row>
    <row r="6" spans="1:42" x14ac:dyDescent="0.25">
      <c r="A6" t="s">
        <v>6</v>
      </c>
      <c r="B6" s="6">
        <v>-629.11242305952999</v>
      </c>
      <c r="C6" s="6">
        <v>17177.259292405</v>
      </c>
      <c r="D6" s="5">
        <v>-3.6624726468307597E-2</v>
      </c>
      <c r="E6" s="6">
        <v>16548.146869345499</v>
      </c>
      <c r="F6" s="6">
        <v>-412.48126069827401</v>
      </c>
      <c r="G6" s="6">
        <v>13602.396522482601</v>
      </c>
      <c r="H6" s="5">
        <v>-3.0324160894479601E-2</v>
      </c>
      <c r="I6" s="6">
        <v>13189.915261784299</v>
      </c>
      <c r="J6" s="6">
        <v>-335.61574049935001</v>
      </c>
      <c r="K6" s="6">
        <v>11630.811551452</v>
      </c>
      <c r="L6" s="5">
        <v>-2.88557457073964E-2</v>
      </c>
      <c r="M6" s="6">
        <v>11295.1958109527</v>
      </c>
      <c r="N6" t="s">
        <v>24</v>
      </c>
    </row>
    <row r="7" spans="1:42" x14ac:dyDescent="0.25">
      <c r="A7" t="s">
        <v>5</v>
      </c>
      <c r="B7" s="6">
        <v>-24187.678536078602</v>
      </c>
      <c r="C7" s="6">
        <v>15388.101781445501</v>
      </c>
      <c r="D7" s="5">
        <v>-1.5718429004182399</v>
      </c>
      <c r="E7" s="6">
        <v>-8799.5767546330299</v>
      </c>
      <c r="F7" s="6">
        <v>-5025.3693987003298</v>
      </c>
      <c r="G7" s="6">
        <v>11163.6028158956</v>
      </c>
      <c r="H7" s="5">
        <v>-0.45015659205868702</v>
      </c>
      <c r="I7" s="6">
        <v>6138.2334171952698</v>
      </c>
      <c r="J7" s="6">
        <v>-2036.7477236836501</v>
      </c>
      <c r="K7" s="6">
        <v>9267.5677992554793</v>
      </c>
      <c r="L7" s="5">
        <v>-0.21977154824238501</v>
      </c>
      <c r="M7" s="6">
        <v>7230.8200755718199</v>
      </c>
      <c r="N7" t="s">
        <v>24</v>
      </c>
    </row>
    <row r="8" spans="1:42" x14ac:dyDescent="0.25">
      <c r="A8" t="s">
        <v>8</v>
      </c>
      <c r="B8" s="6">
        <v>-58217.953069988798</v>
      </c>
      <c r="C8" s="6">
        <v>27759.150601618701</v>
      </c>
      <c r="D8" s="5">
        <v>-2.0972526827457698</v>
      </c>
      <c r="E8" s="6">
        <v>-30458.802468370101</v>
      </c>
      <c r="F8" s="6">
        <v>-12921.4355867997</v>
      </c>
      <c r="G8" s="6">
        <v>16483.501297233201</v>
      </c>
      <c r="H8" s="5">
        <v>-0.78390114780823705</v>
      </c>
      <c r="I8" s="6">
        <v>3562.0657104335301</v>
      </c>
      <c r="J8" s="6">
        <v>-5363.8813822450302</v>
      </c>
      <c r="K8" s="6">
        <v>12128.4723693708</v>
      </c>
      <c r="L8" s="5">
        <v>-0.442255316159266</v>
      </c>
      <c r="M8" s="6">
        <v>6764.59098712583</v>
      </c>
      <c r="N8" t="s">
        <v>24</v>
      </c>
    </row>
    <row r="9" spans="1:42" x14ac:dyDescent="0.25">
      <c r="A9" t="s">
        <v>7</v>
      </c>
      <c r="B9" s="6">
        <v>-36532.3357027936</v>
      </c>
      <c r="C9" s="6">
        <v>17910.878739285799</v>
      </c>
      <c r="D9" s="5">
        <v>-2.0396729962033202</v>
      </c>
      <c r="E9" s="6">
        <v>-18621.456963507699</v>
      </c>
      <c r="F9" s="6">
        <v>-8027.2493380455498</v>
      </c>
      <c r="G9" s="6">
        <v>12253.329757220399</v>
      </c>
      <c r="H9" s="5">
        <v>-0.65510759092363402</v>
      </c>
      <c r="I9" s="6">
        <v>4226.0804191748603</v>
      </c>
      <c r="J9" s="6">
        <v>-3292.7796969207502</v>
      </c>
      <c r="K9" s="6">
        <v>9764.4966320009007</v>
      </c>
      <c r="L9" s="5">
        <v>-0.33721960496452202</v>
      </c>
      <c r="M9" s="6">
        <v>6471.7169350801396</v>
      </c>
      <c r="N9" t="s">
        <v>24</v>
      </c>
    </row>
    <row r="10" spans="1:42" x14ac:dyDescent="0.25">
      <c r="A10" t="s">
        <v>9</v>
      </c>
      <c r="B10" s="6">
        <v>-43040.1202776301</v>
      </c>
      <c r="C10" s="6">
        <v>20122.441800915702</v>
      </c>
      <c r="D10" s="5">
        <v>-2.13891140565612</v>
      </c>
      <c r="E10" s="6">
        <v>-22917.6784767143</v>
      </c>
      <c r="F10" s="6">
        <v>-9350.1536406274499</v>
      </c>
      <c r="G10" s="6">
        <v>13167.0476922533</v>
      </c>
      <c r="H10" s="5">
        <v>-0.71011770133774899</v>
      </c>
      <c r="I10" s="6">
        <v>3816.8940516258699</v>
      </c>
      <c r="J10" s="6">
        <v>-3948.2112997761601</v>
      </c>
      <c r="K10" s="6">
        <v>10601.5744577323</v>
      </c>
      <c r="L10" s="5">
        <v>-0.37241744757039502</v>
      </c>
      <c r="M10" s="6">
        <v>6653.3631579561397</v>
      </c>
      <c r="N10" t="s">
        <v>24</v>
      </c>
    </row>
    <row r="11" spans="1:42" x14ac:dyDescent="0.25">
      <c r="A11" t="s">
        <v>77</v>
      </c>
      <c r="B11" s="6">
        <v>0</v>
      </c>
      <c r="C11" s="6">
        <v>13051.0177235479</v>
      </c>
      <c r="D11" s="5">
        <v>0</v>
      </c>
      <c r="E11" s="6">
        <v>13051.0177235479</v>
      </c>
      <c r="F11" s="6">
        <v>0</v>
      </c>
      <c r="G11" s="6">
        <v>10184.315745906601</v>
      </c>
      <c r="H11" s="5">
        <v>0</v>
      </c>
      <c r="I11" s="6">
        <v>10184.315745906601</v>
      </c>
      <c r="J11" s="6">
        <v>0</v>
      </c>
      <c r="K11" s="6">
        <v>8618.8843159772096</v>
      </c>
      <c r="L11" s="5">
        <v>0</v>
      </c>
      <c r="M11" s="6">
        <v>8618.8843159772096</v>
      </c>
      <c r="N11" t="s">
        <v>24</v>
      </c>
    </row>
    <row r="12" spans="1:42" x14ac:dyDescent="0.25">
      <c r="A12" t="s">
        <v>10</v>
      </c>
      <c r="B12" s="6">
        <v>-38255.645925858298</v>
      </c>
      <c r="C12" s="6">
        <v>40895.3342747446</v>
      </c>
      <c r="D12" s="5">
        <v>-0.93545257923184399</v>
      </c>
      <c r="E12" s="6">
        <v>2639.68834888631</v>
      </c>
      <c r="F12" s="6">
        <v>-10717.5437780061</v>
      </c>
      <c r="G12" s="6">
        <v>26505.399439955301</v>
      </c>
      <c r="H12" s="5">
        <v>-0.40435322630339199</v>
      </c>
      <c r="I12" s="6">
        <v>15787.855661949199</v>
      </c>
      <c r="J12" s="6">
        <v>-5715.8742587877696</v>
      </c>
      <c r="K12" s="6">
        <v>20036.443432298802</v>
      </c>
      <c r="L12" s="5">
        <v>-0.28527389494553501</v>
      </c>
      <c r="M12" s="6">
        <v>14320.569173510999</v>
      </c>
      <c r="N12" t="s">
        <v>24</v>
      </c>
    </row>
    <row r="13" spans="1:42" x14ac:dyDescent="0.25">
      <c r="A13" t="s">
        <v>11</v>
      </c>
      <c r="B13" s="6">
        <v>-118894.24644871699</v>
      </c>
      <c r="C13" s="6">
        <v>1189299.38152195</v>
      </c>
      <c r="D13" s="5">
        <v>-9.9969989302918297E-2</v>
      </c>
      <c r="E13" s="6">
        <v>1070405.1350732299</v>
      </c>
      <c r="F13" s="6">
        <v>-43687.746545707101</v>
      </c>
      <c r="G13" s="6">
        <v>307571.125560107</v>
      </c>
      <c r="H13" s="5">
        <v>-0.142041118021559</v>
      </c>
      <c r="I13" s="6">
        <v>263883.37901440001</v>
      </c>
      <c r="J13" s="6">
        <v>-25574.064566239598</v>
      </c>
      <c r="K13" s="6">
        <v>147554.190283173</v>
      </c>
      <c r="L13" s="5">
        <v>-0.17331981231546201</v>
      </c>
      <c r="M13" s="6">
        <v>121980.125716934</v>
      </c>
      <c r="N13" t="s">
        <v>24</v>
      </c>
    </row>
    <row r="14" spans="1:42" x14ac:dyDescent="0.25">
      <c r="A14" t="s">
        <v>12</v>
      </c>
      <c r="B14" s="6">
        <v>-27847.7754083363</v>
      </c>
      <c r="C14" s="6">
        <v>24405.477753761399</v>
      </c>
      <c r="D14" s="5">
        <v>-1.14104610814448</v>
      </c>
      <c r="E14" s="6">
        <v>-3442.2976545748802</v>
      </c>
      <c r="F14" s="6">
        <v>-6640.4507534377399</v>
      </c>
      <c r="G14" s="6">
        <v>16540.7079260965</v>
      </c>
      <c r="H14" s="5">
        <v>-0.40146109725817603</v>
      </c>
      <c r="I14" s="6">
        <v>9900.2571726588303</v>
      </c>
      <c r="J14" s="6">
        <v>-3093.7558246702902</v>
      </c>
      <c r="K14" s="6">
        <v>12931.114745876101</v>
      </c>
      <c r="L14" s="5">
        <v>-0.23924896541939</v>
      </c>
      <c r="M14" s="6">
        <v>9837.3589212058396</v>
      </c>
      <c r="N14" t="s">
        <v>24</v>
      </c>
    </row>
    <row r="15" spans="1:42" x14ac:dyDescent="0.25">
      <c r="A15" t="s">
        <v>42</v>
      </c>
      <c r="B15" s="6">
        <v>-110898.496318538</v>
      </c>
      <c r="C15" s="6">
        <v>70029.473247727205</v>
      </c>
      <c r="D15" s="5">
        <v>-1.58359746511641</v>
      </c>
      <c r="E15" s="6">
        <v>-40869.023070811098</v>
      </c>
      <c r="F15" s="6">
        <v>-29063.628096181299</v>
      </c>
      <c r="G15" s="6">
        <v>30483.9856203167</v>
      </c>
      <c r="H15" s="5">
        <v>-0.95340643635559297</v>
      </c>
      <c r="I15" s="6">
        <v>1420.3575241353999</v>
      </c>
      <c r="J15" s="6">
        <v>-12270.0831571496</v>
      </c>
      <c r="K15" s="6">
        <v>18658.255307640298</v>
      </c>
      <c r="L15" s="5">
        <v>-0.65762221359063699</v>
      </c>
      <c r="M15" s="6">
        <v>6388.17215049064</v>
      </c>
      <c r="N15" t="s">
        <v>24</v>
      </c>
    </row>
    <row r="16" spans="1:42" x14ac:dyDescent="0.25">
      <c r="B16" s="6"/>
      <c r="C16" s="6"/>
      <c r="E16" s="6"/>
      <c r="F16" s="6"/>
      <c r="G16" s="6"/>
      <c r="I16" s="6"/>
      <c r="J16" s="6"/>
      <c r="K16" s="6"/>
      <c r="M16" s="6"/>
    </row>
    <row r="17" spans="1:14" x14ac:dyDescent="0.25">
      <c r="A17" s="3" t="s">
        <v>43</v>
      </c>
      <c r="B17" s="6" t="s">
        <v>36</v>
      </c>
      <c r="C17" s="6" t="s">
        <v>37</v>
      </c>
      <c r="D17" s="5" t="s">
        <v>38</v>
      </c>
      <c r="E17" s="6" t="s">
        <v>39</v>
      </c>
      <c r="F17" s="6" t="s">
        <v>15</v>
      </c>
      <c r="G17" s="6" t="s">
        <v>16</v>
      </c>
      <c r="H17" s="5" t="s">
        <v>17</v>
      </c>
      <c r="I17" s="6" t="s">
        <v>18</v>
      </c>
      <c r="J17" s="6" t="s">
        <v>19</v>
      </c>
      <c r="K17" s="6" t="s">
        <v>20</v>
      </c>
      <c r="L17" s="5" t="s">
        <v>21</v>
      </c>
      <c r="M17" s="6" t="s">
        <v>22</v>
      </c>
      <c r="N17" t="s">
        <v>23</v>
      </c>
    </row>
    <row r="18" spans="1:14" x14ac:dyDescent="0.25">
      <c r="A18" t="s">
        <v>1</v>
      </c>
      <c r="B18" s="6">
        <f t="shared" ref="B18:C26" si="0">B2-B$33</f>
        <v>-87041.623714157293</v>
      </c>
      <c r="C18" s="6">
        <f t="shared" si="0"/>
        <v>55215.053146678598</v>
      </c>
      <c r="D18" s="5">
        <f>B18/C18</f>
        <v>-1.5764111189557586</v>
      </c>
      <c r="E18" s="6">
        <f>B18+C18</f>
        <v>-31826.570567478695</v>
      </c>
      <c r="F18" s="6">
        <f t="shared" ref="F18:G26" si="1">F2-F$33</f>
        <v>-24009.774422884198</v>
      </c>
      <c r="G18" s="6">
        <f t="shared" si="1"/>
        <v>19507.666627389299</v>
      </c>
      <c r="H18" s="5">
        <f>F18/G18</f>
        <v>-1.2307865867040098</v>
      </c>
      <c r="I18" s="6">
        <f>F18+G18</f>
        <v>-4502.1077954948996</v>
      </c>
      <c r="J18" s="6">
        <f t="shared" ref="J18:K26" si="2">J2-J$33</f>
        <v>-10209.740402372299</v>
      </c>
      <c r="K18" s="6">
        <f t="shared" si="2"/>
        <v>9476.2180210839888</v>
      </c>
      <c r="L18" s="5">
        <f>J18/K18</f>
        <v>-1.0774066594559422</v>
      </c>
      <c r="M18" s="6">
        <f>J18+K18</f>
        <v>-733.5223812883105</v>
      </c>
      <c r="N18" t="s">
        <v>24</v>
      </c>
    </row>
    <row r="19" spans="1:14" x14ac:dyDescent="0.25">
      <c r="A19" t="s">
        <v>2</v>
      </c>
      <c r="B19" s="6">
        <f t="shared" si="0"/>
        <v>-277189.41464709002</v>
      </c>
      <c r="C19" s="6">
        <f t="shared" si="0"/>
        <v>272173.78966586111</v>
      </c>
      <c r="D19" s="5">
        <f t="shared" ref="D19:D30" si="3">B19/C19</f>
        <v>-1.0184280234602547</v>
      </c>
      <c r="E19" s="6">
        <f t="shared" ref="E19:E30" si="4">B19+C19</f>
        <v>-5015.6249812289025</v>
      </c>
      <c r="F19" s="6">
        <f t="shared" si="1"/>
        <v>-48914.657028755297</v>
      </c>
      <c r="G19" s="6">
        <f t="shared" si="1"/>
        <v>49024.1061810541</v>
      </c>
      <c r="H19" s="5">
        <f t="shared" ref="H19:H30" si="5">F19/G19</f>
        <v>-0.99776744216621538</v>
      </c>
      <c r="I19" s="6">
        <f t="shared" ref="I19:I30" si="6">F19+G19</f>
        <v>109.4491522988028</v>
      </c>
      <c r="J19" s="6">
        <f t="shared" si="2"/>
        <v>-15980.398221146799</v>
      </c>
      <c r="K19" s="6">
        <f t="shared" si="2"/>
        <v>16568.117338946591</v>
      </c>
      <c r="L19" s="5">
        <f t="shared" ref="L19:L30" si="7">J19/K19</f>
        <v>-0.96452710312364554</v>
      </c>
      <c r="M19" s="6">
        <f t="shared" ref="M19:M30" si="8">J19+K19</f>
        <v>587.719117799792</v>
      </c>
      <c r="N19" t="s">
        <v>24</v>
      </c>
    </row>
    <row r="20" spans="1:14" x14ac:dyDescent="0.25">
      <c r="A20" t="s">
        <v>3</v>
      </c>
      <c r="B20" s="6">
        <f t="shared" si="0"/>
        <v>-52712.756725281797</v>
      </c>
      <c r="C20" s="6">
        <f t="shared" si="0"/>
        <v>60824.649079375005</v>
      </c>
      <c r="D20" s="5">
        <f t="shared" si="3"/>
        <v>-0.86663478578384656</v>
      </c>
      <c r="E20" s="6">
        <f t="shared" si="4"/>
        <v>8111.8923540932083</v>
      </c>
      <c r="F20" s="6">
        <f t="shared" si="1"/>
        <v>-18634.107191897401</v>
      </c>
      <c r="G20" s="6">
        <f t="shared" si="1"/>
        <v>30778.911794356602</v>
      </c>
      <c r="H20" s="5">
        <f t="shared" si="5"/>
        <v>-0.60541799906369709</v>
      </c>
      <c r="I20" s="6">
        <f t="shared" si="6"/>
        <v>12144.8046024592</v>
      </c>
      <c r="J20" s="6">
        <f t="shared" si="2"/>
        <v>-10131.117210586999</v>
      </c>
      <c r="K20" s="6">
        <f t="shared" si="2"/>
        <v>19137.170013317693</v>
      </c>
      <c r="L20" s="5">
        <f t="shared" si="7"/>
        <v>-0.52939474350369897</v>
      </c>
      <c r="M20" s="6">
        <f t="shared" si="8"/>
        <v>9006.0528027306937</v>
      </c>
      <c r="N20" t="s">
        <v>24</v>
      </c>
    </row>
    <row r="21" spans="1:14" x14ac:dyDescent="0.25">
      <c r="A21" t="s">
        <v>4</v>
      </c>
      <c r="B21" s="6">
        <f t="shared" si="0"/>
        <v>-568357.47058677697</v>
      </c>
      <c r="C21" s="6">
        <f t="shared" si="0"/>
        <v>630342.79779581109</v>
      </c>
      <c r="D21" s="5">
        <f t="shared" si="3"/>
        <v>-0.90166409860510022</v>
      </c>
      <c r="E21" s="6">
        <f t="shared" si="4"/>
        <v>61985.32720903412</v>
      </c>
      <c r="F21" s="6">
        <f t="shared" si="1"/>
        <v>-107357.135510147</v>
      </c>
      <c r="G21" s="6">
        <f t="shared" si="1"/>
        <v>123203.10413121541</v>
      </c>
      <c r="H21" s="5">
        <f t="shared" si="5"/>
        <v>-0.87138336543702721</v>
      </c>
      <c r="I21" s="6">
        <f t="shared" si="6"/>
        <v>15845.968621068416</v>
      </c>
      <c r="J21" s="6">
        <f t="shared" si="2"/>
        <v>-37918.655503970796</v>
      </c>
      <c r="K21" s="6">
        <f t="shared" si="2"/>
        <v>45651.924713912995</v>
      </c>
      <c r="L21" s="5">
        <f t="shared" si="7"/>
        <v>-0.83060365453583196</v>
      </c>
      <c r="M21" s="6">
        <f t="shared" si="8"/>
        <v>7733.2692099421984</v>
      </c>
      <c r="N21" t="s">
        <v>24</v>
      </c>
    </row>
    <row r="22" spans="1:14" x14ac:dyDescent="0.25">
      <c r="A22" t="s">
        <v>6</v>
      </c>
      <c r="B22" s="6">
        <f t="shared" si="0"/>
        <v>-629.11242305952999</v>
      </c>
      <c r="C22" s="6">
        <f t="shared" si="0"/>
        <v>4126.2415688571</v>
      </c>
      <c r="D22" s="5">
        <f t="shared" si="3"/>
        <v>-0.15246621230510835</v>
      </c>
      <c r="E22" s="6">
        <f t="shared" si="4"/>
        <v>3497.1291457975699</v>
      </c>
      <c r="F22" s="6">
        <f t="shared" si="1"/>
        <v>-412.48126069827401</v>
      </c>
      <c r="G22" s="6">
        <f t="shared" si="1"/>
        <v>3418.0807765760001</v>
      </c>
      <c r="H22" s="5">
        <f t="shared" si="5"/>
        <v>-0.1206762764429077</v>
      </c>
      <c r="I22" s="6">
        <f t="shared" si="6"/>
        <v>3005.5995158777259</v>
      </c>
      <c r="J22" s="6">
        <f t="shared" si="2"/>
        <v>-335.61574049935001</v>
      </c>
      <c r="K22" s="6">
        <f t="shared" si="2"/>
        <v>3011.92723547479</v>
      </c>
      <c r="L22" s="5">
        <f t="shared" si="7"/>
        <v>-0.11142890058778086</v>
      </c>
      <c r="M22" s="6">
        <f t="shared" si="8"/>
        <v>2676.3114949754399</v>
      </c>
      <c r="N22" t="s">
        <v>24</v>
      </c>
    </row>
    <row r="23" spans="1:14" x14ac:dyDescent="0.25">
      <c r="A23" t="s">
        <v>5</v>
      </c>
      <c r="B23" s="6">
        <f t="shared" si="0"/>
        <v>-24187.678536078602</v>
      </c>
      <c r="C23" s="6">
        <f t="shared" si="0"/>
        <v>2337.0840578976004</v>
      </c>
      <c r="D23" s="5">
        <f t="shared" si="3"/>
        <v>-10.349511586603954</v>
      </c>
      <c r="E23" s="6">
        <f t="shared" si="4"/>
        <v>-21850.594478181003</v>
      </c>
      <c r="F23" s="6">
        <f t="shared" si="1"/>
        <v>-5025.3693987003298</v>
      </c>
      <c r="G23" s="6">
        <f t="shared" si="1"/>
        <v>979.28706998899906</v>
      </c>
      <c r="H23" s="5">
        <f t="shared" si="5"/>
        <v>-5.1316611366642295</v>
      </c>
      <c r="I23" s="6">
        <f t="shared" si="6"/>
        <v>-4046.0823287113308</v>
      </c>
      <c r="J23" s="6">
        <f t="shared" si="2"/>
        <v>-2036.7477236836501</v>
      </c>
      <c r="K23" s="6">
        <f t="shared" si="2"/>
        <v>648.6834832782697</v>
      </c>
      <c r="L23" s="5">
        <f t="shared" si="7"/>
        <v>-3.1398174551793452</v>
      </c>
      <c r="M23" s="6">
        <f t="shared" si="8"/>
        <v>-1388.0642404053804</v>
      </c>
      <c r="N23" t="s">
        <v>24</v>
      </c>
    </row>
    <row r="24" spans="1:14" x14ac:dyDescent="0.25">
      <c r="A24" t="s">
        <v>8</v>
      </c>
      <c r="B24" s="6">
        <f t="shared" si="0"/>
        <v>-58217.953069988798</v>
      </c>
      <c r="C24" s="6">
        <f t="shared" si="0"/>
        <v>14708.132878070801</v>
      </c>
      <c r="D24" s="5">
        <f t="shared" si="3"/>
        <v>-3.9582150605118129</v>
      </c>
      <c r="E24" s="6">
        <f t="shared" si="4"/>
        <v>-43509.820191917999</v>
      </c>
      <c r="F24" s="6">
        <f t="shared" si="1"/>
        <v>-12921.4355867997</v>
      </c>
      <c r="G24" s="6">
        <f t="shared" si="1"/>
        <v>6299.1855513266</v>
      </c>
      <c r="H24" s="5">
        <f t="shared" si="5"/>
        <v>-2.0512867070693708</v>
      </c>
      <c r="I24" s="6">
        <f t="shared" si="6"/>
        <v>-6622.2500354731001</v>
      </c>
      <c r="J24" s="6">
        <f t="shared" si="2"/>
        <v>-5363.8813822450302</v>
      </c>
      <c r="K24" s="6">
        <f t="shared" si="2"/>
        <v>3509.5880533935906</v>
      </c>
      <c r="L24" s="5">
        <f t="shared" si="7"/>
        <v>-1.5283507068752509</v>
      </c>
      <c r="M24" s="6">
        <f t="shared" si="8"/>
        <v>-1854.2933288514396</v>
      </c>
      <c r="N24" t="s">
        <v>24</v>
      </c>
    </row>
    <row r="25" spans="1:14" x14ac:dyDescent="0.25">
      <c r="A25" t="s">
        <v>7</v>
      </c>
      <c r="B25" s="6">
        <f t="shared" si="0"/>
        <v>-36532.3357027936</v>
      </c>
      <c r="C25" s="6">
        <f t="shared" si="0"/>
        <v>4859.8610157378989</v>
      </c>
      <c r="D25" s="5">
        <f t="shared" si="3"/>
        <v>-7.5171564751521389</v>
      </c>
      <c r="E25" s="6">
        <f t="shared" si="4"/>
        <v>-31672.474687055699</v>
      </c>
      <c r="F25" s="6">
        <f t="shared" si="1"/>
        <v>-8027.2493380455498</v>
      </c>
      <c r="G25" s="6">
        <f t="shared" si="1"/>
        <v>2069.0140113137986</v>
      </c>
      <c r="H25" s="5">
        <f t="shared" si="5"/>
        <v>-3.8797462434526215</v>
      </c>
      <c r="I25" s="6">
        <f t="shared" si="6"/>
        <v>-5958.2353267317512</v>
      </c>
      <c r="J25" s="6">
        <f t="shared" si="2"/>
        <v>-3292.7796969207502</v>
      </c>
      <c r="K25" s="6">
        <f t="shared" si="2"/>
        <v>1145.6123160236912</v>
      </c>
      <c r="L25" s="5">
        <f t="shared" si="7"/>
        <v>-2.8742530530307739</v>
      </c>
      <c r="M25" s="6">
        <f t="shared" si="8"/>
        <v>-2147.167380897059</v>
      </c>
      <c r="N25" t="s">
        <v>24</v>
      </c>
    </row>
    <row r="26" spans="1:14" x14ac:dyDescent="0.25">
      <c r="A26" t="s">
        <v>9</v>
      </c>
      <c r="B26" s="6">
        <f t="shared" si="0"/>
        <v>-43040.1202776301</v>
      </c>
      <c r="C26" s="6">
        <f t="shared" si="0"/>
        <v>7071.4240773678011</v>
      </c>
      <c r="D26" s="5">
        <f t="shared" si="3"/>
        <v>-6.0864855235285136</v>
      </c>
      <c r="E26" s="6">
        <f t="shared" si="4"/>
        <v>-35968.696200262297</v>
      </c>
      <c r="F26" s="6">
        <f t="shared" si="1"/>
        <v>-9350.1536406274499</v>
      </c>
      <c r="G26" s="6">
        <f t="shared" si="1"/>
        <v>2982.7319463466993</v>
      </c>
      <c r="H26" s="5">
        <f t="shared" si="5"/>
        <v>-3.1347616241813738</v>
      </c>
      <c r="I26" s="6">
        <f t="shared" si="6"/>
        <v>-6367.4216942807507</v>
      </c>
      <c r="J26" s="6">
        <f t="shared" si="2"/>
        <v>-3948.2112997761601</v>
      </c>
      <c r="K26" s="6">
        <f t="shared" si="2"/>
        <v>1982.6901417550907</v>
      </c>
      <c r="L26" s="5">
        <f t="shared" si="7"/>
        <v>-1.9913405613048425</v>
      </c>
      <c r="M26" s="6">
        <f t="shared" si="8"/>
        <v>-1965.5211580210694</v>
      </c>
      <c r="N26" t="s">
        <v>24</v>
      </c>
    </row>
    <row r="27" spans="1:14" x14ac:dyDescent="0.25">
      <c r="A27" t="s">
        <v>10</v>
      </c>
      <c r="B27" s="6">
        <f t="shared" ref="B27:C30" si="9">B12-B$33</f>
        <v>-38255.645925858298</v>
      </c>
      <c r="C27" s="6">
        <f t="shared" si="9"/>
        <v>27844.316551196702</v>
      </c>
      <c r="D27" s="5">
        <f t="shared" si="3"/>
        <v>-1.3739121897827344</v>
      </c>
      <c r="E27" s="6">
        <f t="shared" si="4"/>
        <v>-10411.329374661596</v>
      </c>
      <c r="F27" s="6">
        <f t="shared" ref="F27:G30" si="10">F12-F$33</f>
        <v>-10717.5437780061</v>
      </c>
      <c r="G27" s="6">
        <f t="shared" si="10"/>
        <v>16321.083694048701</v>
      </c>
      <c r="H27" s="5">
        <f t="shared" si="5"/>
        <v>-0.65666863664905606</v>
      </c>
      <c r="I27" s="6">
        <f t="shared" si="6"/>
        <v>5603.5399160426005</v>
      </c>
      <c r="J27" s="6">
        <f t="shared" ref="J27:K30" si="11">J12-J$33</f>
        <v>-5715.8742587877696</v>
      </c>
      <c r="K27" s="6">
        <f t="shared" si="11"/>
        <v>11417.559116321592</v>
      </c>
      <c r="L27" s="5">
        <f t="shared" si="7"/>
        <v>-0.50062138505740961</v>
      </c>
      <c r="M27" s="6">
        <f t="shared" si="8"/>
        <v>5701.6848575338227</v>
      </c>
      <c r="N27" t="s">
        <v>24</v>
      </c>
    </row>
    <row r="28" spans="1:14" x14ac:dyDescent="0.25">
      <c r="A28" t="s">
        <v>11</v>
      </c>
      <c r="B28" s="6">
        <f t="shared" si="9"/>
        <v>-118894.24644871699</v>
      </c>
      <c r="C28" s="6">
        <f t="shared" si="9"/>
        <v>1176248.363798402</v>
      </c>
      <c r="D28" s="5">
        <f t="shared" si="3"/>
        <v>-0.10107920240992094</v>
      </c>
      <c r="E28" s="6">
        <f t="shared" si="4"/>
        <v>1057354.1173496849</v>
      </c>
      <c r="F28" s="6">
        <f t="shared" si="10"/>
        <v>-43687.746545707101</v>
      </c>
      <c r="G28" s="6">
        <f t="shared" si="10"/>
        <v>297386.80981420039</v>
      </c>
      <c r="H28" s="5">
        <f t="shared" si="5"/>
        <v>-0.1469054615199715</v>
      </c>
      <c r="I28" s="6">
        <f t="shared" si="6"/>
        <v>253699.06326849328</v>
      </c>
      <c r="J28" s="6">
        <f t="shared" si="11"/>
        <v>-25574.064566239598</v>
      </c>
      <c r="K28" s="6">
        <f t="shared" si="11"/>
        <v>138935.30596719577</v>
      </c>
      <c r="L28" s="5">
        <f t="shared" si="7"/>
        <v>-0.18407174755333916</v>
      </c>
      <c r="M28" s="6">
        <f t="shared" si="8"/>
        <v>113361.24140095618</v>
      </c>
      <c r="N28" t="s">
        <v>24</v>
      </c>
    </row>
    <row r="29" spans="1:14" x14ac:dyDescent="0.25">
      <c r="A29" t="s">
        <v>12</v>
      </c>
      <c r="B29" s="6">
        <f t="shared" si="9"/>
        <v>-27847.7754083363</v>
      </c>
      <c r="C29" s="6">
        <f t="shared" si="9"/>
        <v>11354.460030213499</v>
      </c>
      <c r="D29" s="5">
        <f t="shared" si="3"/>
        <v>-2.4525847406424552</v>
      </c>
      <c r="E29" s="6">
        <f t="shared" si="4"/>
        <v>-16493.315378122803</v>
      </c>
      <c r="F29" s="6">
        <f t="shared" si="10"/>
        <v>-6640.4507534377399</v>
      </c>
      <c r="G29" s="6">
        <f t="shared" si="10"/>
        <v>6356.3921801898996</v>
      </c>
      <c r="H29" s="5">
        <f t="shared" si="5"/>
        <v>-1.0446886480876882</v>
      </c>
      <c r="I29" s="6">
        <f t="shared" si="6"/>
        <v>-284.05857324784029</v>
      </c>
      <c r="J29" s="6">
        <f t="shared" si="11"/>
        <v>-3093.7558246702902</v>
      </c>
      <c r="K29" s="6">
        <f t="shared" si="11"/>
        <v>4312.2304298988911</v>
      </c>
      <c r="L29" s="5">
        <f t="shared" si="7"/>
        <v>-0.71743750130320139</v>
      </c>
      <c r="M29" s="6">
        <f t="shared" si="8"/>
        <v>1218.4746052286009</v>
      </c>
      <c r="N29" t="s">
        <v>24</v>
      </c>
    </row>
    <row r="30" spans="1:14" x14ac:dyDescent="0.25">
      <c r="A30" t="s">
        <v>42</v>
      </c>
      <c r="B30" s="6">
        <f t="shared" si="9"/>
        <v>-110898.496318538</v>
      </c>
      <c r="C30" s="6">
        <f t="shared" si="9"/>
        <v>56978.455524179306</v>
      </c>
      <c r="D30" s="5">
        <f t="shared" si="3"/>
        <v>-1.9463233128787996</v>
      </c>
      <c r="E30" s="6">
        <f t="shared" si="4"/>
        <v>-53920.040794358698</v>
      </c>
      <c r="F30" s="6">
        <f t="shared" si="10"/>
        <v>-29063.628096181299</v>
      </c>
      <c r="G30" s="6">
        <f t="shared" si="10"/>
        <v>20299.669874410101</v>
      </c>
      <c r="H30" s="5">
        <f t="shared" si="5"/>
        <v>-1.4317291008175015</v>
      </c>
      <c r="I30" s="6">
        <f t="shared" si="6"/>
        <v>-8763.9582217711977</v>
      </c>
      <c r="J30" s="6">
        <f t="shared" si="11"/>
        <v>-12270.0831571496</v>
      </c>
      <c r="K30" s="6">
        <f t="shared" si="11"/>
        <v>10039.370991663089</v>
      </c>
      <c r="L30" s="5">
        <f t="shared" si="7"/>
        <v>-1.2221964072588754</v>
      </c>
      <c r="M30" s="6">
        <f t="shared" si="8"/>
        <v>-2230.7121654865114</v>
      </c>
      <c r="N30" t="s">
        <v>24</v>
      </c>
    </row>
    <row r="32" spans="1:14" x14ac:dyDescent="0.25">
      <c r="A32" t="s">
        <v>13</v>
      </c>
      <c r="B32" t="s">
        <v>44</v>
      </c>
      <c r="C32" t="s">
        <v>45</v>
      </c>
      <c r="F32" t="s">
        <v>46</v>
      </c>
      <c r="G32" t="s">
        <v>47</v>
      </c>
      <c r="J32" t="s">
        <v>48</v>
      </c>
      <c r="K32" t="s">
        <v>49</v>
      </c>
    </row>
    <row r="33" spans="2:13" x14ac:dyDescent="0.25">
      <c r="B33" s="1">
        <v>0</v>
      </c>
      <c r="C33" s="1">
        <v>13051.0177235479</v>
      </c>
      <c r="D33" s="5">
        <v>0</v>
      </c>
      <c r="E33">
        <v>13051.0177235479</v>
      </c>
      <c r="F33" s="1">
        <v>0</v>
      </c>
      <c r="G33" s="1">
        <v>10184.315745906601</v>
      </c>
      <c r="H33" s="5">
        <v>0</v>
      </c>
      <c r="I33">
        <v>10184.315745906601</v>
      </c>
      <c r="J33" s="1">
        <v>0</v>
      </c>
      <c r="K33" s="1">
        <v>8618.8843159772096</v>
      </c>
      <c r="L33" s="5">
        <v>0</v>
      </c>
      <c r="M33">
        <v>8618.8843159772096</v>
      </c>
    </row>
  </sheetData>
  <conditionalFormatting sqref="D2:D15 H2:H15 L2:L15">
    <cfRule type="colorScale" priority="5">
      <colorScale>
        <cfvo type="min"/>
        <cfvo type="num" val="-1"/>
        <cfvo type="max"/>
        <color theme="6"/>
        <color theme="0"/>
        <color rgb="FFC00000"/>
      </colorScale>
    </cfRule>
  </conditionalFormatting>
  <conditionalFormatting sqref="D18:D30">
    <cfRule type="colorScale" priority="28">
      <colorScale>
        <cfvo type="min"/>
        <cfvo type="num" val="-1"/>
        <cfvo type="max"/>
        <color theme="6"/>
        <color theme="0"/>
        <color rgb="FFC00000"/>
      </colorScale>
    </cfRule>
  </conditionalFormatting>
  <conditionalFormatting sqref="H18:H30">
    <cfRule type="colorScale" priority="30">
      <colorScale>
        <cfvo type="min"/>
        <cfvo type="num" val="-1"/>
        <cfvo type="max"/>
        <color theme="6"/>
        <color theme="0"/>
        <color rgb="FFC00000"/>
      </colorScale>
    </cfRule>
  </conditionalFormatting>
  <conditionalFormatting sqref="L18:L30">
    <cfRule type="colorScale" priority="32">
      <colorScale>
        <cfvo type="min"/>
        <cfvo type="num" val="-1"/>
        <cfvo type="max"/>
        <color theme="6"/>
        <color theme="0"/>
        <color rgb="FFC00000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25FA5-7769-47FF-9EA0-8E472D7D4015}">
  <dimension ref="A1:AP33"/>
  <sheetViews>
    <sheetView topLeftCell="G1" workbookViewId="0">
      <selection activeCell="M16" sqref="M16"/>
    </sheetView>
  </sheetViews>
  <sheetFormatPr defaultRowHeight="15" x14ac:dyDescent="0.25"/>
  <cols>
    <col min="1" max="1" width="22.28515625" bestFit="1" customWidth="1"/>
    <col min="2" max="2" width="14.5703125" bestFit="1" customWidth="1"/>
    <col min="3" max="3" width="13.85546875" bestFit="1" customWidth="1"/>
    <col min="4" max="4" width="20" style="5" bestFit="1" customWidth="1"/>
    <col min="5" max="5" width="20" bestFit="1" customWidth="1"/>
    <col min="6" max="6" width="15.28515625" bestFit="1" customWidth="1"/>
    <col min="7" max="7" width="13" bestFit="1" customWidth="1"/>
    <col min="8" max="8" width="21" style="5" bestFit="1" customWidth="1"/>
    <col min="9" max="9" width="21" bestFit="1" customWidth="1"/>
    <col min="10" max="10" width="15.28515625" bestFit="1" customWidth="1"/>
    <col min="11" max="11" width="13" bestFit="1" customWidth="1"/>
    <col min="12" max="12" width="21" style="5" bestFit="1" customWidth="1"/>
    <col min="13" max="13" width="21" bestFit="1" customWidth="1"/>
  </cols>
  <sheetData>
    <row r="1" spans="1:42" x14ac:dyDescent="0.25">
      <c r="A1" t="s">
        <v>0</v>
      </c>
      <c r="B1" s="4" t="s">
        <v>36</v>
      </c>
      <c r="C1" s="4" t="s">
        <v>37</v>
      </c>
      <c r="D1" s="5" t="s">
        <v>38</v>
      </c>
      <c r="E1" s="4" t="s">
        <v>39</v>
      </c>
      <c r="F1" t="s">
        <v>15</v>
      </c>
      <c r="G1" t="s">
        <v>16</v>
      </c>
      <c r="H1" s="5" t="s">
        <v>17</v>
      </c>
      <c r="I1" t="s">
        <v>18</v>
      </c>
      <c r="J1" t="s">
        <v>19</v>
      </c>
      <c r="K1" t="s">
        <v>20</v>
      </c>
      <c r="L1" s="5" t="s">
        <v>21</v>
      </c>
      <c r="M1" t="s">
        <v>22</v>
      </c>
      <c r="N1" t="s">
        <v>23</v>
      </c>
    </row>
    <row r="2" spans="1:42" x14ac:dyDescent="0.25">
      <c r="A2" t="s">
        <v>1</v>
      </c>
      <c r="B2" s="6">
        <v>-169783.383937301</v>
      </c>
      <c r="C2" s="6">
        <v>109571.663236227</v>
      </c>
      <c r="D2" s="5">
        <v>-1.5495190902711999</v>
      </c>
      <c r="E2" s="6">
        <v>-60211.720701074497</v>
      </c>
      <c r="F2" s="6">
        <v>-44358.724472512797</v>
      </c>
      <c r="G2" s="6">
        <v>44038.543338961201</v>
      </c>
      <c r="H2" s="5">
        <v>-1.00727047511738</v>
      </c>
      <c r="I2" s="6">
        <v>-320.18113355166798</v>
      </c>
      <c r="J2" s="6">
        <v>-18237.934782227901</v>
      </c>
      <c r="K2" s="6">
        <v>25144.881146538799</v>
      </c>
      <c r="L2" s="5">
        <v>-0.72531401822666097</v>
      </c>
      <c r="M2" s="6">
        <v>6906.9463643109302</v>
      </c>
      <c r="N2" t="s">
        <v>24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</row>
    <row r="3" spans="1:42" x14ac:dyDescent="0.25">
      <c r="A3" t="s">
        <v>2</v>
      </c>
      <c r="B3" s="6">
        <v>-754774.02503940102</v>
      </c>
      <c r="C3" s="6">
        <v>764266.27563066699</v>
      </c>
      <c r="D3" s="5">
        <v>-0.98757991698190095</v>
      </c>
      <c r="E3" s="6">
        <v>9492.2505912656197</v>
      </c>
      <c r="F3" s="6">
        <v>-118636.45174144401</v>
      </c>
      <c r="G3" s="6">
        <v>130113.044607492</v>
      </c>
      <c r="H3" s="5">
        <v>-0.91179521699250599</v>
      </c>
      <c r="I3" s="6">
        <v>11476.5928660482</v>
      </c>
      <c r="J3" s="6">
        <v>-35032.9534274822</v>
      </c>
      <c r="K3" s="6">
        <v>45257.658276183502</v>
      </c>
      <c r="L3" s="5">
        <v>-0.77407790773651097</v>
      </c>
      <c r="M3" s="6">
        <v>10224.7048487013</v>
      </c>
      <c r="N3" t="s">
        <v>24</v>
      </c>
    </row>
    <row r="4" spans="1:42" x14ac:dyDescent="0.25">
      <c r="A4" t="s">
        <v>3</v>
      </c>
      <c r="B4" s="6">
        <v>-85029.801215989501</v>
      </c>
      <c r="C4" s="6">
        <v>102198.081346162</v>
      </c>
      <c r="D4" s="5">
        <v>-0.83200976080929201</v>
      </c>
      <c r="E4" s="6">
        <v>17168.280130173302</v>
      </c>
      <c r="F4" s="6">
        <v>-26414.7890866241</v>
      </c>
      <c r="G4" s="6">
        <v>55367.134457265798</v>
      </c>
      <c r="H4" s="5">
        <v>-0.47708427292750599</v>
      </c>
      <c r="I4" s="6">
        <v>28952.3453706416</v>
      </c>
      <c r="J4" s="6">
        <v>-13669.170538766301</v>
      </c>
      <c r="K4" s="6">
        <v>36771.1607417388</v>
      </c>
      <c r="L4" s="5">
        <v>-0.37173617212606802</v>
      </c>
      <c r="M4" s="6">
        <v>23101.9902029724</v>
      </c>
      <c r="N4" t="s">
        <v>24</v>
      </c>
    </row>
    <row r="5" spans="1:42" x14ac:dyDescent="0.25">
      <c r="A5" t="s">
        <v>4</v>
      </c>
      <c r="B5" s="6">
        <v>-1464989.78716154</v>
      </c>
      <c r="C5" s="6">
        <v>1485429.39379307</v>
      </c>
      <c r="D5" s="5">
        <v>-0.98623993390938702</v>
      </c>
      <c r="E5" s="6">
        <v>20439.606631531598</v>
      </c>
      <c r="F5" s="6">
        <v>-244021.109044115</v>
      </c>
      <c r="G5" s="6">
        <v>269761.83991016098</v>
      </c>
      <c r="H5" s="5">
        <v>-0.90457979203204397</v>
      </c>
      <c r="I5" s="6">
        <v>25740.730866045898</v>
      </c>
      <c r="J5" s="6">
        <v>-77084.450851909904</v>
      </c>
      <c r="K5" s="6">
        <v>96376.642356775497</v>
      </c>
      <c r="L5" s="5">
        <v>-0.79982502987136495</v>
      </c>
      <c r="M5" s="6">
        <v>19292.191504865601</v>
      </c>
      <c r="N5" t="s">
        <v>24</v>
      </c>
    </row>
    <row r="6" spans="1:42" x14ac:dyDescent="0.25">
      <c r="A6" t="s">
        <v>78</v>
      </c>
      <c r="B6" s="6">
        <v>0</v>
      </c>
      <c r="C6" s="6">
        <v>15116.4576849762</v>
      </c>
      <c r="D6" s="5">
        <v>0</v>
      </c>
      <c r="E6" s="6">
        <v>15116.4576849762</v>
      </c>
      <c r="F6" s="6">
        <v>0</v>
      </c>
      <c r="G6" s="6">
        <v>11664.787219482399</v>
      </c>
      <c r="H6" s="5">
        <v>0</v>
      </c>
      <c r="I6" s="6">
        <v>11664.787219482399</v>
      </c>
      <c r="J6" s="6">
        <v>0</v>
      </c>
      <c r="K6" s="6">
        <v>9787.7637750826798</v>
      </c>
      <c r="L6" s="5">
        <v>0</v>
      </c>
      <c r="M6" s="6">
        <v>9787.7637750826798</v>
      </c>
      <c r="N6" t="s">
        <v>24</v>
      </c>
    </row>
    <row r="7" spans="1:42" x14ac:dyDescent="0.25">
      <c r="A7" t="s">
        <v>6</v>
      </c>
      <c r="B7" s="6">
        <v>-3727.1947617020901</v>
      </c>
      <c r="C7" s="6">
        <v>19326.595251195398</v>
      </c>
      <c r="D7" s="5">
        <v>-0.19285314941707299</v>
      </c>
      <c r="E7" s="6">
        <v>15599.4004894933</v>
      </c>
      <c r="F7" s="6">
        <v>-879.19316191022494</v>
      </c>
      <c r="G7" s="6">
        <v>15143.0056421386</v>
      </c>
      <c r="H7" s="5">
        <v>-5.8059356424175201E-2</v>
      </c>
      <c r="I7" s="6">
        <v>14263.8124802284</v>
      </c>
      <c r="J7" s="6">
        <v>-494.59745807002702</v>
      </c>
      <c r="K7" s="6">
        <v>12847.173309927401</v>
      </c>
      <c r="L7" s="5">
        <v>-3.8498543308965599E-2</v>
      </c>
      <c r="M7" s="6">
        <v>12352.5758518573</v>
      </c>
      <c r="N7" t="s">
        <v>24</v>
      </c>
    </row>
    <row r="8" spans="1:42" x14ac:dyDescent="0.25">
      <c r="A8" t="s">
        <v>5</v>
      </c>
      <c r="B8" s="6">
        <v>-45921.597500000003</v>
      </c>
      <c r="C8" s="6">
        <v>17442.370070000001</v>
      </c>
      <c r="D8" s="5">
        <v>-2.632761334</v>
      </c>
      <c r="E8" s="6">
        <v>-28479.227429999999</v>
      </c>
      <c r="F8" s="6">
        <v>-8674.7509489999993</v>
      </c>
      <c r="G8" s="6">
        <v>12636.066210000001</v>
      </c>
      <c r="H8" s="5">
        <v>-0.68650724100000005</v>
      </c>
      <c r="I8" s="6">
        <v>3961.3152599999999</v>
      </c>
      <c r="J8" s="6">
        <v>-3198.9574539999999</v>
      </c>
      <c r="K8" s="6">
        <v>10430.124330000001</v>
      </c>
      <c r="L8" s="5">
        <v>-0.30670367399999998</v>
      </c>
      <c r="M8" s="6">
        <v>7231.1668760000002</v>
      </c>
      <c r="N8" t="s">
        <v>24</v>
      </c>
    </row>
    <row r="9" spans="1:42" x14ac:dyDescent="0.25">
      <c r="A9" t="s">
        <v>8</v>
      </c>
      <c r="B9" s="6">
        <v>-107072.6366</v>
      </c>
      <c r="C9" s="6">
        <v>29750.17525</v>
      </c>
      <c r="D9" s="5">
        <v>-3.5990590220000001</v>
      </c>
      <c r="E9" s="6">
        <v>-77322.4614</v>
      </c>
      <c r="F9" s="6">
        <v>-21894.339179999999</v>
      </c>
      <c r="G9" s="6">
        <v>17910.632170000001</v>
      </c>
      <c r="H9" s="5">
        <v>-1.222421352</v>
      </c>
      <c r="I9" s="6">
        <v>-3983.7070140000001</v>
      </c>
      <c r="J9" s="6">
        <v>-8514.542308</v>
      </c>
      <c r="K9" s="6">
        <v>13255.23702</v>
      </c>
      <c r="L9" s="5">
        <v>-0.64235307799999997</v>
      </c>
      <c r="M9" s="6">
        <v>4740.6947149999996</v>
      </c>
      <c r="N9" t="s">
        <v>24</v>
      </c>
    </row>
    <row r="10" spans="1:42" x14ac:dyDescent="0.25">
      <c r="A10" t="s">
        <v>7</v>
      </c>
      <c r="B10" s="6">
        <v>-69242.862210000007</v>
      </c>
      <c r="C10" s="6">
        <v>19942.877789999999</v>
      </c>
      <c r="D10" s="5">
        <v>-3.4720596960000001</v>
      </c>
      <c r="E10" s="6">
        <v>-49299.984420000001</v>
      </c>
      <c r="F10" s="6">
        <v>-13872.35764</v>
      </c>
      <c r="G10" s="6">
        <v>13709.831690000001</v>
      </c>
      <c r="H10" s="5">
        <v>-1.0118547010000001</v>
      </c>
      <c r="I10" s="6">
        <v>-162.5259556</v>
      </c>
      <c r="J10" s="6">
        <v>-5283.9158260000004</v>
      </c>
      <c r="K10" s="6">
        <v>10914.4516</v>
      </c>
      <c r="L10" s="5">
        <v>-0.48412105500000002</v>
      </c>
      <c r="M10" s="6">
        <v>5630.5357700000004</v>
      </c>
      <c r="N10" t="s">
        <v>24</v>
      </c>
    </row>
    <row r="11" spans="1:42" x14ac:dyDescent="0.25">
      <c r="A11" t="s">
        <v>9</v>
      </c>
      <c r="B11" s="6">
        <v>-81117.731169999999</v>
      </c>
      <c r="C11" s="6">
        <v>22161.367180000001</v>
      </c>
      <c r="D11" s="5">
        <v>-3.6603216089999999</v>
      </c>
      <c r="E11" s="6">
        <v>-58956.363989999998</v>
      </c>
      <c r="F11" s="6">
        <v>-15910.76873</v>
      </c>
      <c r="G11" s="6">
        <v>14628.51396</v>
      </c>
      <c r="H11" s="5">
        <v>-1.087654479</v>
      </c>
      <c r="I11" s="6">
        <v>-1282.254772</v>
      </c>
      <c r="J11" s="6">
        <v>-6110.8874349999996</v>
      </c>
      <c r="K11" s="6">
        <v>11755.448689999999</v>
      </c>
      <c r="L11" s="5">
        <v>-0.51983447000000005</v>
      </c>
      <c r="M11" s="6">
        <v>5644.5612549999996</v>
      </c>
      <c r="N11" t="s">
        <v>24</v>
      </c>
    </row>
    <row r="12" spans="1:42" x14ac:dyDescent="0.25">
      <c r="A12" t="s">
        <v>10</v>
      </c>
      <c r="B12" s="6">
        <v>-70006.101200000005</v>
      </c>
      <c r="C12" s="6">
        <v>43027.701009999997</v>
      </c>
      <c r="D12" s="5">
        <v>-1.6270007360000001</v>
      </c>
      <c r="E12" s="6">
        <v>-26978.4002</v>
      </c>
      <c r="F12" s="6">
        <v>-16549.278579999998</v>
      </c>
      <c r="G12" s="6">
        <v>28014.328229999999</v>
      </c>
      <c r="H12" s="5">
        <v>-0.59074336699999996</v>
      </c>
      <c r="I12" s="6">
        <v>11465.049650000001</v>
      </c>
      <c r="J12" s="6">
        <v>-7773.9790499999999</v>
      </c>
      <c r="K12" s="6">
        <v>21219.906439999999</v>
      </c>
      <c r="L12" s="5">
        <v>-0.36635312599999997</v>
      </c>
      <c r="M12" s="6">
        <v>13445.927390000001</v>
      </c>
      <c r="N12" t="s">
        <v>24</v>
      </c>
    </row>
    <row r="13" spans="1:42" x14ac:dyDescent="0.25">
      <c r="A13" t="s">
        <v>11</v>
      </c>
      <c r="B13" s="6">
        <v>-185026.90859979999</v>
      </c>
      <c r="C13" s="6">
        <v>1222255.06540259</v>
      </c>
      <c r="D13" s="5">
        <v>-0.15138158461127299</v>
      </c>
      <c r="E13" s="6">
        <v>1037228.15680279</v>
      </c>
      <c r="F13" s="6">
        <v>-50271.5769779783</v>
      </c>
      <c r="G13" s="6">
        <v>314637.33333703299</v>
      </c>
      <c r="H13" s="5">
        <v>-0.15977626191017899</v>
      </c>
      <c r="I13" s="6">
        <v>264365.75635905401</v>
      </c>
      <c r="J13" s="6">
        <v>-26217.887908184199</v>
      </c>
      <c r="K13" s="6">
        <v>150342.90243768101</v>
      </c>
      <c r="L13" s="5">
        <v>-0.17438726726093201</v>
      </c>
      <c r="M13" s="6">
        <v>124125.014529497</v>
      </c>
      <c r="N13" t="s">
        <v>24</v>
      </c>
    </row>
    <row r="14" spans="1:42" x14ac:dyDescent="0.25">
      <c r="A14" t="s">
        <v>12</v>
      </c>
      <c r="B14" s="6">
        <v>-52677.846720000001</v>
      </c>
      <c r="C14" s="6">
        <v>26536.449100000002</v>
      </c>
      <c r="D14" s="5">
        <v>-1.9851128739999999</v>
      </c>
      <c r="E14" s="6">
        <v>-26141.397629999999</v>
      </c>
      <c r="F14" s="6">
        <v>-11192.743119999999</v>
      </c>
      <c r="G14" s="6">
        <v>18052.313989999999</v>
      </c>
      <c r="H14" s="5">
        <v>-0.62001708700000002</v>
      </c>
      <c r="I14" s="6">
        <v>6859.5708640000003</v>
      </c>
      <c r="J14" s="6">
        <v>-4681.5643</v>
      </c>
      <c r="K14" s="6">
        <v>14118.205330000001</v>
      </c>
      <c r="L14" s="5">
        <v>-0.331597692</v>
      </c>
      <c r="M14" s="6">
        <v>9436.6410329999999</v>
      </c>
      <c r="N14" t="s">
        <v>24</v>
      </c>
    </row>
    <row r="15" spans="1:42" x14ac:dyDescent="0.25">
      <c r="A15" t="s">
        <v>42</v>
      </c>
      <c r="B15" s="6">
        <v>-107282.405397856</v>
      </c>
      <c r="C15" s="6">
        <v>29019.631879031102</v>
      </c>
      <c r="D15" s="5">
        <v>-3.6968906375196302</v>
      </c>
      <c r="E15" s="6">
        <v>-78262.773518825401</v>
      </c>
      <c r="F15" s="6">
        <v>-20872.627605884099</v>
      </c>
      <c r="G15" s="6">
        <v>19127.9105073717</v>
      </c>
      <c r="H15" s="5">
        <v>-1.09121315670313</v>
      </c>
      <c r="I15" s="6">
        <v>-1744.7170985124201</v>
      </c>
      <c r="J15" s="6">
        <v>-8174.0890987246003</v>
      </c>
      <c r="K15" s="6">
        <v>14840.0221098601</v>
      </c>
      <c r="L15" s="5">
        <v>-0.55081380864611196</v>
      </c>
      <c r="M15" s="6">
        <v>6665.9330111355703</v>
      </c>
      <c r="N15" s="1" t="s">
        <v>24</v>
      </c>
      <c r="O15" s="1"/>
    </row>
    <row r="16" spans="1:42" x14ac:dyDescent="0.25">
      <c r="B16" s="4"/>
      <c r="C16" s="4"/>
      <c r="E16" s="4"/>
      <c r="F16" s="4"/>
      <c r="G16" s="4"/>
      <c r="I16" s="4"/>
      <c r="J16" s="4"/>
      <c r="K16" s="4"/>
      <c r="M16" s="4"/>
    </row>
    <row r="17" spans="1:14" x14ac:dyDescent="0.25">
      <c r="A17" s="3" t="s">
        <v>43</v>
      </c>
      <c r="B17" s="4" t="s">
        <v>36</v>
      </c>
      <c r="C17" s="4" t="s">
        <v>37</v>
      </c>
      <c r="D17" s="5" t="s">
        <v>38</v>
      </c>
      <c r="E17" s="4" t="s">
        <v>39</v>
      </c>
      <c r="F17" s="4" t="s">
        <v>15</v>
      </c>
      <c r="G17" s="4" t="s">
        <v>16</v>
      </c>
      <c r="H17" s="5" t="s">
        <v>17</v>
      </c>
      <c r="I17" s="4" t="s">
        <v>18</v>
      </c>
      <c r="J17" s="4" t="s">
        <v>19</v>
      </c>
      <c r="K17" s="4" t="s">
        <v>20</v>
      </c>
      <c r="L17" s="5" t="s">
        <v>21</v>
      </c>
      <c r="M17" s="4" t="s">
        <v>22</v>
      </c>
      <c r="N17" t="s">
        <v>23</v>
      </c>
    </row>
    <row r="18" spans="1:14" x14ac:dyDescent="0.25">
      <c r="A18" t="s">
        <v>1</v>
      </c>
      <c r="B18" s="6">
        <f t="shared" ref="B18:C21" si="0">B2-B$33</f>
        <v>-169783.383937301</v>
      </c>
      <c r="C18" s="6">
        <f t="shared" si="0"/>
        <v>94455.205551250809</v>
      </c>
      <c r="D18" s="5">
        <f>B18/C18</f>
        <v>-1.7975016087935733</v>
      </c>
      <c r="E18" s="6">
        <f>B18+C18</f>
        <v>-75328.178386050189</v>
      </c>
      <c r="F18" s="6">
        <f t="shared" ref="F18:G21" si="1">F2-F$33</f>
        <v>-44358.724472512797</v>
      </c>
      <c r="G18" s="6">
        <f t="shared" si="1"/>
        <v>32373.7561194788</v>
      </c>
      <c r="H18" s="5">
        <f>F18/G18</f>
        <v>-1.3702062963840895</v>
      </c>
      <c r="I18" s="6">
        <f>F18+G18</f>
        <v>-11984.968353033997</v>
      </c>
      <c r="J18" s="6">
        <f t="shared" ref="J18:K21" si="2">J2-J$33</f>
        <v>-18237.934782227901</v>
      </c>
      <c r="K18" s="6">
        <f t="shared" si="2"/>
        <v>15357.117371456119</v>
      </c>
      <c r="L18" s="5">
        <f>J18/K18</f>
        <v>-1.1875884217780535</v>
      </c>
      <c r="M18" s="6">
        <f>J18+K18</f>
        <v>-2880.8174107717823</v>
      </c>
      <c r="N18" t="s">
        <v>24</v>
      </c>
    </row>
    <row r="19" spans="1:14" x14ac:dyDescent="0.25">
      <c r="A19" t="s">
        <v>2</v>
      </c>
      <c r="B19" s="6">
        <f t="shared" si="0"/>
        <v>-754774.02503940102</v>
      </c>
      <c r="C19" s="6">
        <f t="shared" si="0"/>
        <v>749149.81794569083</v>
      </c>
      <c r="D19" s="5">
        <f t="shared" ref="D19:D30" si="3">B19/C19</f>
        <v>-1.0075074530607679</v>
      </c>
      <c r="E19" s="6">
        <f t="shared" ref="E19:E30" si="4">B19+C19</f>
        <v>-5624.2070937101962</v>
      </c>
      <c r="F19" s="6">
        <f t="shared" si="1"/>
        <v>-118636.45174144401</v>
      </c>
      <c r="G19" s="6">
        <f t="shared" si="1"/>
        <v>118448.2573880096</v>
      </c>
      <c r="H19" s="5">
        <f t="shared" ref="H19:H30" si="5">F19/G19</f>
        <v>-1.0015888317615169</v>
      </c>
      <c r="I19" s="6">
        <f t="shared" ref="I19:I30" si="6">F19+G19</f>
        <v>-188.19435343440273</v>
      </c>
      <c r="J19" s="6">
        <f t="shared" si="2"/>
        <v>-35032.9534274822</v>
      </c>
      <c r="K19" s="6">
        <f t="shared" si="2"/>
        <v>35469.894501100818</v>
      </c>
      <c r="L19" s="5">
        <f t="shared" ref="L19:L30" si="7">J19/K19</f>
        <v>-0.98768135401121482</v>
      </c>
      <c r="M19" s="6">
        <f t="shared" ref="M19:M30" si="8">J19+K19</f>
        <v>436.94107361861825</v>
      </c>
      <c r="N19" t="s">
        <v>24</v>
      </c>
    </row>
    <row r="20" spans="1:14" x14ac:dyDescent="0.25">
      <c r="A20" t="s">
        <v>3</v>
      </c>
      <c r="B20" s="6">
        <f t="shared" si="0"/>
        <v>-85029.801215989501</v>
      </c>
      <c r="C20" s="6">
        <f t="shared" si="0"/>
        <v>87081.623661185804</v>
      </c>
      <c r="D20" s="5">
        <f t="shared" si="3"/>
        <v>-0.97643793995872807</v>
      </c>
      <c r="E20" s="6">
        <f t="shared" si="4"/>
        <v>2051.8224451963033</v>
      </c>
      <c r="F20" s="6">
        <f t="shared" si="1"/>
        <v>-26414.7890866241</v>
      </c>
      <c r="G20" s="6">
        <f t="shared" si="1"/>
        <v>43702.347237783397</v>
      </c>
      <c r="H20" s="5">
        <f t="shared" si="5"/>
        <v>-0.60442495097349991</v>
      </c>
      <c r="I20" s="6">
        <f t="shared" si="6"/>
        <v>17287.558151159297</v>
      </c>
      <c r="J20" s="6">
        <f t="shared" si="2"/>
        <v>-13669.170538766301</v>
      </c>
      <c r="K20" s="6">
        <f t="shared" si="2"/>
        <v>26983.396966656121</v>
      </c>
      <c r="L20" s="5">
        <f t="shared" si="7"/>
        <v>-0.50657708351759956</v>
      </c>
      <c r="M20" s="6">
        <f t="shared" si="8"/>
        <v>13314.22642788982</v>
      </c>
      <c r="N20" t="s">
        <v>24</v>
      </c>
    </row>
    <row r="21" spans="1:14" x14ac:dyDescent="0.25">
      <c r="A21" t="s">
        <v>4</v>
      </c>
      <c r="B21" s="6">
        <f t="shared" si="0"/>
        <v>-1464989.78716154</v>
      </c>
      <c r="C21" s="6">
        <f t="shared" si="0"/>
        <v>1470312.9361080937</v>
      </c>
      <c r="D21" s="5">
        <f t="shared" si="3"/>
        <v>-0.99637958096142165</v>
      </c>
      <c r="E21" s="6">
        <f t="shared" si="4"/>
        <v>5323.1489465537015</v>
      </c>
      <c r="F21" s="6">
        <f t="shared" si="1"/>
        <v>-244021.109044115</v>
      </c>
      <c r="G21" s="6">
        <f t="shared" si="1"/>
        <v>258097.0526906786</v>
      </c>
      <c r="H21" s="5">
        <f t="shared" si="5"/>
        <v>-0.94546259440074587</v>
      </c>
      <c r="I21" s="6">
        <f t="shared" si="6"/>
        <v>14075.943646563595</v>
      </c>
      <c r="J21" s="6">
        <f t="shared" si="2"/>
        <v>-77084.450851909904</v>
      </c>
      <c r="K21" s="6">
        <f t="shared" si="2"/>
        <v>86588.878581692814</v>
      </c>
      <c r="L21" s="5">
        <f t="shared" si="7"/>
        <v>-0.89023500609473882</v>
      </c>
      <c r="M21" s="6">
        <f t="shared" si="8"/>
        <v>9504.4277297829103</v>
      </c>
      <c r="N21" t="s">
        <v>24</v>
      </c>
    </row>
    <row r="22" spans="1:14" x14ac:dyDescent="0.25">
      <c r="A22" t="s">
        <v>6</v>
      </c>
      <c r="B22" s="6">
        <f t="shared" ref="B22:C30" si="9">B7-B$33</f>
        <v>-3727.1947617020901</v>
      </c>
      <c r="C22" s="6">
        <f t="shared" si="9"/>
        <v>4210.1375662191986</v>
      </c>
      <c r="D22" s="5">
        <f t="shared" si="3"/>
        <v>-0.88529049302519525</v>
      </c>
      <c r="E22" s="6">
        <f t="shared" si="4"/>
        <v>482.94280451710847</v>
      </c>
      <c r="F22" s="6">
        <f t="shared" ref="F22:G30" si="10">F7-F$33</f>
        <v>-879.19316191022494</v>
      </c>
      <c r="G22" s="6">
        <f t="shared" si="10"/>
        <v>3478.2184226562003</v>
      </c>
      <c r="H22" s="5">
        <f t="shared" si="5"/>
        <v>-0.25277111873808494</v>
      </c>
      <c r="I22" s="6">
        <f t="shared" si="6"/>
        <v>2599.0252607459752</v>
      </c>
      <c r="J22" s="6">
        <f t="shared" ref="J22:K30" si="11">J7-J$33</f>
        <v>-494.59745807002702</v>
      </c>
      <c r="K22" s="6">
        <f t="shared" si="11"/>
        <v>3059.4095348447208</v>
      </c>
      <c r="L22" s="5">
        <f t="shared" si="7"/>
        <v>-0.16166435138443475</v>
      </c>
      <c r="M22" s="6">
        <f t="shared" si="8"/>
        <v>2564.8120767746937</v>
      </c>
      <c r="N22" t="s">
        <v>24</v>
      </c>
    </row>
    <row r="23" spans="1:14" x14ac:dyDescent="0.25">
      <c r="A23" t="s">
        <v>5</v>
      </c>
      <c r="B23" s="6">
        <f t="shared" si="9"/>
        <v>-45921.597500000003</v>
      </c>
      <c r="C23" s="6">
        <f t="shared" si="9"/>
        <v>2325.9123850238011</v>
      </c>
      <c r="D23" s="5">
        <f t="shared" si="3"/>
        <v>-19.743476923585877</v>
      </c>
      <c r="E23" s="6">
        <f t="shared" si="4"/>
        <v>-43595.685114976201</v>
      </c>
      <c r="F23" s="6">
        <f t="shared" si="10"/>
        <v>-8674.7509489999993</v>
      </c>
      <c r="G23" s="6">
        <f t="shared" si="10"/>
        <v>971.27899051760141</v>
      </c>
      <c r="H23" s="5">
        <f t="shared" si="5"/>
        <v>-8.9312659222425506</v>
      </c>
      <c r="I23" s="6">
        <f t="shared" si="6"/>
        <v>-7703.4719584823979</v>
      </c>
      <c r="J23" s="6">
        <f t="shared" si="11"/>
        <v>-3198.9574539999999</v>
      </c>
      <c r="K23" s="6">
        <f t="shared" si="11"/>
        <v>642.36055491732077</v>
      </c>
      <c r="L23" s="5">
        <f t="shared" si="7"/>
        <v>-4.9800029430694774</v>
      </c>
      <c r="M23" s="6">
        <f t="shared" si="8"/>
        <v>-2556.5968990826791</v>
      </c>
      <c r="N23" t="s">
        <v>24</v>
      </c>
    </row>
    <row r="24" spans="1:14" x14ac:dyDescent="0.25">
      <c r="A24" t="s">
        <v>8</v>
      </c>
      <c r="B24" s="6">
        <f t="shared" si="9"/>
        <v>-107072.6366</v>
      </c>
      <c r="C24" s="6">
        <f t="shared" si="9"/>
        <v>14633.7175650238</v>
      </c>
      <c r="D24" s="5">
        <f t="shared" si="3"/>
        <v>-7.3168445491879259</v>
      </c>
      <c r="E24" s="6">
        <f t="shared" si="4"/>
        <v>-92438.919034976192</v>
      </c>
      <c r="F24" s="6">
        <f t="shared" si="10"/>
        <v>-21894.339179999999</v>
      </c>
      <c r="G24" s="6">
        <f t="shared" si="10"/>
        <v>6245.8449505176013</v>
      </c>
      <c r="H24" s="5">
        <f t="shared" si="5"/>
        <v>-3.5054247028955765</v>
      </c>
      <c r="I24" s="6">
        <f t="shared" si="6"/>
        <v>-15648.494229482398</v>
      </c>
      <c r="J24" s="6">
        <f t="shared" si="11"/>
        <v>-8514.542308</v>
      </c>
      <c r="K24" s="6">
        <f t="shared" si="11"/>
        <v>3467.4732449173207</v>
      </c>
      <c r="L24" s="5">
        <f t="shared" si="7"/>
        <v>-2.455546649272855</v>
      </c>
      <c r="M24" s="6">
        <f t="shared" si="8"/>
        <v>-5047.0690630826793</v>
      </c>
      <c r="N24" t="s">
        <v>24</v>
      </c>
    </row>
    <row r="25" spans="1:14" x14ac:dyDescent="0.25">
      <c r="A25" t="s">
        <v>7</v>
      </c>
      <c r="B25" s="6">
        <f t="shared" si="9"/>
        <v>-69242.862210000007</v>
      </c>
      <c r="C25" s="6">
        <f t="shared" si="9"/>
        <v>4826.4201050237989</v>
      </c>
      <c r="D25" s="5">
        <f t="shared" si="3"/>
        <v>-14.346629738659804</v>
      </c>
      <c r="E25" s="6">
        <f t="shared" si="4"/>
        <v>-64416.44210497621</v>
      </c>
      <c r="F25" s="6">
        <f t="shared" si="10"/>
        <v>-13872.35764</v>
      </c>
      <c r="G25" s="6">
        <f t="shared" si="10"/>
        <v>2045.0444705176014</v>
      </c>
      <c r="H25" s="5">
        <f t="shared" si="5"/>
        <v>-6.7834014565408944</v>
      </c>
      <c r="I25" s="6">
        <f t="shared" si="6"/>
        <v>-11827.313169482399</v>
      </c>
      <c r="J25" s="6">
        <f t="shared" si="11"/>
        <v>-5283.9158260000004</v>
      </c>
      <c r="K25" s="6">
        <f t="shared" si="11"/>
        <v>1126.6878249173205</v>
      </c>
      <c r="L25" s="5">
        <f t="shared" si="7"/>
        <v>-4.6897780460064427</v>
      </c>
      <c r="M25" s="6">
        <f t="shared" si="8"/>
        <v>-4157.2280010826798</v>
      </c>
      <c r="N25" t="s">
        <v>24</v>
      </c>
    </row>
    <row r="26" spans="1:14" x14ac:dyDescent="0.25">
      <c r="A26" t="s">
        <v>9</v>
      </c>
      <c r="B26" s="6">
        <f t="shared" si="9"/>
        <v>-81117.731169999999</v>
      </c>
      <c r="C26" s="6">
        <f t="shared" si="9"/>
        <v>7044.9094950238014</v>
      </c>
      <c r="D26" s="5">
        <f t="shared" si="3"/>
        <v>-11.514375199184293</v>
      </c>
      <c r="E26" s="6">
        <f t="shared" si="4"/>
        <v>-74072.821674976192</v>
      </c>
      <c r="F26" s="6">
        <f t="shared" si="10"/>
        <v>-15910.76873</v>
      </c>
      <c r="G26" s="6">
        <f t="shared" si="10"/>
        <v>2963.7267405176008</v>
      </c>
      <c r="H26" s="5">
        <f t="shared" si="5"/>
        <v>-5.3685005815418929</v>
      </c>
      <c r="I26" s="6">
        <f t="shared" si="6"/>
        <v>-12947.041989482399</v>
      </c>
      <c r="J26" s="6">
        <f t="shared" si="11"/>
        <v>-6110.8874349999996</v>
      </c>
      <c r="K26" s="6">
        <f t="shared" si="11"/>
        <v>1967.6849149173195</v>
      </c>
      <c r="L26" s="5">
        <f t="shared" si="7"/>
        <v>-3.1056229524719279</v>
      </c>
      <c r="M26" s="6">
        <f t="shared" si="8"/>
        <v>-4143.2025200826802</v>
      </c>
      <c r="N26" t="s">
        <v>24</v>
      </c>
    </row>
    <row r="27" spans="1:14" x14ac:dyDescent="0.25">
      <c r="A27" t="s">
        <v>10</v>
      </c>
      <c r="B27" s="6">
        <f t="shared" si="9"/>
        <v>-70006.101200000005</v>
      </c>
      <c r="C27" s="6">
        <f t="shared" si="9"/>
        <v>27911.243325023795</v>
      </c>
      <c r="D27" s="5">
        <f t="shared" si="3"/>
        <v>-2.5081684962860864</v>
      </c>
      <c r="E27" s="6">
        <f t="shared" si="4"/>
        <v>-42094.857874976209</v>
      </c>
      <c r="F27" s="6">
        <f t="shared" si="10"/>
        <v>-16549.278579999998</v>
      </c>
      <c r="G27" s="6">
        <f t="shared" si="10"/>
        <v>16349.5410105176</v>
      </c>
      <c r="H27" s="5">
        <f t="shared" si="5"/>
        <v>-1.0122167080625633</v>
      </c>
      <c r="I27" s="6">
        <f t="shared" si="6"/>
        <v>-199.73756948239861</v>
      </c>
      <c r="J27" s="6">
        <f t="shared" si="11"/>
        <v>-7773.9790499999999</v>
      </c>
      <c r="K27" s="6">
        <f t="shared" si="11"/>
        <v>11432.142664917319</v>
      </c>
      <c r="L27" s="5">
        <f t="shared" si="7"/>
        <v>-0.68001067497666889</v>
      </c>
      <c r="M27" s="6">
        <f t="shared" si="8"/>
        <v>3658.1636149173191</v>
      </c>
      <c r="N27" t="s">
        <v>24</v>
      </c>
    </row>
    <row r="28" spans="1:14" x14ac:dyDescent="0.25">
      <c r="A28" t="s">
        <v>11</v>
      </c>
      <c r="B28" s="6">
        <f t="shared" si="9"/>
        <v>-185026.90859979999</v>
      </c>
      <c r="C28" s="6">
        <f t="shared" si="9"/>
        <v>1207138.6077176137</v>
      </c>
      <c r="D28" s="5">
        <f t="shared" si="3"/>
        <v>-0.15327726858942731</v>
      </c>
      <c r="E28" s="6">
        <f t="shared" si="4"/>
        <v>1022111.6991178137</v>
      </c>
      <c r="F28" s="6">
        <f t="shared" si="10"/>
        <v>-50271.5769779783</v>
      </c>
      <c r="G28" s="6">
        <f t="shared" si="10"/>
        <v>302972.54611755058</v>
      </c>
      <c r="H28" s="5">
        <f t="shared" si="5"/>
        <v>-0.16592782950859641</v>
      </c>
      <c r="I28" s="6">
        <f t="shared" si="6"/>
        <v>252700.96913957229</v>
      </c>
      <c r="J28" s="6">
        <f t="shared" si="11"/>
        <v>-26217.887908184199</v>
      </c>
      <c r="K28" s="6">
        <f t="shared" si="11"/>
        <v>140555.13866259833</v>
      </c>
      <c r="L28" s="5">
        <f t="shared" si="7"/>
        <v>-0.18653098106302654</v>
      </c>
      <c r="M28" s="6">
        <f t="shared" si="8"/>
        <v>114337.25075441413</v>
      </c>
      <c r="N28" t="s">
        <v>24</v>
      </c>
    </row>
    <row r="29" spans="1:14" x14ac:dyDescent="0.25">
      <c r="A29" t="s">
        <v>12</v>
      </c>
      <c r="B29" s="6">
        <f t="shared" si="9"/>
        <v>-52677.846720000001</v>
      </c>
      <c r="C29" s="6">
        <f t="shared" si="9"/>
        <v>11419.991415023802</v>
      </c>
      <c r="D29" s="5">
        <f t="shared" si="3"/>
        <v>-4.6127746340245572</v>
      </c>
      <c r="E29" s="6">
        <f t="shared" si="4"/>
        <v>-41257.855304976198</v>
      </c>
      <c r="F29" s="6">
        <f t="shared" si="10"/>
        <v>-11192.743119999999</v>
      </c>
      <c r="G29" s="6">
        <f t="shared" si="10"/>
        <v>6387.5267705175993</v>
      </c>
      <c r="H29" s="5">
        <f t="shared" si="5"/>
        <v>-1.752281207127218</v>
      </c>
      <c r="I29" s="6">
        <f t="shared" si="6"/>
        <v>-4805.2163494823999</v>
      </c>
      <c r="J29" s="6">
        <f t="shared" si="11"/>
        <v>-4681.5643</v>
      </c>
      <c r="K29" s="6">
        <f t="shared" si="11"/>
        <v>4330.4415549173209</v>
      </c>
      <c r="L29" s="5">
        <f t="shared" si="7"/>
        <v>-1.0810824348117505</v>
      </c>
      <c r="M29" s="6">
        <f t="shared" si="8"/>
        <v>-351.1227450826791</v>
      </c>
      <c r="N29" t="s">
        <v>24</v>
      </c>
    </row>
    <row r="30" spans="1:14" x14ac:dyDescent="0.25">
      <c r="A30" t="s">
        <v>42</v>
      </c>
      <c r="B30" s="6">
        <f t="shared" si="9"/>
        <v>-107282.405397856</v>
      </c>
      <c r="C30" s="6">
        <f t="shared" si="9"/>
        <v>13903.174194054902</v>
      </c>
      <c r="D30" s="5">
        <f t="shared" si="3"/>
        <v>-7.716396550920777</v>
      </c>
      <c r="E30" s="6">
        <f t="shared" si="4"/>
        <v>-93379.2312038011</v>
      </c>
      <c r="F30" s="6">
        <f t="shared" si="10"/>
        <v>-20872.627605884099</v>
      </c>
      <c r="G30" s="6">
        <f t="shared" si="10"/>
        <v>7463.1232878893006</v>
      </c>
      <c r="H30" s="5">
        <f t="shared" si="5"/>
        <v>-2.796768430685705</v>
      </c>
      <c r="I30" s="6">
        <f t="shared" si="6"/>
        <v>-13409.504317994799</v>
      </c>
      <c r="J30" s="6">
        <f t="shared" si="11"/>
        <v>-8174.0890987246003</v>
      </c>
      <c r="K30" s="6">
        <f t="shared" si="11"/>
        <v>5052.2583347774198</v>
      </c>
      <c r="L30" s="5">
        <f t="shared" si="7"/>
        <v>-1.6179079843281043</v>
      </c>
      <c r="M30" s="6">
        <f t="shared" si="8"/>
        <v>-3121.8307639471805</v>
      </c>
      <c r="N30" t="s">
        <v>24</v>
      </c>
    </row>
    <row r="32" spans="1:14" x14ac:dyDescent="0.25">
      <c r="A32" t="s">
        <v>13</v>
      </c>
      <c r="B32" t="s">
        <v>44</v>
      </c>
      <c r="C32" t="s">
        <v>45</v>
      </c>
      <c r="F32" t="s">
        <v>46</v>
      </c>
      <c r="G32" t="s">
        <v>47</v>
      </c>
      <c r="J32" t="s">
        <v>48</v>
      </c>
      <c r="K32" t="s">
        <v>49</v>
      </c>
    </row>
    <row r="33" spans="2:13" x14ac:dyDescent="0.25">
      <c r="B33" s="1">
        <v>0</v>
      </c>
      <c r="C33" s="1">
        <v>15116.4576849762</v>
      </c>
      <c r="D33" s="5">
        <v>0</v>
      </c>
      <c r="E33">
        <v>15116.4576849762</v>
      </c>
      <c r="F33" s="1">
        <v>0</v>
      </c>
      <c r="G33" s="1">
        <v>11664.787219482399</v>
      </c>
      <c r="H33" s="5">
        <v>0</v>
      </c>
      <c r="I33">
        <v>11664.787219482399</v>
      </c>
      <c r="J33" s="1">
        <v>0</v>
      </c>
      <c r="K33" s="1">
        <v>9787.7637750826798</v>
      </c>
      <c r="L33" s="5">
        <v>0</v>
      </c>
      <c r="M33">
        <v>9787.7637750826798</v>
      </c>
    </row>
  </sheetData>
  <autoFilter ref="A1:N1" xr:uid="{18025FA5-7769-47FF-9EA0-8E472D7D4015}">
    <sortState xmlns:xlrd2="http://schemas.microsoft.com/office/spreadsheetml/2017/richdata2" ref="A2:N14">
      <sortCondition ref="A1"/>
    </sortState>
  </autoFilter>
  <conditionalFormatting sqref="D18:D30">
    <cfRule type="colorScale" priority="33">
      <colorScale>
        <cfvo type="min"/>
        <cfvo type="num" val="-1"/>
        <cfvo type="max"/>
        <color theme="6"/>
        <color theme="0"/>
        <color rgb="FFC00000"/>
      </colorScale>
    </cfRule>
  </conditionalFormatting>
  <conditionalFormatting sqref="H18:H30">
    <cfRule type="colorScale" priority="35">
      <colorScale>
        <cfvo type="min"/>
        <cfvo type="num" val="-1"/>
        <cfvo type="max"/>
        <color theme="6"/>
        <color theme="0"/>
        <color rgb="FFC00000"/>
      </colorScale>
    </cfRule>
  </conditionalFormatting>
  <conditionalFormatting sqref="L2:L15 H2:H15 D2:D15">
    <cfRule type="colorScale" priority="4">
      <colorScale>
        <cfvo type="min"/>
        <cfvo type="num" val="-1"/>
        <cfvo type="max"/>
        <color theme="6"/>
        <color theme="0"/>
        <color rgb="FFC00000"/>
      </colorScale>
    </cfRule>
  </conditionalFormatting>
  <conditionalFormatting sqref="L18:L30">
    <cfRule type="colorScale" priority="37">
      <colorScale>
        <cfvo type="min"/>
        <cfvo type="num" val="-1"/>
        <cfvo type="max"/>
        <color theme="6"/>
        <color theme="0"/>
        <color rgb="FFC00000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C2576-3F3B-4E71-BDB4-1E4541BB8CBE}">
  <dimension ref="A1:O132"/>
  <sheetViews>
    <sheetView zoomScaleNormal="100" workbookViewId="0">
      <selection activeCell="C2" sqref="C2"/>
    </sheetView>
  </sheetViews>
  <sheetFormatPr defaultRowHeight="15" x14ac:dyDescent="0.25"/>
  <cols>
    <col min="1" max="1" width="22.28515625" bestFit="1" customWidth="1"/>
    <col min="2" max="2" width="8.5703125" bestFit="1" customWidth="1"/>
    <col min="3" max="3" width="15.140625" bestFit="1" customWidth="1"/>
    <col min="4" max="4" width="12.85546875" bestFit="1" customWidth="1"/>
    <col min="5" max="5" width="11.5703125" bestFit="1" customWidth="1"/>
    <col min="6" max="6" width="12.5703125" bestFit="1" customWidth="1"/>
    <col min="7" max="7" width="12.42578125" bestFit="1" customWidth="1"/>
    <col min="8" max="8" width="12.7109375" bestFit="1" customWidth="1"/>
    <col min="9" max="9" width="9.7109375" bestFit="1" customWidth="1"/>
    <col min="10" max="10" width="11.28515625" bestFit="1" customWidth="1"/>
    <col min="11" max="11" width="9.7109375" bestFit="1" customWidth="1"/>
    <col min="12" max="12" width="10.140625" bestFit="1" customWidth="1"/>
  </cols>
  <sheetData>
    <row r="1" spans="1:15" x14ac:dyDescent="0.25">
      <c r="A1" t="str">
        <f>Low!A1</f>
        <v>Scenario</v>
      </c>
      <c r="B1" t="s">
        <v>28</v>
      </c>
      <c r="C1" t="s">
        <v>15</v>
      </c>
      <c r="D1" t="s">
        <v>16</v>
      </c>
      <c r="E1" t="s">
        <v>63</v>
      </c>
      <c r="F1" t="s">
        <v>64</v>
      </c>
      <c r="G1" t="s">
        <v>65</v>
      </c>
      <c r="H1" t="s">
        <v>66</v>
      </c>
      <c r="I1" t="s">
        <v>67</v>
      </c>
      <c r="J1" t="s">
        <v>68</v>
      </c>
      <c r="K1" t="s">
        <v>69</v>
      </c>
      <c r="L1" t="s">
        <v>70</v>
      </c>
      <c r="N1" s="7">
        <v>0.12</v>
      </c>
      <c r="O1" t="s">
        <v>79</v>
      </c>
    </row>
    <row r="2" spans="1:15" x14ac:dyDescent="0.25">
      <c r="A2" t="str">
        <f>Low!A18</f>
        <v>45Q-2040</v>
      </c>
      <c r="B2" t="s">
        <v>30</v>
      </c>
      <c r="C2" s="1">
        <f>-Low!F18/1000</f>
        <v>24.009774422884199</v>
      </c>
      <c r="D2" s="1">
        <f>Low!G18/1000</f>
        <v>19.507666627389298</v>
      </c>
      <c r="F2" s="1">
        <f>C2</f>
        <v>24.009774422884199</v>
      </c>
    </row>
    <row r="3" spans="1:15" x14ac:dyDescent="0.25">
      <c r="A3" t="str">
        <f>Low!A19</f>
        <v>45Q-2050</v>
      </c>
      <c r="B3" t="s">
        <v>30</v>
      </c>
      <c r="C3" s="1">
        <f>-Low!F19/1000</f>
        <v>48.914657028755293</v>
      </c>
      <c r="D3" s="1">
        <f>Low!G19/1000</f>
        <v>49.024106181054101</v>
      </c>
      <c r="F3" s="1">
        <f>C3</f>
        <v>48.914657028755293</v>
      </c>
    </row>
    <row r="4" spans="1:15" x14ac:dyDescent="0.25">
      <c r="A4" t="str">
        <f>Low!A20</f>
        <v>CDRIA-2035</v>
      </c>
      <c r="B4" t="s">
        <v>30</v>
      </c>
      <c r="C4" s="1">
        <f>-Low!F20/1000</f>
        <v>18.6341071918974</v>
      </c>
      <c r="D4" s="1">
        <f>Low!G20/1000</f>
        <v>30.778911794356603</v>
      </c>
      <c r="F4" s="1">
        <f>C4</f>
        <v>18.6341071918974</v>
      </c>
    </row>
    <row r="5" spans="1:15" x14ac:dyDescent="0.25">
      <c r="A5" t="str">
        <f>Low!A21</f>
        <v>CDRIA-2050</v>
      </c>
      <c r="B5" t="s">
        <v>30</v>
      </c>
      <c r="C5" s="1">
        <f>-Low!F21/1000</f>
        <v>107.357135510147</v>
      </c>
      <c r="D5" s="1">
        <f>Low!G21/1000</f>
        <v>123.20310413121541</v>
      </c>
      <c r="F5" s="1">
        <f>C5</f>
        <v>107.357135510147</v>
      </c>
    </row>
    <row r="6" spans="1:15" x14ac:dyDescent="0.25">
      <c r="A6" t="str">
        <f>Low!A22</f>
        <v>Innovation-DACHubs</v>
      </c>
      <c r="B6" t="s">
        <v>30</v>
      </c>
      <c r="C6" s="1">
        <f>-Low!F22/1000</f>
        <v>0.41248126069827401</v>
      </c>
      <c r="D6" s="1">
        <f>Low!G22/1000</f>
        <v>3.4180807765760002</v>
      </c>
      <c r="E6" s="1">
        <f>C6</f>
        <v>0.41248126069827401</v>
      </c>
    </row>
    <row r="7" spans="1:15" x14ac:dyDescent="0.25">
      <c r="A7" t="str">
        <f>Low!A23</f>
        <v>Innovation-maintain</v>
      </c>
      <c r="B7" t="s">
        <v>30</v>
      </c>
      <c r="C7" s="1">
        <f>-Low!F23/1000</f>
        <v>5.0253693987003301</v>
      </c>
      <c r="D7" s="1">
        <f>Low!G23/1000</f>
        <v>0.97928706998899906</v>
      </c>
      <c r="E7" s="1">
        <f>C7</f>
        <v>5.0253693987003301</v>
      </c>
    </row>
    <row r="8" spans="1:15" x14ac:dyDescent="0.25">
      <c r="A8" t="str">
        <f>Low!A24</f>
        <v>Innovation-rhodium18b</v>
      </c>
      <c r="B8" t="s">
        <v>30</v>
      </c>
      <c r="C8" s="1">
        <f>-Low!F24/1000</f>
        <v>12.921435586799699</v>
      </c>
      <c r="D8" s="1">
        <f>Low!G24/1000</f>
        <v>6.2991855513266</v>
      </c>
      <c r="E8" s="1">
        <f>C8</f>
        <v>12.921435586799699</v>
      </c>
    </row>
    <row r="9" spans="1:15" x14ac:dyDescent="0.25">
      <c r="A9" t="str">
        <f>Low!A25</f>
        <v>Innovation-rhodium6b</v>
      </c>
      <c r="B9" t="s">
        <v>30</v>
      </c>
      <c r="C9" s="1">
        <f>-Low!F25/1000</f>
        <v>8.0272493380455501</v>
      </c>
      <c r="D9" s="1">
        <f>Low!G25/1000</f>
        <v>2.0690140113137985</v>
      </c>
      <c r="E9" s="1">
        <f>C9</f>
        <v>8.0272493380455501</v>
      </c>
    </row>
    <row r="10" spans="1:15" x14ac:dyDescent="0.25">
      <c r="A10" t="str">
        <f>Low!A26</f>
        <v>Innovation-triple</v>
      </c>
      <c r="B10" t="s">
        <v>30</v>
      </c>
      <c r="C10" s="1">
        <f>-Low!F26/1000</f>
        <v>9.3501536406274504</v>
      </c>
      <c r="D10" s="1">
        <f>Low!G26/1000</f>
        <v>2.9827319463466995</v>
      </c>
      <c r="E10" s="1">
        <f>C10</f>
        <v>9.3501536406274504</v>
      </c>
    </row>
    <row r="11" spans="1:15" x14ac:dyDescent="0.25">
      <c r="A11" t="str">
        <f>Low!A27</f>
        <v>Procure3B</v>
      </c>
      <c r="B11" t="s">
        <v>30</v>
      </c>
      <c r="C11" s="1">
        <f>-Low!F27/1000</f>
        <v>10.7175437780061</v>
      </c>
      <c r="D11" s="1">
        <f>Low!G27/1000</f>
        <v>16.321083694048699</v>
      </c>
      <c r="G11" s="1">
        <f>C11</f>
        <v>10.7175437780061</v>
      </c>
    </row>
    <row r="12" spans="1:15" x14ac:dyDescent="0.25">
      <c r="A12" t="str">
        <f>Low!A28</f>
        <v>ProcureRhodium</v>
      </c>
      <c r="B12" t="s">
        <v>30</v>
      </c>
      <c r="C12" s="1">
        <f>-Low!F28/1000</f>
        <v>43.6877465457071</v>
      </c>
      <c r="D12" s="1">
        <f>Low!G28/1000</f>
        <v>297.38680981420038</v>
      </c>
      <c r="G12" s="1">
        <f>C12</f>
        <v>43.6877465457071</v>
      </c>
    </row>
    <row r="13" spans="1:15" x14ac:dyDescent="0.25">
      <c r="A13" t="str">
        <f>Low!A29</f>
        <v>ProcureScaling</v>
      </c>
      <c r="B13" t="s">
        <v>30</v>
      </c>
      <c r="C13" s="1">
        <f>-Low!F29/1000</f>
        <v>6.6404507534377402</v>
      </c>
      <c r="D13" s="1">
        <f>Low!G29/1000</f>
        <v>6.3563921801898999</v>
      </c>
      <c r="G13" s="1">
        <f>C13</f>
        <v>6.6404507534377402</v>
      </c>
    </row>
    <row r="14" spans="1:15" x14ac:dyDescent="0.25">
      <c r="A14" t="str">
        <f>Low!A30</f>
        <v>Optimal</v>
      </c>
      <c r="B14" t="s">
        <v>30</v>
      </c>
      <c r="C14" s="1">
        <f>-Low!F30/1000</f>
        <v>29.063628096181301</v>
      </c>
      <c r="D14" s="1">
        <f>Low!G30/1000</f>
        <v>20.2996698744101</v>
      </c>
      <c r="H14" s="1">
        <f>C14</f>
        <v>29.063628096181301</v>
      </c>
    </row>
    <row r="15" spans="1:15" x14ac:dyDescent="0.25">
      <c r="A15" t="str">
        <f>High!A18</f>
        <v>45Q-2040</v>
      </c>
      <c r="B15" t="s">
        <v>32</v>
      </c>
      <c r="C15" s="1">
        <f>-High!F18/1000</f>
        <v>44.358724472512797</v>
      </c>
      <c r="D15" s="1">
        <f>High!G18/1000</f>
        <v>32.373756119478799</v>
      </c>
      <c r="J15" s="1">
        <f>C15</f>
        <v>44.358724472512797</v>
      </c>
    </row>
    <row r="16" spans="1:15" x14ac:dyDescent="0.25">
      <c r="A16" t="str">
        <f>High!A19</f>
        <v>45Q-2050</v>
      </c>
      <c r="B16" t="s">
        <v>32</v>
      </c>
      <c r="C16" s="1">
        <f>-High!F19/1000</f>
        <v>118.63645174144401</v>
      </c>
      <c r="D16" s="1">
        <f>High!G19/1000</f>
        <v>118.44825738800961</v>
      </c>
      <c r="J16" s="1">
        <f>C16</f>
        <v>118.63645174144401</v>
      </c>
    </row>
    <row r="17" spans="1:14" x14ac:dyDescent="0.25">
      <c r="A17" t="str">
        <f>High!A20</f>
        <v>CDRIA-2035</v>
      </c>
      <c r="B17" t="s">
        <v>32</v>
      </c>
      <c r="C17" s="1">
        <f>-High!F20/1000</f>
        <v>26.414789086624101</v>
      </c>
      <c r="D17" s="1">
        <f>High!G20/1000</f>
        <v>43.7023472377834</v>
      </c>
      <c r="J17" s="1">
        <f>C17</f>
        <v>26.414789086624101</v>
      </c>
    </row>
    <row r="18" spans="1:14" x14ac:dyDescent="0.25">
      <c r="A18" t="str">
        <f>High!A21</f>
        <v>CDRIA-2050</v>
      </c>
      <c r="B18" t="s">
        <v>32</v>
      </c>
      <c r="C18" s="1">
        <f>-High!F21/1000</f>
        <v>244.02110904411501</v>
      </c>
      <c r="D18" s="1">
        <f>High!G21/1000</f>
        <v>258.09705269067859</v>
      </c>
      <c r="J18" s="1">
        <f>C18</f>
        <v>244.02110904411501</v>
      </c>
    </row>
    <row r="19" spans="1:14" x14ac:dyDescent="0.25">
      <c r="A19" t="str">
        <f>High!A22</f>
        <v>Innovation-DACHubs</v>
      </c>
      <c r="B19" t="s">
        <v>32</v>
      </c>
      <c r="C19" s="1">
        <f>-High!F22/1000</f>
        <v>0.8791931619102249</v>
      </c>
      <c r="D19" s="1">
        <f>High!G22/1000</f>
        <v>3.4782184226562003</v>
      </c>
      <c r="I19" s="1">
        <f>C19</f>
        <v>0.8791931619102249</v>
      </c>
    </row>
    <row r="20" spans="1:14" x14ac:dyDescent="0.25">
      <c r="A20" t="str">
        <f>High!A23</f>
        <v>Innovation-maintain</v>
      </c>
      <c r="B20" t="s">
        <v>32</v>
      </c>
      <c r="C20" s="1">
        <f>-High!F23/1000</f>
        <v>8.6747509489999999</v>
      </c>
      <c r="D20" s="1">
        <f>High!G23/1000</f>
        <v>0.97127899051760136</v>
      </c>
      <c r="I20" s="1">
        <f>C20</f>
        <v>8.6747509489999999</v>
      </c>
    </row>
    <row r="21" spans="1:14" x14ac:dyDescent="0.25">
      <c r="A21" t="str">
        <f>High!A24</f>
        <v>Innovation-rhodium18b</v>
      </c>
      <c r="B21" t="s">
        <v>32</v>
      </c>
      <c r="C21" s="1">
        <f>-High!F24/1000</f>
        <v>21.894339179999999</v>
      </c>
      <c r="D21" s="1">
        <f>High!G24/1000</f>
        <v>6.2458449505176015</v>
      </c>
      <c r="I21" s="1">
        <f>C21</f>
        <v>21.894339179999999</v>
      </c>
    </row>
    <row r="22" spans="1:14" x14ac:dyDescent="0.25">
      <c r="A22" t="str">
        <f>High!A25</f>
        <v>Innovation-rhodium6b</v>
      </c>
      <c r="B22" t="s">
        <v>32</v>
      </c>
      <c r="C22" s="1">
        <f>-High!F25/1000</f>
        <v>13.872357640000001</v>
      </c>
      <c r="D22" s="1">
        <f>High!G25/1000</f>
        <v>2.0450444705176016</v>
      </c>
      <c r="I22" s="1">
        <f>C22</f>
        <v>13.872357640000001</v>
      </c>
    </row>
    <row r="23" spans="1:14" x14ac:dyDescent="0.25">
      <c r="A23" t="str">
        <f>High!A26</f>
        <v>Innovation-triple</v>
      </c>
      <c r="B23" t="s">
        <v>32</v>
      </c>
      <c r="C23" s="1">
        <f>-High!F26/1000</f>
        <v>15.910768729999999</v>
      </c>
      <c r="D23" s="1">
        <f>High!G26/1000</f>
        <v>2.9637267405176009</v>
      </c>
      <c r="I23" s="1">
        <f>C23</f>
        <v>15.910768729999999</v>
      </c>
    </row>
    <row r="24" spans="1:14" x14ac:dyDescent="0.25">
      <c r="A24" t="str">
        <f>High!A27</f>
        <v>Procure3B</v>
      </c>
      <c r="B24" t="s">
        <v>32</v>
      </c>
      <c r="C24" s="1">
        <f>-High!F27/1000</f>
        <v>16.549278579999999</v>
      </c>
      <c r="D24" s="1">
        <f>High!G27/1000</f>
        <v>16.349541010517601</v>
      </c>
      <c r="K24" s="1">
        <f>C24</f>
        <v>16.549278579999999</v>
      </c>
    </row>
    <row r="25" spans="1:14" x14ac:dyDescent="0.25">
      <c r="A25" t="str">
        <f>High!A28</f>
        <v>ProcureRhodium</v>
      </c>
      <c r="B25" t="s">
        <v>32</v>
      </c>
      <c r="C25" s="1">
        <f>-High!F28/1000</f>
        <v>50.271576977978299</v>
      </c>
      <c r="D25" s="1">
        <f>High!G28/1000</f>
        <v>302.97254611755056</v>
      </c>
      <c r="K25" s="1">
        <f>C25</f>
        <v>50.271576977978299</v>
      </c>
    </row>
    <row r="26" spans="1:14" x14ac:dyDescent="0.25">
      <c r="A26" t="str">
        <f>High!A29</f>
        <v>ProcureScaling</v>
      </c>
      <c r="B26" t="s">
        <v>32</v>
      </c>
      <c r="C26" s="1">
        <f>-High!F29/1000</f>
        <v>11.192743119999999</v>
      </c>
      <c r="D26" s="1">
        <f>High!G29/1000</f>
        <v>6.3875267705175993</v>
      </c>
      <c r="K26" s="1">
        <f>C26</f>
        <v>11.192743119999999</v>
      </c>
    </row>
    <row r="27" spans="1:14" x14ac:dyDescent="0.25">
      <c r="A27" t="str">
        <f>High!A30</f>
        <v>Optimal</v>
      </c>
      <c r="B27" t="s">
        <v>32</v>
      </c>
      <c r="C27" s="1">
        <f>-High!F30/1000</f>
        <v>20.872627605884098</v>
      </c>
      <c r="D27" s="1">
        <f>High!G30/1000</f>
        <v>7.4631232878893004</v>
      </c>
      <c r="L27" s="1">
        <f>C27</f>
        <v>20.872627605884098</v>
      </c>
    </row>
    <row r="30" spans="1:14" x14ac:dyDescent="0.25">
      <c r="C30" s="1" t="s">
        <v>71</v>
      </c>
      <c r="D30" s="1"/>
    </row>
    <row r="31" spans="1:14" x14ac:dyDescent="0.25">
      <c r="A31" t="str">
        <f>Low!A32</f>
        <v>Low Baseline</v>
      </c>
      <c r="B31" t="s">
        <v>28</v>
      </c>
      <c r="C31" t="s">
        <v>36</v>
      </c>
      <c r="D31" t="s">
        <v>37</v>
      </c>
      <c r="E31" t="s">
        <v>63</v>
      </c>
      <c r="F31" t="s">
        <v>64</v>
      </c>
      <c r="G31" t="s">
        <v>65</v>
      </c>
      <c r="H31" t="s">
        <v>66</v>
      </c>
      <c r="I31" t="s">
        <v>67</v>
      </c>
      <c r="J31" t="s">
        <v>68</v>
      </c>
      <c r="K31" t="s">
        <v>69</v>
      </c>
      <c r="L31" t="s">
        <v>70</v>
      </c>
      <c r="N31" s="7">
        <v>0.02</v>
      </c>
    </row>
    <row r="32" spans="1:14" x14ac:dyDescent="0.25">
      <c r="A32" t="str">
        <f>A2</f>
        <v>45Q-2040</v>
      </c>
      <c r="B32" t="s">
        <v>30</v>
      </c>
      <c r="C32" s="1">
        <f>-Low!B18/1000</f>
        <v>87.041623714157296</v>
      </c>
      <c r="D32" s="1">
        <f>Low!C18/1000</f>
        <v>55.215053146678599</v>
      </c>
      <c r="F32" s="1">
        <f>C32</f>
        <v>87.041623714157296</v>
      </c>
    </row>
    <row r="33" spans="1:10" x14ac:dyDescent="0.25">
      <c r="A33" t="str">
        <f t="shared" ref="A33:A57" si="0">A3</f>
        <v>45Q-2050</v>
      </c>
      <c r="B33" t="s">
        <v>30</v>
      </c>
      <c r="C33" s="1">
        <f>-Low!B19/1000</f>
        <v>277.18941464709002</v>
      </c>
      <c r="D33" s="1">
        <f>Low!C19/1000</f>
        <v>272.17378966586114</v>
      </c>
      <c r="F33" s="1">
        <f>C33</f>
        <v>277.18941464709002</v>
      </c>
    </row>
    <row r="34" spans="1:10" x14ac:dyDescent="0.25">
      <c r="A34" t="str">
        <f t="shared" si="0"/>
        <v>CDRIA-2035</v>
      </c>
      <c r="B34" t="s">
        <v>30</v>
      </c>
      <c r="C34" s="1">
        <f>-Low!B20/1000</f>
        <v>52.7127567252818</v>
      </c>
      <c r="D34" s="1">
        <f>Low!C20/1000</f>
        <v>60.824649079375007</v>
      </c>
      <c r="F34" s="1">
        <f>C34</f>
        <v>52.7127567252818</v>
      </c>
    </row>
    <row r="35" spans="1:10" x14ac:dyDescent="0.25">
      <c r="A35" t="str">
        <f t="shared" si="0"/>
        <v>CDRIA-2050</v>
      </c>
      <c r="B35" t="s">
        <v>30</v>
      </c>
      <c r="C35" s="1">
        <f>-Low!B21/1000</f>
        <v>568.35747058677691</v>
      </c>
      <c r="D35" s="1">
        <f>Low!C21/1000</f>
        <v>630.34279779581107</v>
      </c>
      <c r="F35" s="1">
        <f>C35</f>
        <v>568.35747058677691</v>
      </c>
    </row>
    <row r="36" spans="1:10" x14ac:dyDescent="0.25">
      <c r="A36" t="str">
        <f t="shared" si="0"/>
        <v>Innovation-DACHubs</v>
      </c>
      <c r="B36" t="s">
        <v>30</v>
      </c>
      <c r="C36" s="1">
        <f>-Low!B22/1000</f>
        <v>0.62911242305952997</v>
      </c>
      <c r="D36" s="1">
        <f>Low!C22/1000</f>
        <v>4.1262415688571004</v>
      </c>
      <c r="E36" s="1">
        <f>C36</f>
        <v>0.62911242305952997</v>
      </c>
    </row>
    <row r="37" spans="1:10" x14ac:dyDescent="0.25">
      <c r="A37" t="str">
        <f t="shared" si="0"/>
        <v>Innovation-maintain</v>
      </c>
      <c r="B37" t="s">
        <v>30</v>
      </c>
      <c r="C37" s="1">
        <f>-Low!B23/1000</f>
        <v>24.1876785360786</v>
      </c>
      <c r="D37" s="1">
        <f>Low!C23/1000</f>
        <v>2.3370840578976004</v>
      </c>
      <c r="E37" s="1">
        <f>C37</f>
        <v>24.1876785360786</v>
      </c>
    </row>
    <row r="38" spans="1:10" x14ac:dyDescent="0.25">
      <c r="A38" t="str">
        <f t="shared" si="0"/>
        <v>Innovation-rhodium18b</v>
      </c>
      <c r="B38" t="s">
        <v>30</v>
      </c>
      <c r="C38" s="1">
        <f>-Low!B24/1000</f>
        <v>58.217953069988795</v>
      </c>
      <c r="D38" s="1">
        <f>Low!C24/1000</f>
        <v>14.708132878070801</v>
      </c>
      <c r="E38" s="1">
        <f>C38</f>
        <v>58.217953069988795</v>
      </c>
    </row>
    <row r="39" spans="1:10" x14ac:dyDescent="0.25">
      <c r="A39" t="str">
        <f t="shared" si="0"/>
        <v>Innovation-rhodium6b</v>
      </c>
      <c r="B39" t="s">
        <v>30</v>
      </c>
      <c r="C39" s="1">
        <f>-Low!B25/1000</f>
        <v>36.532335702793603</v>
      </c>
      <c r="D39" s="1">
        <f>Low!C25/1000</f>
        <v>4.8598610157378985</v>
      </c>
      <c r="E39" s="1">
        <f>C39</f>
        <v>36.532335702793603</v>
      </c>
    </row>
    <row r="40" spans="1:10" x14ac:dyDescent="0.25">
      <c r="A40" t="str">
        <f t="shared" si="0"/>
        <v>Innovation-triple</v>
      </c>
      <c r="B40" t="s">
        <v>30</v>
      </c>
      <c r="C40" s="1">
        <f>-Low!B26/1000</f>
        <v>43.040120277630102</v>
      </c>
      <c r="D40" s="1">
        <f>Low!C26/1000</f>
        <v>7.0714240773678014</v>
      </c>
      <c r="E40" s="1">
        <f>C40</f>
        <v>43.040120277630102</v>
      </c>
    </row>
    <row r="41" spans="1:10" x14ac:dyDescent="0.25">
      <c r="A41" t="str">
        <f t="shared" si="0"/>
        <v>Procure3B</v>
      </c>
      <c r="B41" t="s">
        <v>30</v>
      </c>
      <c r="C41" s="1">
        <f>-Low!B27/1000</f>
        <v>38.255645925858296</v>
      </c>
      <c r="D41" s="1">
        <f>Low!C27/1000</f>
        <v>27.844316551196702</v>
      </c>
      <c r="G41" s="1">
        <f>C41</f>
        <v>38.255645925858296</v>
      </c>
    </row>
    <row r="42" spans="1:10" x14ac:dyDescent="0.25">
      <c r="A42" t="str">
        <f t="shared" si="0"/>
        <v>ProcureRhodium</v>
      </c>
      <c r="B42" t="s">
        <v>30</v>
      </c>
      <c r="C42" s="1">
        <f>-Low!B28/1000</f>
        <v>118.894246448717</v>
      </c>
      <c r="D42" s="1">
        <f>Low!C28/1000</f>
        <v>1176.2483637984021</v>
      </c>
      <c r="G42" s="1">
        <f>C42</f>
        <v>118.894246448717</v>
      </c>
    </row>
    <row r="43" spans="1:10" x14ac:dyDescent="0.25">
      <c r="A43" t="str">
        <f t="shared" si="0"/>
        <v>ProcureScaling</v>
      </c>
      <c r="B43" t="s">
        <v>30</v>
      </c>
      <c r="C43" s="1">
        <f>-Low!B29/1000</f>
        <v>27.8477754083363</v>
      </c>
      <c r="D43" s="1">
        <f>Low!C29/1000</f>
        <v>11.354460030213499</v>
      </c>
      <c r="G43" s="1">
        <f>C43</f>
        <v>27.8477754083363</v>
      </c>
    </row>
    <row r="44" spans="1:10" x14ac:dyDescent="0.25">
      <c r="A44" t="str">
        <f t="shared" si="0"/>
        <v>Optimal</v>
      </c>
      <c r="B44" t="s">
        <v>30</v>
      </c>
      <c r="C44" s="1">
        <f>-Low!B30/1000</f>
        <v>110.89849631853801</v>
      </c>
      <c r="D44" s="1">
        <f>Low!C30/1000</f>
        <v>56.978455524179303</v>
      </c>
      <c r="H44" s="1">
        <f>C44</f>
        <v>110.89849631853801</v>
      </c>
    </row>
    <row r="45" spans="1:10" x14ac:dyDescent="0.25">
      <c r="A45" t="str">
        <f t="shared" si="0"/>
        <v>45Q-2040</v>
      </c>
      <c r="B45" t="s">
        <v>32</v>
      </c>
      <c r="C45" s="1">
        <f>-High!B18/1000</f>
        <v>169.78338393730101</v>
      </c>
      <c r="D45" s="1">
        <f>High!C18/1000</f>
        <v>94.455205551250813</v>
      </c>
      <c r="J45" s="1">
        <f>C45</f>
        <v>169.78338393730101</v>
      </c>
    </row>
    <row r="46" spans="1:10" x14ac:dyDescent="0.25">
      <c r="A46" t="str">
        <f t="shared" si="0"/>
        <v>45Q-2050</v>
      </c>
      <c r="B46" t="s">
        <v>32</v>
      </c>
      <c r="C46" s="1">
        <f>-High!B19/1000</f>
        <v>754.77402503940107</v>
      </c>
      <c r="D46" s="1">
        <f>High!C19/1000</f>
        <v>749.14981794569087</v>
      </c>
      <c r="J46" s="1">
        <f>C46</f>
        <v>754.77402503940107</v>
      </c>
    </row>
    <row r="47" spans="1:10" x14ac:dyDescent="0.25">
      <c r="A47" t="str">
        <f t="shared" si="0"/>
        <v>CDRIA-2035</v>
      </c>
      <c r="B47" t="s">
        <v>32</v>
      </c>
      <c r="C47" s="1">
        <f>-High!B20/1000</f>
        <v>85.029801215989494</v>
      </c>
      <c r="D47" s="1">
        <f>High!C20/1000</f>
        <v>87.081623661185802</v>
      </c>
      <c r="J47" s="1">
        <f>C47</f>
        <v>85.029801215989494</v>
      </c>
    </row>
    <row r="48" spans="1:10" x14ac:dyDescent="0.25">
      <c r="A48" t="str">
        <f t="shared" si="0"/>
        <v>CDRIA-2050</v>
      </c>
      <c r="B48" t="s">
        <v>32</v>
      </c>
      <c r="C48" s="1">
        <f>-High!B21/1000</f>
        <v>1464.9897871615401</v>
      </c>
      <c r="D48" s="1">
        <f>High!C21/1000</f>
        <v>1470.3129361080937</v>
      </c>
      <c r="J48" s="1">
        <f>C48</f>
        <v>1464.9897871615401</v>
      </c>
    </row>
    <row r="49" spans="1:12" x14ac:dyDescent="0.25">
      <c r="A49" t="str">
        <f t="shared" si="0"/>
        <v>Innovation-DACHubs</v>
      </c>
      <c r="B49" t="s">
        <v>32</v>
      </c>
      <c r="C49" s="1">
        <f>-High!B22/1000</f>
        <v>3.7271947617020902</v>
      </c>
      <c r="D49" s="1">
        <f>High!C22/1000</f>
        <v>4.2101375662191982</v>
      </c>
      <c r="I49" s="1">
        <f>C49</f>
        <v>3.7271947617020902</v>
      </c>
    </row>
    <row r="50" spans="1:12" x14ac:dyDescent="0.25">
      <c r="A50" t="str">
        <f t="shared" si="0"/>
        <v>Innovation-maintain</v>
      </c>
      <c r="B50" t="s">
        <v>32</v>
      </c>
      <c r="C50" s="1">
        <f>-High!B23/1000</f>
        <v>45.921597500000004</v>
      </c>
      <c r="D50" s="1">
        <f>High!C23/1000</f>
        <v>2.325912385023801</v>
      </c>
      <c r="I50" s="1">
        <f>C50</f>
        <v>45.921597500000004</v>
      </c>
    </row>
    <row r="51" spans="1:12" x14ac:dyDescent="0.25">
      <c r="A51" t="str">
        <f t="shared" si="0"/>
        <v>Innovation-rhodium18b</v>
      </c>
      <c r="B51" t="s">
        <v>32</v>
      </c>
      <c r="C51" s="1">
        <f>-High!B24/1000</f>
        <v>107.0726366</v>
      </c>
      <c r="D51" s="1">
        <f>High!C24/1000</f>
        <v>14.633717565023801</v>
      </c>
      <c r="I51" s="1">
        <f>C51</f>
        <v>107.0726366</v>
      </c>
    </row>
    <row r="52" spans="1:12" x14ac:dyDescent="0.25">
      <c r="A52" t="str">
        <f t="shared" si="0"/>
        <v>Innovation-rhodium6b</v>
      </c>
      <c r="B52" t="s">
        <v>32</v>
      </c>
      <c r="C52" s="1">
        <f>-High!B25/1000</f>
        <v>69.242862210000013</v>
      </c>
      <c r="D52" s="1">
        <f>High!C25/1000</f>
        <v>4.8264201050237991</v>
      </c>
      <c r="I52" s="1">
        <f>C52</f>
        <v>69.242862210000013</v>
      </c>
    </row>
    <row r="53" spans="1:12" x14ac:dyDescent="0.25">
      <c r="A53" t="str">
        <f t="shared" si="0"/>
        <v>Innovation-triple</v>
      </c>
      <c r="B53" t="s">
        <v>32</v>
      </c>
      <c r="C53" s="1">
        <f>-High!B26/1000</f>
        <v>81.117731169999999</v>
      </c>
      <c r="D53" s="1">
        <f>High!C26/1000</f>
        <v>7.0449094950238011</v>
      </c>
      <c r="I53" s="1">
        <f>C53</f>
        <v>81.117731169999999</v>
      </c>
    </row>
    <row r="54" spans="1:12" x14ac:dyDescent="0.25">
      <c r="A54" t="str">
        <f t="shared" si="0"/>
        <v>Procure3B</v>
      </c>
      <c r="B54" t="s">
        <v>32</v>
      </c>
      <c r="C54" s="1">
        <f>-High!B27/1000</f>
        <v>70.006101200000003</v>
      </c>
      <c r="D54" s="1">
        <f>High!C27/1000</f>
        <v>27.911243325023797</v>
      </c>
      <c r="K54" s="1">
        <f>C54</f>
        <v>70.006101200000003</v>
      </c>
    </row>
    <row r="55" spans="1:12" x14ac:dyDescent="0.25">
      <c r="A55" t="str">
        <f t="shared" si="0"/>
        <v>ProcureRhodium</v>
      </c>
      <c r="B55" t="s">
        <v>32</v>
      </c>
      <c r="C55" s="1">
        <f>-High!B28/1000</f>
        <v>185.02690859979998</v>
      </c>
      <c r="D55" s="1">
        <f>High!C28/1000</f>
        <v>1207.1386077176137</v>
      </c>
      <c r="K55" s="1">
        <f>C55</f>
        <v>185.02690859979998</v>
      </c>
    </row>
    <row r="56" spans="1:12" x14ac:dyDescent="0.25">
      <c r="A56" t="str">
        <f t="shared" si="0"/>
        <v>ProcureScaling</v>
      </c>
      <c r="B56" t="s">
        <v>32</v>
      </c>
      <c r="C56" s="1">
        <f>-High!B29/1000</f>
        <v>52.677846719999998</v>
      </c>
      <c r="D56" s="1">
        <f>High!C29/1000</f>
        <v>11.419991415023802</v>
      </c>
      <c r="K56" s="1">
        <f>C56</f>
        <v>52.677846719999998</v>
      </c>
    </row>
    <row r="57" spans="1:12" x14ac:dyDescent="0.25">
      <c r="A57" t="str">
        <f t="shared" si="0"/>
        <v>Optimal</v>
      </c>
      <c r="B57" t="s">
        <v>32</v>
      </c>
      <c r="C57" s="1">
        <f>-High!B30/1000</f>
        <v>107.282405397856</v>
      </c>
      <c r="D57" s="1">
        <f>High!C30/1000</f>
        <v>13.903174194054902</v>
      </c>
      <c r="L57" s="1">
        <f>C57</f>
        <v>107.282405397856</v>
      </c>
    </row>
    <row r="58" spans="1:12" x14ac:dyDescent="0.25">
      <c r="C58" s="1"/>
    </row>
    <row r="59" spans="1:12" x14ac:dyDescent="0.25">
      <c r="C59" s="1"/>
    </row>
    <row r="60" spans="1:12" x14ac:dyDescent="0.25">
      <c r="C60" s="1"/>
    </row>
    <row r="61" spans="1:12" x14ac:dyDescent="0.25">
      <c r="C61" s="1"/>
    </row>
    <row r="62" spans="1:12" x14ac:dyDescent="0.25">
      <c r="C62" s="1"/>
    </row>
    <row r="63" spans="1:12" x14ac:dyDescent="0.25">
      <c r="C63" s="1"/>
    </row>
    <row r="64" spans="1:12" x14ac:dyDescent="0.25">
      <c r="C64" s="1"/>
    </row>
    <row r="65" spans="1:14" x14ac:dyDescent="0.25">
      <c r="C65" s="1"/>
    </row>
    <row r="66" spans="1:14" x14ac:dyDescent="0.25">
      <c r="A66">
        <f>Low!A69</f>
        <v>0</v>
      </c>
      <c r="B66" t="s">
        <v>28</v>
      </c>
      <c r="C66" t="s">
        <v>19</v>
      </c>
      <c r="D66" t="s">
        <v>20</v>
      </c>
      <c r="E66" t="s">
        <v>63</v>
      </c>
      <c r="F66" t="s">
        <v>64</v>
      </c>
      <c r="G66" t="s">
        <v>65</v>
      </c>
      <c r="H66" t="s">
        <v>66</v>
      </c>
      <c r="I66" t="s">
        <v>67</v>
      </c>
      <c r="J66" t="s">
        <v>68</v>
      </c>
      <c r="K66" t="s">
        <v>69</v>
      </c>
      <c r="L66" t="s">
        <v>70</v>
      </c>
      <c r="N66" s="7">
        <v>0.2</v>
      </c>
    </row>
    <row r="67" spans="1:14" x14ac:dyDescent="0.25">
      <c r="A67" t="str">
        <f>A32</f>
        <v>45Q-2040</v>
      </c>
      <c r="B67" t="s">
        <v>30</v>
      </c>
      <c r="C67" s="1">
        <f>-Low!J18/1000</f>
        <v>10.209740402372299</v>
      </c>
      <c r="D67" s="1">
        <f>Low!K18/1000</f>
        <v>9.476218021083989</v>
      </c>
      <c r="F67" s="1">
        <f>C67</f>
        <v>10.209740402372299</v>
      </c>
    </row>
    <row r="68" spans="1:14" x14ac:dyDescent="0.25">
      <c r="A68" t="str">
        <f t="shared" ref="A68:A92" si="1">A33</f>
        <v>45Q-2050</v>
      </c>
      <c r="B68" t="s">
        <v>30</v>
      </c>
      <c r="C68" s="1">
        <f>-Low!J19/1000</f>
        <v>15.9803982211468</v>
      </c>
      <c r="D68" s="1">
        <f>Low!K19/1000</f>
        <v>16.568117338946593</v>
      </c>
      <c r="F68" s="1">
        <f>C68</f>
        <v>15.9803982211468</v>
      </c>
    </row>
    <row r="69" spans="1:14" x14ac:dyDescent="0.25">
      <c r="A69" t="str">
        <f t="shared" si="1"/>
        <v>CDRIA-2035</v>
      </c>
      <c r="B69" t="s">
        <v>30</v>
      </c>
      <c r="C69" s="1">
        <f>-Low!J20/1000</f>
        <v>10.131117210587</v>
      </c>
      <c r="D69" s="1">
        <f>Low!K20/1000</f>
        <v>19.137170013317693</v>
      </c>
      <c r="F69" s="1">
        <f>C69</f>
        <v>10.131117210587</v>
      </c>
    </row>
    <row r="70" spans="1:14" x14ac:dyDescent="0.25">
      <c r="A70" t="str">
        <f t="shared" si="1"/>
        <v>CDRIA-2050</v>
      </c>
      <c r="B70" t="s">
        <v>30</v>
      </c>
      <c r="C70" s="1">
        <f>-Low!J21/1000</f>
        <v>37.918655503970797</v>
      </c>
      <c r="D70" s="1">
        <f>Low!K21/1000</f>
        <v>45.651924713912997</v>
      </c>
      <c r="F70" s="1">
        <f>C70</f>
        <v>37.918655503970797</v>
      </c>
    </row>
    <row r="71" spans="1:14" x14ac:dyDescent="0.25">
      <c r="A71" t="str">
        <f t="shared" si="1"/>
        <v>Innovation-DACHubs</v>
      </c>
      <c r="B71" t="s">
        <v>30</v>
      </c>
      <c r="C71" s="1">
        <f>-Low!J22/1000</f>
        <v>0.33561574049935</v>
      </c>
      <c r="D71" s="1">
        <f>Low!K22/1000</f>
        <v>3.0119272354747899</v>
      </c>
      <c r="E71" s="1">
        <f>C71</f>
        <v>0.33561574049935</v>
      </c>
    </row>
    <row r="72" spans="1:14" x14ac:dyDescent="0.25">
      <c r="A72" t="str">
        <f t="shared" si="1"/>
        <v>Innovation-maintain</v>
      </c>
      <c r="B72" t="s">
        <v>30</v>
      </c>
      <c r="C72" s="1">
        <f>-Low!J23/1000</f>
        <v>2.03674772368365</v>
      </c>
      <c r="D72" s="1">
        <f>Low!K23/1000</f>
        <v>0.64868348327826975</v>
      </c>
      <c r="E72" s="1">
        <f>C72</f>
        <v>2.03674772368365</v>
      </c>
    </row>
    <row r="73" spans="1:14" x14ac:dyDescent="0.25">
      <c r="A73" t="str">
        <f t="shared" si="1"/>
        <v>Innovation-rhodium18b</v>
      </c>
      <c r="B73" t="s">
        <v>30</v>
      </c>
      <c r="C73" s="1">
        <f>-Low!J24/1000</f>
        <v>5.3638813822450304</v>
      </c>
      <c r="D73" s="1">
        <f>Low!K24/1000</f>
        <v>3.5095880533935908</v>
      </c>
      <c r="E73" s="1">
        <f>C73</f>
        <v>5.3638813822450304</v>
      </c>
    </row>
    <row r="74" spans="1:14" x14ac:dyDescent="0.25">
      <c r="A74" t="str">
        <f t="shared" si="1"/>
        <v>Innovation-rhodium6b</v>
      </c>
      <c r="B74" t="s">
        <v>30</v>
      </c>
      <c r="C74" s="1">
        <f>-Low!J25/1000</f>
        <v>3.2927796969207503</v>
      </c>
      <c r="D74" s="1">
        <f>Low!K25/1000</f>
        <v>1.1456123160236911</v>
      </c>
      <c r="E74" s="1">
        <f>C74</f>
        <v>3.2927796969207503</v>
      </c>
    </row>
    <row r="75" spans="1:14" x14ac:dyDescent="0.25">
      <c r="A75" t="str">
        <f t="shared" si="1"/>
        <v>Innovation-triple</v>
      </c>
      <c r="B75" t="s">
        <v>30</v>
      </c>
      <c r="C75" s="1">
        <f>-Low!J26/1000</f>
        <v>3.94821129977616</v>
      </c>
      <c r="D75" s="1">
        <f>Low!K26/1000</f>
        <v>1.9826901417550908</v>
      </c>
      <c r="E75" s="1">
        <f>C75</f>
        <v>3.94821129977616</v>
      </c>
    </row>
    <row r="76" spans="1:14" x14ac:dyDescent="0.25">
      <c r="A76" t="str">
        <f t="shared" si="1"/>
        <v>Procure3B</v>
      </c>
      <c r="B76" t="s">
        <v>30</v>
      </c>
      <c r="C76" s="1">
        <f>-Low!J27/1000</f>
        <v>5.7158742587877693</v>
      </c>
      <c r="D76" s="1">
        <f>Low!K27/1000</f>
        <v>11.417559116321593</v>
      </c>
      <c r="G76" s="1">
        <f>C76</f>
        <v>5.7158742587877693</v>
      </c>
    </row>
    <row r="77" spans="1:14" x14ac:dyDescent="0.25">
      <c r="A77" t="str">
        <f t="shared" si="1"/>
        <v>ProcureRhodium</v>
      </c>
      <c r="B77" t="s">
        <v>30</v>
      </c>
      <c r="C77" s="1">
        <f>-Low!J28/1000</f>
        <v>25.574064566239599</v>
      </c>
      <c r="D77" s="1">
        <f>Low!K28/1000</f>
        <v>138.93530596719577</v>
      </c>
      <c r="G77" s="1">
        <f>C77</f>
        <v>25.574064566239599</v>
      </c>
    </row>
    <row r="78" spans="1:14" x14ac:dyDescent="0.25">
      <c r="A78" t="str">
        <f t="shared" si="1"/>
        <v>ProcureScaling</v>
      </c>
      <c r="B78" t="s">
        <v>30</v>
      </c>
      <c r="C78" s="1">
        <f>-Low!J29/1000</f>
        <v>3.0937558246702901</v>
      </c>
      <c r="D78" s="1">
        <f>Low!K29/1000</f>
        <v>4.3122304298988912</v>
      </c>
      <c r="G78" s="1">
        <f>C78</f>
        <v>3.0937558246702901</v>
      </c>
    </row>
    <row r="79" spans="1:14" x14ac:dyDescent="0.25">
      <c r="A79" t="str">
        <f t="shared" si="1"/>
        <v>Optimal</v>
      </c>
      <c r="B79" t="s">
        <v>30</v>
      </c>
      <c r="C79" s="1">
        <f>-Low!J30/1000</f>
        <v>12.2700831571496</v>
      </c>
      <c r="D79" s="1">
        <f>Low!K30/1000</f>
        <v>10.039370991663089</v>
      </c>
      <c r="H79" s="1">
        <f>C79</f>
        <v>12.2700831571496</v>
      </c>
    </row>
    <row r="80" spans="1:14" x14ac:dyDescent="0.25">
      <c r="A80" t="str">
        <f t="shared" si="1"/>
        <v>45Q-2040</v>
      </c>
      <c r="B80" t="s">
        <v>32</v>
      </c>
      <c r="C80" s="1">
        <f>-High!J18/1000</f>
        <v>18.237934782227903</v>
      </c>
      <c r="D80" s="1">
        <f>High!K18/1000</f>
        <v>15.35711737145612</v>
      </c>
      <c r="J80" s="1">
        <f>C80</f>
        <v>18.237934782227903</v>
      </c>
    </row>
    <row r="81" spans="1:12" x14ac:dyDescent="0.25">
      <c r="A81" t="str">
        <f t="shared" si="1"/>
        <v>45Q-2050</v>
      </c>
      <c r="B81" t="s">
        <v>32</v>
      </c>
      <c r="C81" s="1">
        <f>-High!J19/1000</f>
        <v>35.032953427482198</v>
      </c>
      <c r="D81" s="1">
        <f>High!K19/1000</f>
        <v>35.469894501100818</v>
      </c>
      <c r="J81" s="1">
        <f>C81</f>
        <v>35.032953427482198</v>
      </c>
    </row>
    <row r="82" spans="1:12" x14ac:dyDescent="0.25">
      <c r="A82" t="str">
        <f t="shared" si="1"/>
        <v>CDRIA-2035</v>
      </c>
      <c r="B82" t="s">
        <v>32</v>
      </c>
      <c r="C82" s="1">
        <f>-High!J20/1000</f>
        <v>13.6691705387663</v>
      </c>
      <c r="D82" s="1">
        <f>High!K20/1000</f>
        <v>26.98339696665612</v>
      </c>
      <c r="J82" s="1">
        <f>C82</f>
        <v>13.6691705387663</v>
      </c>
    </row>
    <row r="83" spans="1:12" x14ac:dyDescent="0.25">
      <c r="A83" t="str">
        <f t="shared" si="1"/>
        <v>CDRIA-2050</v>
      </c>
      <c r="B83" t="s">
        <v>32</v>
      </c>
      <c r="C83" s="1">
        <f>-High!J21/1000</f>
        <v>77.084450851909907</v>
      </c>
      <c r="D83" s="1">
        <f>High!K21/1000</f>
        <v>86.588878581692811</v>
      </c>
      <c r="J83" s="1">
        <f>C83</f>
        <v>77.084450851909907</v>
      </c>
    </row>
    <row r="84" spans="1:12" x14ac:dyDescent="0.25">
      <c r="A84" t="str">
        <f t="shared" si="1"/>
        <v>Innovation-DACHubs</v>
      </c>
      <c r="B84" t="s">
        <v>32</v>
      </c>
      <c r="C84" s="1">
        <f>-High!J22/1000</f>
        <v>0.49459745807002703</v>
      </c>
      <c r="D84" s="1">
        <f>High!K22/1000</f>
        <v>3.059409534844721</v>
      </c>
      <c r="I84" s="1">
        <f>C84</f>
        <v>0.49459745807002703</v>
      </c>
    </row>
    <row r="85" spans="1:12" x14ac:dyDescent="0.25">
      <c r="A85" t="str">
        <f t="shared" si="1"/>
        <v>Innovation-maintain</v>
      </c>
      <c r="B85" t="s">
        <v>32</v>
      </c>
      <c r="C85" s="1">
        <f>-High!J23/1000</f>
        <v>3.1989574539999999</v>
      </c>
      <c r="D85" s="1">
        <f>High!K23/1000</f>
        <v>0.6423605549173208</v>
      </c>
      <c r="I85" s="1">
        <f>C85</f>
        <v>3.1989574539999999</v>
      </c>
    </row>
    <row r="86" spans="1:12" x14ac:dyDescent="0.25">
      <c r="A86" t="str">
        <f t="shared" si="1"/>
        <v>Innovation-rhodium18b</v>
      </c>
      <c r="B86" t="s">
        <v>32</v>
      </c>
      <c r="C86" s="1">
        <f>-High!J24/1000</f>
        <v>8.5145423079999993</v>
      </c>
      <c r="D86" s="1">
        <f>High!K24/1000</f>
        <v>3.4674732449173207</v>
      </c>
      <c r="I86" s="1">
        <f>C86</f>
        <v>8.5145423079999993</v>
      </c>
    </row>
    <row r="87" spans="1:12" x14ac:dyDescent="0.25">
      <c r="A87" t="str">
        <f t="shared" si="1"/>
        <v>Innovation-rhodium6b</v>
      </c>
      <c r="B87" t="s">
        <v>32</v>
      </c>
      <c r="C87" s="1">
        <f>-High!J25/1000</f>
        <v>5.2839158260000003</v>
      </c>
      <c r="D87" s="1">
        <f>High!K25/1000</f>
        <v>1.1266878249173204</v>
      </c>
      <c r="I87" s="1">
        <f>C87</f>
        <v>5.2839158260000003</v>
      </c>
    </row>
    <row r="88" spans="1:12" x14ac:dyDescent="0.25">
      <c r="A88" t="str">
        <f t="shared" si="1"/>
        <v>Innovation-triple</v>
      </c>
      <c r="B88" t="s">
        <v>32</v>
      </c>
      <c r="C88" s="1">
        <f>-High!J26/1000</f>
        <v>6.1108874349999995</v>
      </c>
      <c r="D88" s="1">
        <f>High!K26/1000</f>
        <v>1.9676849149173194</v>
      </c>
      <c r="I88" s="1">
        <f>C88</f>
        <v>6.1108874349999995</v>
      </c>
    </row>
    <row r="89" spans="1:12" x14ac:dyDescent="0.25">
      <c r="A89" t="str">
        <f t="shared" si="1"/>
        <v>Procure3B</v>
      </c>
      <c r="B89" t="s">
        <v>32</v>
      </c>
      <c r="C89" s="1">
        <f>-High!J27/1000</f>
        <v>7.7739790500000003</v>
      </c>
      <c r="D89" s="1">
        <f>High!K27/1000</f>
        <v>11.432142664917318</v>
      </c>
      <c r="K89" s="1">
        <f>C89</f>
        <v>7.7739790500000003</v>
      </c>
    </row>
    <row r="90" spans="1:12" x14ac:dyDescent="0.25">
      <c r="A90" t="str">
        <f t="shared" si="1"/>
        <v>ProcureRhodium</v>
      </c>
      <c r="B90" t="s">
        <v>32</v>
      </c>
      <c r="C90" s="1">
        <f>-High!J28/1000</f>
        <v>26.217887908184199</v>
      </c>
      <c r="D90" s="1">
        <f>High!K28/1000</f>
        <v>140.55513866259832</v>
      </c>
      <c r="K90" s="1">
        <f>C90</f>
        <v>26.217887908184199</v>
      </c>
    </row>
    <row r="91" spans="1:12" x14ac:dyDescent="0.25">
      <c r="A91" t="str">
        <f t="shared" si="1"/>
        <v>ProcureScaling</v>
      </c>
      <c r="B91" t="s">
        <v>32</v>
      </c>
      <c r="C91" s="1">
        <f>-High!J29/1000</f>
        <v>4.6815642999999998</v>
      </c>
      <c r="D91" s="1">
        <f>High!K29/1000</f>
        <v>4.3304415549173205</v>
      </c>
      <c r="K91" s="1">
        <f>C91</f>
        <v>4.6815642999999998</v>
      </c>
    </row>
    <row r="92" spans="1:12" x14ac:dyDescent="0.25">
      <c r="A92" t="str">
        <f t="shared" si="1"/>
        <v>Optimal</v>
      </c>
      <c r="B92" t="s">
        <v>32</v>
      </c>
      <c r="C92" s="1">
        <f>-High!J30/1000</f>
        <v>8.1740890987246004</v>
      </c>
      <c r="D92" s="1">
        <f>High!K30/1000</f>
        <v>5.0522583347774201</v>
      </c>
      <c r="L92" s="1">
        <f>C92</f>
        <v>8.1740890987246004</v>
      </c>
    </row>
    <row r="94" spans="1:12" x14ac:dyDescent="0.25">
      <c r="C94" s="1"/>
      <c r="D94" s="1"/>
    </row>
    <row r="95" spans="1:12" x14ac:dyDescent="0.25">
      <c r="C95" s="1"/>
      <c r="D95" s="1"/>
    </row>
    <row r="96" spans="1:12" x14ac:dyDescent="0.25">
      <c r="C96" s="1"/>
      <c r="D96" s="1"/>
    </row>
    <row r="97" spans="3:4" x14ac:dyDescent="0.25">
      <c r="C97" s="1"/>
      <c r="D97" s="1"/>
    </row>
    <row r="98" spans="3:4" x14ac:dyDescent="0.25">
      <c r="C98" s="1"/>
      <c r="D98" s="1"/>
    </row>
    <row r="99" spans="3:4" x14ac:dyDescent="0.25">
      <c r="C99" s="1"/>
      <c r="D99" s="1"/>
    </row>
    <row r="100" spans="3:4" x14ac:dyDescent="0.25">
      <c r="C100" s="1"/>
      <c r="D100" s="1"/>
    </row>
    <row r="101" spans="3:4" x14ac:dyDescent="0.25">
      <c r="C101" s="1"/>
      <c r="D101" s="1"/>
    </row>
    <row r="102" spans="3:4" x14ac:dyDescent="0.25">
      <c r="C102" s="1"/>
      <c r="D102" s="1"/>
    </row>
    <row r="103" spans="3:4" x14ac:dyDescent="0.25">
      <c r="C103" s="1"/>
      <c r="D103" s="1"/>
    </row>
    <row r="104" spans="3:4" x14ac:dyDescent="0.25">
      <c r="C104" s="1"/>
      <c r="D104" s="1"/>
    </row>
    <row r="105" spans="3:4" x14ac:dyDescent="0.25">
      <c r="C105" s="1"/>
      <c r="D105" s="1"/>
    </row>
    <row r="106" spans="3:4" x14ac:dyDescent="0.25">
      <c r="C106" s="1"/>
      <c r="D106" s="1"/>
    </row>
    <row r="107" spans="3:4" x14ac:dyDescent="0.25">
      <c r="C107" s="1"/>
      <c r="D107" s="1"/>
    </row>
    <row r="108" spans="3:4" x14ac:dyDescent="0.25">
      <c r="C108" s="1"/>
      <c r="D108" s="1"/>
    </row>
    <row r="109" spans="3:4" x14ac:dyDescent="0.25">
      <c r="C109" s="1"/>
      <c r="D109" s="1"/>
    </row>
    <row r="110" spans="3:4" x14ac:dyDescent="0.25">
      <c r="C110" s="1"/>
      <c r="D110" s="1"/>
    </row>
    <row r="111" spans="3:4" x14ac:dyDescent="0.25">
      <c r="C111" s="1"/>
      <c r="D111" s="1"/>
    </row>
    <row r="112" spans="3:4" x14ac:dyDescent="0.25">
      <c r="C112" s="1"/>
      <c r="D112" s="1"/>
    </row>
    <row r="113" spans="3:4" x14ac:dyDescent="0.25">
      <c r="C113" s="1"/>
      <c r="D113" s="1"/>
    </row>
    <row r="114" spans="3:4" x14ac:dyDescent="0.25">
      <c r="C114" s="1"/>
      <c r="D114" s="1"/>
    </row>
    <row r="115" spans="3:4" x14ac:dyDescent="0.25">
      <c r="C115" s="1"/>
      <c r="D115" s="1"/>
    </row>
    <row r="116" spans="3:4" x14ac:dyDescent="0.25">
      <c r="C116" s="1"/>
      <c r="D116" s="1"/>
    </row>
    <row r="117" spans="3:4" x14ac:dyDescent="0.25">
      <c r="C117" s="1"/>
      <c r="D117" s="1"/>
    </row>
    <row r="118" spans="3:4" x14ac:dyDescent="0.25">
      <c r="C118" s="1"/>
      <c r="D118" s="1"/>
    </row>
    <row r="119" spans="3:4" x14ac:dyDescent="0.25">
      <c r="C119" s="1"/>
      <c r="D119" s="1"/>
    </row>
    <row r="120" spans="3:4" x14ac:dyDescent="0.25">
      <c r="C120" s="1"/>
      <c r="D120" s="1"/>
    </row>
    <row r="121" spans="3:4" x14ac:dyDescent="0.25">
      <c r="C121" s="1"/>
      <c r="D121" s="1"/>
    </row>
    <row r="122" spans="3:4" x14ac:dyDescent="0.25">
      <c r="C122" s="1"/>
      <c r="D122" s="1"/>
    </row>
    <row r="123" spans="3:4" x14ac:dyDescent="0.25">
      <c r="C123" s="1"/>
      <c r="D123" s="1"/>
    </row>
    <row r="124" spans="3:4" x14ac:dyDescent="0.25">
      <c r="C124" s="1"/>
      <c r="D124" s="1"/>
    </row>
    <row r="125" spans="3:4" x14ac:dyDescent="0.25">
      <c r="C125" s="1"/>
      <c r="D125" s="1"/>
    </row>
    <row r="126" spans="3:4" x14ac:dyDescent="0.25">
      <c r="C126" s="1"/>
      <c r="D126" s="1"/>
    </row>
    <row r="127" spans="3:4" x14ac:dyDescent="0.25">
      <c r="C127" s="1"/>
      <c r="D127" s="1"/>
    </row>
    <row r="128" spans="3:4" x14ac:dyDescent="0.25">
      <c r="C128" s="1"/>
      <c r="D128" s="1"/>
    </row>
    <row r="129" spans="3:4" x14ac:dyDescent="0.25">
      <c r="C129" s="1"/>
      <c r="D129" s="1"/>
    </row>
    <row r="130" spans="3:4" x14ac:dyDescent="0.25">
      <c r="C130" s="1"/>
      <c r="D130" s="1"/>
    </row>
    <row r="131" spans="3:4" x14ac:dyDescent="0.25">
      <c r="C131" s="1"/>
      <c r="D131" s="1"/>
    </row>
    <row r="132" spans="3:4" x14ac:dyDescent="0.25">
      <c r="C132" s="1"/>
      <c r="D132" s="1"/>
    </row>
  </sheetData>
  <phoneticPr fontId="3" type="noConversion"/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3F2EE-3EBE-4333-896F-8C9A54E14DBD}">
  <dimension ref="A1:I24"/>
  <sheetViews>
    <sheetView workbookViewId="0">
      <selection activeCell="C31" sqref="C31"/>
    </sheetView>
  </sheetViews>
  <sheetFormatPr defaultRowHeight="15" x14ac:dyDescent="0.25"/>
  <cols>
    <col min="1" max="1" width="17.28515625" bestFit="1" customWidth="1"/>
    <col min="2" max="2" width="9.5703125" bestFit="1" customWidth="1"/>
    <col min="3" max="3" width="17.5703125" bestFit="1" customWidth="1"/>
    <col min="4" max="4" width="22" bestFit="1" customWidth="1"/>
    <col min="5" max="5" width="9.42578125" bestFit="1" customWidth="1"/>
  </cols>
  <sheetData>
    <row r="1" spans="1:9" x14ac:dyDescent="0.25">
      <c r="A1" t="s">
        <v>0</v>
      </c>
      <c r="B1" t="s">
        <v>51</v>
      </c>
      <c r="C1" t="s">
        <v>54</v>
      </c>
      <c r="D1" t="s">
        <v>55</v>
      </c>
      <c r="E1" t="s">
        <v>57</v>
      </c>
      <c r="I1" t="s">
        <v>80</v>
      </c>
    </row>
    <row r="2" spans="1:9" x14ac:dyDescent="0.25">
      <c r="A2" t="s">
        <v>13</v>
      </c>
      <c r="B2">
        <v>500</v>
      </c>
      <c r="C2" s="8">
        <f>C19</f>
        <v>40.97</v>
      </c>
      <c r="D2" s="8">
        <f>D19</f>
        <v>150.22333333333333</v>
      </c>
      <c r="E2" t="s">
        <v>56</v>
      </c>
    </row>
    <row r="3" spans="1:9" x14ac:dyDescent="0.25">
      <c r="A3" t="s">
        <v>14</v>
      </c>
      <c r="B3">
        <v>1500</v>
      </c>
      <c r="C3" s="8">
        <f>C21</f>
        <v>263.8</v>
      </c>
      <c r="D3" s="8">
        <f>D21</f>
        <v>967.26666666666677</v>
      </c>
      <c r="E3">
        <f>1-(D3-D2)/(B3-B2)</f>
        <v>0.18295666666666655</v>
      </c>
    </row>
    <row r="5" spans="1:9" x14ac:dyDescent="0.25">
      <c r="A5" s="3">
        <v>2040</v>
      </c>
    </row>
    <row r="6" spans="1:9" x14ac:dyDescent="0.25">
      <c r="A6" t="s">
        <v>0</v>
      </c>
      <c r="B6" t="s">
        <v>51</v>
      </c>
      <c r="C6" t="s">
        <v>54</v>
      </c>
      <c r="D6" t="s">
        <v>55</v>
      </c>
      <c r="E6" t="s">
        <v>50</v>
      </c>
    </row>
    <row r="7" spans="1:9" x14ac:dyDescent="0.25">
      <c r="A7" t="s">
        <v>82</v>
      </c>
      <c r="B7" s="8">
        <v>44.88</v>
      </c>
      <c r="C7" s="8">
        <v>696.53</v>
      </c>
      <c r="D7" s="8">
        <f t="shared" ref="D7:D13" si="0">C7*44/12</f>
        <v>2553.9433333333332</v>
      </c>
      <c r="E7" s="8" t="s">
        <v>56</v>
      </c>
    </row>
    <row r="8" spans="1:9" x14ac:dyDescent="0.25">
      <c r="A8" t="s">
        <v>81</v>
      </c>
      <c r="B8" s="8">
        <v>117.9</v>
      </c>
      <c r="C8" s="8">
        <v>706.24</v>
      </c>
      <c r="D8" s="8">
        <f t="shared" si="0"/>
        <v>2589.5466666666666</v>
      </c>
      <c r="E8" s="8">
        <f>1-(D8-D7)/(B8-B7)</f>
        <v>0.51241668949146169</v>
      </c>
    </row>
    <row r="9" spans="1:9" x14ac:dyDescent="0.25">
      <c r="A9" t="s">
        <v>83</v>
      </c>
      <c r="B9" s="8">
        <v>227.92</v>
      </c>
      <c r="C9" s="8">
        <v>721.47</v>
      </c>
      <c r="D9" s="8">
        <f t="shared" si="0"/>
        <v>2645.39</v>
      </c>
      <c r="E9" s="8">
        <f t="shared" ref="E9:E13" si="1">1-(D9-D8)/(B9-B8)</f>
        <v>0.49242561958431874</v>
      </c>
    </row>
    <row r="10" spans="1:9" x14ac:dyDescent="0.25">
      <c r="A10" t="s">
        <v>84</v>
      </c>
      <c r="B10" s="8">
        <v>302.17</v>
      </c>
      <c r="C10" s="8">
        <v>736.34</v>
      </c>
      <c r="D10" s="8">
        <f t="shared" si="0"/>
        <v>2699.9133333333334</v>
      </c>
      <c r="E10" s="8">
        <f t="shared" si="1"/>
        <v>0.26567901234567648</v>
      </c>
    </row>
    <row r="11" spans="1:9" x14ac:dyDescent="0.25">
      <c r="A11" t="s">
        <v>85</v>
      </c>
      <c r="B11" s="8">
        <v>416.68</v>
      </c>
      <c r="C11" s="8">
        <v>754.71</v>
      </c>
      <c r="D11" s="8">
        <f t="shared" si="0"/>
        <v>2767.2700000000004</v>
      </c>
      <c r="E11" s="8">
        <f t="shared" si="1"/>
        <v>0.4117835414665354</v>
      </c>
    </row>
    <row r="12" spans="1:9" x14ac:dyDescent="0.25">
      <c r="A12" t="s">
        <v>52</v>
      </c>
      <c r="B12" s="8">
        <v>444.92</v>
      </c>
      <c r="C12" s="8">
        <v>763.73</v>
      </c>
      <c r="D12" s="8">
        <f t="shared" si="0"/>
        <v>2800.3433333333337</v>
      </c>
      <c r="E12" s="8">
        <f>1-(D12-D11)/(B12-B11)</f>
        <v>-0.17115203021718339</v>
      </c>
    </row>
    <row r="13" spans="1:9" x14ac:dyDescent="0.25">
      <c r="A13" t="s">
        <v>53</v>
      </c>
      <c r="B13" s="8">
        <v>550.54</v>
      </c>
      <c r="C13" s="8">
        <v>790.77</v>
      </c>
      <c r="D13" s="8">
        <f t="shared" si="0"/>
        <v>2899.49</v>
      </c>
      <c r="E13" s="8">
        <f t="shared" si="1"/>
        <v>6.1288897304808465E-2</v>
      </c>
    </row>
    <row r="16" spans="1:9" x14ac:dyDescent="0.25">
      <c r="A16" s="3">
        <v>2050</v>
      </c>
    </row>
    <row r="17" spans="1:5" x14ac:dyDescent="0.25">
      <c r="A17" t="s">
        <v>0</v>
      </c>
      <c r="B17" t="s">
        <v>51</v>
      </c>
      <c r="C17" t="s">
        <v>54</v>
      </c>
      <c r="D17" t="s">
        <v>55</v>
      </c>
      <c r="E17" t="s">
        <v>50</v>
      </c>
    </row>
    <row r="18" spans="1:5" x14ac:dyDescent="0.25">
      <c r="A18" t="s">
        <v>82</v>
      </c>
      <c r="B18" s="8">
        <v>100</v>
      </c>
      <c r="C18" s="8">
        <v>-19.5</v>
      </c>
      <c r="D18" s="8">
        <f>C18*44/12</f>
        <v>-71.5</v>
      </c>
      <c r="E18" s="8" t="s">
        <v>56</v>
      </c>
    </row>
    <row r="19" spans="1:5" x14ac:dyDescent="0.25">
      <c r="A19" t="s">
        <v>81</v>
      </c>
      <c r="B19" s="8">
        <v>500</v>
      </c>
      <c r="C19" s="8">
        <v>40.97</v>
      </c>
      <c r="D19" s="8">
        <f>C19*44/12</f>
        <v>150.22333333333333</v>
      </c>
      <c r="E19" s="8">
        <f>1-(D19-D18)/(B19-B18)</f>
        <v>0.44569166666666671</v>
      </c>
    </row>
    <row r="20" spans="1:5" x14ac:dyDescent="0.25">
      <c r="A20" t="s">
        <v>52</v>
      </c>
      <c r="B20" s="8">
        <f>B19+788.98</f>
        <v>1288.98</v>
      </c>
      <c r="C20" s="8">
        <v>218.8</v>
      </c>
      <c r="D20" s="8">
        <f t="shared" ref="D20:D24" si="2">C20*44/12</f>
        <v>802.26666666666677</v>
      </c>
      <c r="E20" s="8">
        <f>1-(D20-D19)/(B20-B19)</f>
        <v>0.17356164499311344</v>
      </c>
    </row>
    <row r="21" spans="1:5" x14ac:dyDescent="0.25">
      <c r="A21" t="s">
        <v>83</v>
      </c>
      <c r="B21" s="8">
        <v>1500</v>
      </c>
      <c r="C21" s="8">
        <v>263.8</v>
      </c>
      <c r="D21" s="8">
        <f t="shared" si="2"/>
        <v>967.26666666666677</v>
      </c>
      <c r="E21" s="8">
        <f>1-(D21-D20)/(B21-B20)</f>
        <v>0.21808359397213528</v>
      </c>
    </row>
    <row r="22" spans="1:5" x14ac:dyDescent="0.25">
      <c r="A22" t="s">
        <v>53</v>
      </c>
      <c r="B22" s="8">
        <f>B21+638.54</f>
        <v>2138.54</v>
      </c>
      <c r="C22" s="8">
        <v>427.8</v>
      </c>
      <c r="D22" s="8">
        <f t="shared" si="2"/>
        <v>1568.6000000000001</v>
      </c>
      <c r="E22" s="8">
        <f t="shared" ref="E22" si="3">1-(D22-D21)/(B22-B21)</f>
        <v>5.8268341320303452E-2</v>
      </c>
    </row>
    <row r="23" spans="1:5" x14ac:dyDescent="0.25">
      <c r="A23" t="s">
        <v>84</v>
      </c>
      <c r="B23" s="8">
        <v>2400</v>
      </c>
      <c r="C23" s="8">
        <v>496.9</v>
      </c>
      <c r="D23" s="8">
        <f t="shared" si="2"/>
        <v>1821.9666666666665</v>
      </c>
      <c r="E23" s="8">
        <f>1-(D23-D22)/(B23-B22)</f>
        <v>3.0954384354523468E-2</v>
      </c>
    </row>
    <row r="24" spans="1:5" x14ac:dyDescent="0.25">
      <c r="A24" t="s">
        <v>85</v>
      </c>
      <c r="B24" s="8">
        <v>4100</v>
      </c>
      <c r="C24" s="8">
        <v>1069.7</v>
      </c>
      <c r="D24" s="8">
        <f t="shared" si="2"/>
        <v>3922.2333333333336</v>
      </c>
      <c r="E24" s="8">
        <f t="shared" ref="E24" si="4">1-(D24-D23)/(B24-B23)</f>
        <v>-0.23545098039215717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F8D6B-AAC7-4D47-8A22-E3B6AC50568B}">
  <dimension ref="A1:Q132"/>
  <sheetViews>
    <sheetView zoomScale="80" zoomScaleNormal="80" workbookViewId="0">
      <selection sqref="A1:J32"/>
    </sheetView>
  </sheetViews>
  <sheetFormatPr defaultRowHeight="15" x14ac:dyDescent="0.25"/>
  <cols>
    <col min="1" max="1" width="26.140625" bestFit="1" customWidth="1"/>
    <col min="2" max="2" width="10.85546875" bestFit="1" customWidth="1"/>
    <col min="3" max="3" width="66.85546875" bestFit="1" customWidth="1"/>
    <col min="4" max="4" width="70.140625" bestFit="1" customWidth="1"/>
  </cols>
  <sheetData>
    <row r="1" spans="1:17" x14ac:dyDescent="0.25">
      <c r="A1" t="s">
        <v>0</v>
      </c>
      <c r="B1" t="s">
        <v>28</v>
      </c>
      <c r="C1" t="s">
        <v>40</v>
      </c>
      <c r="D1" t="s">
        <v>90</v>
      </c>
      <c r="E1" t="s">
        <v>34</v>
      </c>
      <c r="F1" t="s">
        <v>91</v>
      </c>
      <c r="G1" t="s">
        <v>35</v>
      </c>
      <c r="H1" t="s">
        <v>92</v>
      </c>
      <c r="I1" t="s">
        <v>93</v>
      </c>
      <c r="J1" t="s">
        <v>41</v>
      </c>
      <c r="M1" t="s">
        <v>72</v>
      </c>
      <c r="N1" t="s">
        <v>76</v>
      </c>
      <c r="O1" t="s">
        <v>73</v>
      </c>
      <c r="P1" t="s">
        <v>74</v>
      </c>
      <c r="Q1" t="s">
        <v>75</v>
      </c>
    </row>
    <row r="2" spans="1:17" x14ac:dyDescent="0.25">
      <c r="A2" t="s">
        <v>27</v>
      </c>
      <c r="B2" t="s">
        <v>29</v>
      </c>
      <c r="C2">
        <v>4.9730839656855803</v>
      </c>
      <c r="D2" s="9">
        <f>C2/C$2-1</f>
        <v>0</v>
      </c>
      <c r="E2">
        <v>1.07999976827834</v>
      </c>
      <c r="F2" s="9">
        <f>E2/E$2-1</f>
        <v>0</v>
      </c>
      <c r="G2">
        <v>0.44036245439608102</v>
      </c>
      <c r="H2" s="9">
        <f>G2/G$2-1</f>
        <v>0</v>
      </c>
      <c r="I2" s="9">
        <f>J2/J$2-1</f>
        <v>0</v>
      </c>
      <c r="J2">
        <v>0.789552850896448</v>
      </c>
      <c r="M2">
        <f>MEDIAN(E3:E32)-E2</f>
        <v>4.4656436407839895E-2</v>
      </c>
      <c r="N2">
        <f>AVERAGE(E3:E32)-E2</f>
        <v>4.3674317423965325E-2</v>
      </c>
      <c r="O2">
        <f>_xlfn.CONFIDENCE.T(0.05, _xlfn.STDEV.S(E3:E32), COUNT(E3:E32))</f>
        <v>1.1247283056091387E-2</v>
      </c>
      <c r="P2">
        <f>N2-O2</f>
        <v>3.242703436787394E-2</v>
      </c>
      <c r="Q2">
        <f>N2+O2</f>
        <v>5.4921600480056711E-2</v>
      </c>
    </row>
    <row r="3" spans="1:17" x14ac:dyDescent="0.25">
      <c r="A3" t="s">
        <v>1</v>
      </c>
      <c r="B3" t="s">
        <v>30</v>
      </c>
      <c r="C3">
        <v>5.0718252254749698</v>
      </c>
      <c r="D3" s="9">
        <f t="shared" ref="D3:D32" si="0">C3/C$2-1</f>
        <v>1.9855136263676076E-2</v>
      </c>
      <c r="E3">
        <v>1.10722548717476</v>
      </c>
      <c r="F3" s="9">
        <f t="shared" ref="F3:F32" si="1">E3/E$2-1</f>
        <v>2.5209004386937295E-2</v>
      </c>
      <c r="G3">
        <v>0.45309060051576999</v>
      </c>
      <c r="H3" s="9">
        <f t="shared" ref="H3:H32" si="2">G3/G$2-1</f>
        <v>2.8903795027540591E-2</v>
      </c>
      <c r="I3" s="9">
        <f t="shared" ref="I3:I32" si="3">J3/J$2-1</f>
        <v>1.0644545520472448E-2</v>
      </c>
      <c r="J3">
        <v>0.79795728215863404</v>
      </c>
    </row>
    <row r="4" spans="1:17" x14ac:dyDescent="0.25">
      <c r="A4" t="s">
        <v>2</v>
      </c>
      <c r="B4" t="s">
        <v>30</v>
      </c>
      <c r="C4">
        <v>5.1320980379999996</v>
      </c>
      <c r="D4" s="9">
        <f t="shared" si="0"/>
        <v>3.1974942191127509E-2</v>
      </c>
      <c r="E4">
        <v>1.1169336540000001</v>
      </c>
      <c r="F4" s="9">
        <f t="shared" si="1"/>
        <v>3.4198049672304665E-2</v>
      </c>
      <c r="G4">
        <v>0.45571974599999998</v>
      </c>
      <c r="H4" s="9">
        <f t="shared" si="2"/>
        <v>3.4874207486603748E-2</v>
      </c>
      <c r="I4" s="9">
        <f t="shared" si="3"/>
        <v>1.9307500550778789E-2</v>
      </c>
      <c r="J4">
        <v>0.80479714300000005</v>
      </c>
    </row>
    <row r="5" spans="1:17" x14ac:dyDescent="0.25">
      <c r="A5" t="s">
        <v>3</v>
      </c>
      <c r="B5" t="s">
        <v>30</v>
      </c>
      <c r="C5">
        <v>5.0642412818588598</v>
      </c>
      <c r="D5" s="9">
        <f t="shared" si="0"/>
        <v>1.8330138160197462E-2</v>
      </c>
      <c r="E5">
        <v>1.10641859927185</v>
      </c>
      <c r="F5" s="9">
        <f t="shared" si="1"/>
        <v>2.4461885798017446E-2</v>
      </c>
      <c r="G5">
        <v>0.45405916021112802</v>
      </c>
      <c r="H5" s="9">
        <f t="shared" si="2"/>
        <v>3.1103255235124028E-2</v>
      </c>
      <c r="I5" s="9">
        <f t="shared" si="3"/>
        <v>1.0561718679330978E-2</v>
      </c>
      <c r="J5">
        <v>0.79789188599007999</v>
      </c>
    </row>
    <row r="6" spans="1:17" x14ac:dyDescent="0.25">
      <c r="A6" t="s">
        <v>4</v>
      </c>
      <c r="B6" t="s">
        <v>30</v>
      </c>
      <c r="C6">
        <v>4.8684535301920802</v>
      </c>
      <c r="D6" s="9">
        <f t="shared" si="0"/>
        <v>-2.1039346251833457E-2</v>
      </c>
      <c r="E6">
        <v>1.0698337539729701</v>
      </c>
      <c r="F6" s="9">
        <f t="shared" si="1"/>
        <v>-9.4129782282971197E-3</v>
      </c>
      <c r="G6">
        <v>0.441310297136154</v>
      </c>
      <c r="H6" s="9">
        <f t="shared" si="2"/>
        <v>2.1524149722820241E-3</v>
      </c>
      <c r="I6" s="9">
        <f t="shared" si="3"/>
        <v>-3.5505216962306463E-2</v>
      </c>
      <c r="J6">
        <v>0.76151960562216203</v>
      </c>
    </row>
    <row r="7" spans="1:17" x14ac:dyDescent="0.25">
      <c r="A7" t="s">
        <v>6</v>
      </c>
      <c r="B7" t="s">
        <v>30</v>
      </c>
      <c r="C7">
        <v>5.0651494079999999</v>
      </c>
      <c r="D7" s="9">
        <f t="shared" si="0"/>
        <v>1.8512746406389669E-2</v>
      </c>
      <c r="E7">
        <v>1.1039787759999999</v>
      </c>
      <c r="F7" s="9">
        <f t="shared" si="1"/>
        <v>2.2202789691228908E-2</v>
      </c>
      <c r="G7">
        <v>0.45225595800000001</v>
      </c>
      <c r="H7" s="9">
        <f t="shared" si="2"/>
        <v>2.7008441535348204E-2</v>
      </c>
      <c r="I7" s="9">
        <f t="shared" si="3"/>
        <v>1.2916266583007374E-2</v>
      </c>
      <c r="J7">
        <v>0.79975092599999997</v>
      </c>
    </row>
    <row r="8" spans="1:17" x14ac:dyDescent="0.25">
      <c r="A8" t="s">
        <v>5</v>
      </c>
      <c r="B8" t="s">
        <v>30</v>
      </c>
      <c r="C8">
        <v>5.0631788069999999</v>
      </c>
      <c r="D8" s="9">
        <f t="shared" si="0"/>
        <v>1.8116493092832586E-2</v>
      </c>
      <c r="E8">
        <v>1.102025501</v>
      </c>
      <c r="F8" s="9">
        <f t="shared" si="1"/>
        <v>2.0394201340220519E-2</v>
      </c>
      <c r="G8">
        <v>0.44986187300000002</v>
      </c>
      <c r="H8" s="9">
        <f t="shared" si="2"/>
        <v>2.1571817735793752E-2</v>
      </c>
      <c r="I8" s="9">
        <f t="shared" si="3"/>
        <v>1.0368295287968898E-2</v>
      </c>
      <c r="J8">
        <v>0.797739168</v>
      </c>
      <c r="N8" t="s">
        <v>89</v>
      </c>
      <c r="O8">
        <f>_xlfn.STDEV.S(E3:E32)</f>
        <v>3.0120777215232528E-2</v>
      </c>
    </row>
    <row r="9" spans="1:17" x14ac:dyDescent="0.25">
      <c r="A9" t="s">
        <v>8</v>
      </c>
      <c r="B9" t="s">
        <v>30</v>
      </c>
      <c r="C9">
        <v>5.0717892083996201</v>
      </c>
      <c r="D9" s="9">
        <f t="shared" si="0"/>
        <v>1.9847893861255628E-2</v>
      </c>
      <c r="E9">
        <v>1.1068180193623101</v>
      </c>
      <c r="F9" s="9">
        <f t="shared" si="1"/>
        <v>2.4831719294460486E-2</v>
      </c>
      <c r="G9">
        <v>0.45191984493444098</v>
      </c>
      <c r="H9" s="9">
        <f t="shared" si="2"/>
        <v>2.6245176951359195E-2</v>
      </c>
      <c r="I9" s="9">
        <f t="shared" si="3"/>
        <v>6.028874409642615E-3</v>
      </c>
      <c r="J9">
        <v>0.79431296587427802</v>
      </c>
      <c r="N9" t="s">
        <v>88</v>
      </c>
      <c r="O9">
        <f>COUNT(E3:E32)</f>
        <v>30</v>
      </c>
    </row>
    <row r="10" spans="1:17" x14ac:dyDescent="0.25">
      <c r="A10" t="s">
        <v>7</v>
      </c>
      <c r="B10" t="s">
        <v>30</v>
      </c>
      <c r="C10">
        <v>5.0654758233112496</v>
      </c>
      <c r="D10" s="9">
        <f t="shared" si="0"/>
        <v>1.8578382802939997E-2</v>
      </c>
      <c r="E10">
        <v>1.10341400520208</v>
      </c>
      <c r="F10" s="9">
        <f t="shared" si="1"/>
        <v>2.1679853655029335E-2</v>
      </c>
      <c r="G10">
        <v>0.45035362489015601</v>
      </c>
      <c r="H10" s="9">
        <f t="shared" si="2"/>
        <v>2.2688515776797979E-2</v>
      </c>
      <c r="I10" s="9">
        <f t="shared" si="3"/>
        <v>8.6785676172369541E-3</v>
      </c>
      <c r="J10">
        <v>0.79640503870033497</v>
      </c>
    </row>
    <row r="11" spans="1:17" x14ac:dyDescent="0.25">
      <c r="A11" t="s">
        <v>9</v>
      </c>
      <c r="B11" t="s">
        <v>30</v>
      </c>
      <c r="C11">
        <v>5.0644695789999998</v>
      </c>
      <c r="D11" s="9">
        <f t="shared" si="0"/>
        <v>1.8376044712895112E-2</v>
      </c>
      <c r="E11">
        <v>1.1031711500000001</v>
      </c>
      <c r="F11" s="9">
        <f t="shared" si="1"/>
        <v>2.1454987678930948E-2</v>
      </c>
      <c r="G11">
        <v>0.45034164900000001</v>
      </c>
      <c r="H11" s="9">
        <f t="shared" si="2"/>
        <v>2.2661320247214567E-2</v>
      </c>
      <c r="I11" s="9">
        <f t="shared" si="3"/>
        <v>7.9536652884248937E-3</v>
      </c>
      <c r="J11">
        <v>0.79583269000000001</v>
      </c>
    </row>
    <row r="12" spans="1:17" x14ac:dyDescent="0.25">
      <c r="A12" t="s">
        <v>77</v>
      </c>
      <c r="B12" t="s">
        <v>30</v>
      </c>
      <c r="C12">
        <v>5.0645889622781404</v>
      </c>
      <c r="D12" s="9">
        <f t="shared" si="0"/>
        <v>1.8400050597163986E-2</v>
      </c>
      <c r="E12">
        <v>1.1015991064653099</v>
      </c>
      <c r="F12" s="9">
        <f t="shared" si="1"/>
        <v>1.9999391501168695E-2</v>
      </c>
      <c r="G12">
        <v>0.44981677022299899</v>
      </c>
      <c r="H12" s="9">
        <f t="shared" si="2"/>
        <v>2.1469395795524315E-2</v>
      </c>
      <c r="I12" s="9">
        <f t="shared" si="3"/>
        <v>1.3462435030650033E-2</v>
      </c>
      <c r="J12">
        <v>0.80018215485490596</v>
      </c>
    </row>
    <row r="13" spans="1:17" x14ac:dyDescent="0.25">
      <c r="A13" t="s">
        <v>10</v>
      </c>
      <c r="B13" t="s">
        <v>30</v>
      </c>
      <c r="C13">
        <v>5.0805945083972404</v>
      </c>
      <c r="D13" s="9">
        <f t="shared" si="0"/>
        <v>2.1618485320876513E-2</v>
      </c>
      <c r="E13">
        <v>1.11220076960314</v>
      </c>
      <c r="F13" s="9">
        <f t="shared" si="1"/>
        <v>2.9815748364587558E-2</v>
      </c>
      <c r="G13">
        <v>0.456646404935448</v>
      </c>
      <c r="H13" s="9">
        <f t="shared" si="2"/>
        <v>3.6978517075664463E-2</v>
      </c>
      <c r="I13" s="9">
        <f t="shared" si="3"/>
        <v>8.799150970965508E-3</v>
      </c>
      <c r="J13">
        <v>0.79650024563104205</v>
      </c>
    </row>
    <row r="14" spans="1:17" x14ac:dyDescent="0.25">
      <c r="A14" t="s">
        <v>11</v>
      </c>
      <c r="B14" t="s">
        <v>30</v>
      </c>
      <c r="C14">
        <v>5.2865615059626103</v>
      </c>
      <c r="D14" s="9">
        <f t="shared" si="0"/>
        <v>6.3034837625914664E-2</v>
      </c>
      <c r="E14">
        <v>1.1998078542364701</v>
      </c>
      <c r="F14" s="9">
        <f t="shared" si="1"/>
        <v>0.11093343672575018</v>
      </c>
      <c r="G14">
        <v>0.51042751682285503</v>
      </c>
      <c r="H14" s="9">
        <f t="shared" si="2"/>
        <v>0.15910771167551552</v>
      </c>
      <c r="I14" s="9">
        <f t="shared" si="3"/>
        <v>1.7531058139190758E-3</v>
      </c>
      <c r="J14">
        <v>0.79093702058975102</v>
      </c>
    </row>
    <row r="15" spans="1:17" x14ac:dyDescent="0.25">
      <c r="A15" t="s">
        <v>12</v>
      </c>
      <c r="B15" t="s">
        <v>30</v>
      </c>
      <c r="C15">
        <v>5.0709044321950598</v>
      </c>
      <c r="D15" s="9">
        <f t="shared" si="0"/>
        <v>1.9669980877950799E-2</v>
      </c>
      <c r="E15">
        <v>1.1061597231847</v>
      </c>
      <c r="F15" s="9">
        <f t="shared" si="1"/>
        <v>2.4222185665893514E-2</v>
      </c>
      <c r="G15">
        <v>0.452472481001928</v>
      </c>
      <c r="H15" s="9">
        <f t="shared" si="2"/>
        <v>2.7500134230232787E-2</v>
      </c>
      <c r="I15" s="9">
        <f t="shared" si="3"/>
        <v>9.890681049470551E-3</v>
      </c>
      <c r="J15">
        <v>0.79736206631636497</v>
      </c>
    </row>
    <row r="16" spans="1:17" x14ac:dyDescent="0.25">
      <c r="A16" t="s">
        <v>1</v>
      </c>
      <c r="B16" t="s">
        <v>32</v>
      </c>
      <c r="C16">
        <v>5.1811747710000002</v>
      </c>
      <c r="D16" s="9">
        <f t="shared" si="0"/>
        <v>4.1843412809888569E-2</v>
      </c>
      <c r="E16">
        <v>1.13449255</v>
      </c>
      <c r="F16" s="9">
        <f t="shared" si="1"/>
        <v>5.0456290197662401E-2</v>
      </c>
      <c r="G16">
        <v>0.46492193599999998</v>
      </c>
      <c r="H16" s="9">
        <f t="shared" si="2"/>
        <v>5.5771061676000988E-2</v>
      </c>
      <c r="I16" s="9">
        <f t="shared" si="3"/>
        <v>1.573425906758108E-2</v>
      </c>
      <c r="J16">
        <v>0.80197587999999997</v>
      </c>
    </row>
    <row r="17" spans="1:10" x14ac:dyDescent="0.25">
      <c r="A17" t="s">
        <v>2</v>
      </c>
      <c r="B17" t="s">
        <v>32</v>
      </c>
      <c r="C17">
        <v>5.2414073349999999</v>
      </c>
      <c r="D17" s="9">
        <f t="shared" si="0"/>
        <v>5.3955125464572484E-2</v>
      </c>
      <c r="E17">
        <v>1.1459694250000001</v>
      </c>
      <c r="F17" s="9">
        <f t="shared" si="1"/>
        <v>6.1083028588815536E-2</v>
      </c>
      <c r="G17">
        <v>0.468332152</v>
      </c>
      <c r="H17" s="9">
        <f t="shared" si="2"/>
        <v>6.3515173295772831E-2</v>
      </c>
      <c r="I17" s="9">
        <f t="shared" si="3"/>
        <v>9.8615793669942775E-3</v>
      </c>
      <c r="J17">
        <v>0.79733908899999995</v>
      </c>
    </row>
    <row r="18" spans="1:10" x14ac:dyDescent="0.25">
      <c r="A18" t="s">
        <v>3</v>
      </c>
      <c r="B18" t="s">
        <v>32</v>
      </c>
      <c r="C18">
        <v>5.1754846755394803</v>
      </c>
      <c r="D18" s="9">
        <f t="shared" si="0"/>
        <v>4.0699234368546833E-2</v>
      </c>
      <c r="E18">
        <v>1.1343808780025699</v>
      </c>
      <c r="F18" s="9">
        <f t="shared" si="1"/>
        <v>5.0352890177856713E-2</v>
      </c>
      <c r="G18">
        <v>0.46670096287577201</v>
      </c>
      <c r="H18" s="9">
        <f t="shared" si="2"/>
        <v>5.9810976655155557E-2</v>
      </c>
      <c r="I18" s="9">
        <f t="shared" si="3"/>
        <v>1.6667279937599533E-2</v>
      </c>
      <c r="J18">
        <v>0.80271254928786895</v>
      </c>
    </row>
    <row r="19" spans="1:10" x14ac:dyDescent="0.25">
      <c r="A19" t="s">
        <v>4</v>
      </c>
      <c r="B19" t="s">
        <v>32</v>
      </c>
      <c r="C19">
        <v>4.8119661736213502</v>
      </c>
      <c r="D19" s="9">
        <f t="shared" si="0"/>
        <v>-3.2397963351503356E-2</v>
      </c>
      <c r="E19">
        <v>1.0667309293852401</v>
      </c>
      <c r="F19" s="9">
        <f t="shared" si="1"/>
        <v>-1.2285964574096364E-2</v>
      </c>
      <c r="G19">
        <v>0.44363875280839599</v>
      </c>
      <c r="H19" s="9">
        <f t="shared" si="2"/>
        <v>7.4400039776509885E-3</v>
      </c>
      <c r="I19" s="9">
        <f t="shared" si="3"/>
        <v>-4.0784874285260897E-2</v>
      </c>
      <c r="J19">
        <v>0.757351037131067</v>
      </c>
    </row>
    <row r="20" spans="1:10" x14ac:dyDescent="0.25">
      <c r="A20" t="s">
        <v>78</v>
      </c>
      <c r="B20" t="s">
        <v>32</v>
      </c>
      <c r="C20">
        <v>5.2054763144523601</v>
      </c>
      <c r="D20" s="9">
        <f t="shared" si="0"/>
        <v>4.6730027156246301E-2</v>
      </c>
      <c r="E20">
        <v>1.1315450470849799</v>
      </c>
      <c r="F20" s="9">
        <f t="shared" si="1"/>
        <v>4.7727120246340293E-2</v>
      </c>
      <c r="G20">
        <v>0.46163241164495999</v>
      </c>
      <c r="H20" s="9">
        <f t="shared" si="2"/>
        <v>4.830102347859988E-2</v>
      </c>
      <c r="I20" s="9">
        <f t="shared" si="3"/>
        <v>3.2111903006877052E-2</v>
      </c>
      <c r="J20">
        <v>0.81490689546323802</v>
      </c>
    </row>
    <row r="21" spans="1:10" x14ac:dyDescent="0.25">
      <c r="A21" t="s">
        <v>6</v>
      </c>
      <c r="B21" t="s">
        <v>32</v>
      </c>
      <c r="C21">
        <v>5.20212792274652</v>
      </c>
      <c r="D21" s="9">
        <f t="shared" si="0"/>
        <v>4.6056724286448691E-2</v>
      </c>
      <c r="E21">
        <v>1.1332403145007901</v>
      </c>
      <c r="F21" s="9">
        <f t="shared" si="1"/>
        <v>4.929681263480501E-2</v>
      </c>
      <c r="G21">
        <v>0.46383228005114502</v>
      </c>
      <c r="H21" s="9">
        <f t="shared" si="2"/>
        <v>5.3296609238066894E-2</v>
      </c>
      <c r="I21" s="9">
        <f t="shared" si="3"/>
        <v>3.0034551655996999E-2</v>
      </c>
      <c r="J21">
        <v>0.81326671678183704</v>
      </c>
    </row>
    <row r="22" spans="1:10" x14ac:dyDescent="0.25">
      <c r="A22" t="s">
        <v>5</v>
      </c>
      <c r="B22" t="s">
        <v>32</v>
      </c>
      <c r="C22">
        <v>5.1720279541023402</v>
      </c>
      <c r="D22" s="9">
        <f t="shared" si="0"/>
        <v>4.0004148288965036E-2</v>
      </c>
      <c r="E22">
        <v>1.1272007430390301</v>
      </c>
      <c r="F22" s="9">
        <f t="shared" si="1"/>
        <v>4.3704615637033539E-2</v>
      </c>
      <c r="G22">
        <v>0.46032657024823997</v>
      </c>
      <c r="H22" s="9">
        <f t="shared" si="2"/>
        <v>4.5335644882663839E-2</v>
      </c>
      <c r="I22" s="9">
        <f t="shared" si="3"/>
        <v>1.661132846933655E-2</v>
      </c>
      <c r="J22">
        <v>0.80266837264658997</v>
      </c>
    </row>
    <row r="23" spans="1:10" x14ac:dyDescent="0.25">
      <c r="A23" t="s">
        <v>8</v>
      </c>
      <c r="B23" t="s">
        <v>32</v>
      </c>
      <c r="C23">
        <v>5.1380938109225598</v>
      </c>
      <c r="D23" s="9">
        <f t="shared" si="0"/>
        <v>3.3180587011108598E-2</v>
      </c>
      <c r="E23">
        <v>1.12490296437236</v>
      </c>
      <c r="F23" s="9">
        <f t="shared" si="1"/>
        <v>4.1577042341038206E-2</v>
      </c>
      <c r="G23">
        <v>0.46008382820965699</v>
      </c>
      <c r="H23" s="9">
        <f t="shared" si="2"/>
        <v>4.4784412514509597E-2</v>
      </c>
      <c r="I23" s="9">
        <f t="shared" si="3"/>
        <v>-1.6392791573464072E-3</v>
      </c>
      <c r="J23">
        <v>0.78825855336435002</v>
      </c>
    </row>
    <row r="24" spans="1:10" x14ac:dyDescent="0.25">
      <c r="A24" t="s">
        <v>7</v>
      </c>
      <c r="B24" t="s">
        <v>32</v>
      </c>
      <c r="C24">
        <v>5.18233340422191</v>
      </c>
      <c r="D24" s="9">
        <f t="shared" si="0"/>
        <v>4.2076393638264875E-2</v>
      </c>
      <c r="E24">
        <v>1.1285106091488999</v>
      </c>
      <c r="F24" s="9">
        <f t="shared" si="1"/>
        <v>4.4917454887877017E-2</v>
      </c>
      <c r="G24">
        <v>0.46043980527716399</v>
      </c>
      <c r="H24" s="9">
        <f t="shared" si="2"/>
        <v>4.5592785399058089E-2</v>
      </c>
      <c r="I24" s="9">
        <f t="shared" si="3"/>
        <v>2.5921629907545318E-2</v>
      </c>
      <c r="J24">
        <v>0.81001934768983297</v>
      </c>
    </row>
    <row r="25" spans="1:10" x14ac:dyDescent="0.25">
      <c r="A25" t="s">
        <v>9</v>
      </c>
      <c r="B25" t="s">
        <v>32</v>
      </c>
      <c r="C25">
        <v>5.148286937</v>
      </c>
      <c r="D25" s="9">
        <f t="shared" si="0"/>
        <v>3.5230245964742446E-2</v>
      </c>
      <c r="E25">
        <v>1.124409445</v>
      </c>
      <c r="F25" s="9">
        <f t="shared" si="1"/>
        <v>4.1120079861178827E-2</v>
      </c>
      <c r="G25">
        <v>0.45961216599999999</v>
      </c>
      <c r="H25" s="9">
        <f t="shared" si="2"/>
        <v>4.3713335257698827E-2</v>
      </c>
      <c r="I25" s="9">
        <f t="shared" si="3"/>
        <v>5.2812324074540395E-3</v>
      </c>
      <c r="J25">
        <v>0.79372266300000005</v>
      </c>
    </row>
    <row r="26" spans="1:10" x14ac:dyDescent="0.25">
      <c r="A26" t="s">
        <v>10</v>
      </c>
      <c r="B26" t="s">
        <v>32</v>
      </c>
      <c r="C26">
        <v>5.1755467060000004</v>
      </c>
      <c r="D26" s="9">
        <f t="shared" si="0"/>
        <v>4.0711707606672087E-2</v>
      </c>
      <c r="E26">
        <v>1.1348238129999999</v>
      </c>
      <c r="F26" s="9">
        <f t="shared" si="1"/>
        <v>5.0763015263472377E-2</v>
      </c>
      <c r="G26">
        <v>0.46619514699999998</v>
      </c>
      <c r="H26" s="9">
        <f t="shared" si="2"/>
        <v>5.8662341319144273E-2</v>
      </c>
      <c r="I26" s="9">
        <f t="shared" si="3"/>
        <v>1.1236011741936558E-2</v>
      </c>
      <c r="J26">
        <v>0.79842427599999999</v>
      </c>
    </row>
    <row r="27" spans="1:10" x14ac:dyDescent="0.25">
      <c r="A27" t="s">
        <v>11</v>
      </c>
      <c r="B27" t="s">
        <v>32</v>
      </c>
      <c r="C27">
        <v>5.3051976757979</v>
      </c>
      <c r="D27" s="9">
        <f t="shared" si="0"/>
        <v>6.6782244660237744E-2</v>
      </c>
      <c r="E27">
        <v>1.2083411374845401</v>
      </c>
      <c r="F27" s="9">
        <f t="shared" si="1"/>
        <v>0.11883462661366395</v>
      </c>
      <c r="G27">
        <v>0.51586884898594298</v>
      </c>
      <c r="H27" s="9">
        <f t="shared" si="2"/>
        <v>0.17146419690437154</v>
      </c>
      <c r="I27" s="9">
        <f t="shared" si="3"/>
        <v>4.3829892274163118E-3</v>
      </c>
      <c r="J27">
        <v>0.79301345253640299</v>
      </c>
    </row>
    <row r="28" spans="1:10" x14ac:dyDescent="0.25">
      <c r="A28" t="s">
        <v>12</v>
      </c>
      <c r="B28" t="s">
        <v>32</v>
      </c>
      <c r="C28">
        <v>5.1756637650000004</v>
      </c>
      <c r="D28" s="9">
        <f t="shared" si="0"/>
        <v>4.0735246119355084E-2</v>
      </c>
      <c r="E28">
        <v>1.130386648</v>
      </c>
      <c r="F28" s="9">
        <f t="shared" si="1"/>
        <v>4.6654528270856144E-2</v>
      </c>
      <c r="G28">
        <v>0.46253652000000001</v>
      </c>
      <c r="H28" s="9">
        <f t="shared" si="2"/>
        <v>5.0354123932588202E-2</v>
      </c>
      <c r="I28" s="9">
        <f t="shared" si="3"/>
        <v>1.5607277067723579E-2</v>
      </c>
      <c r="J28">
        <v>0.80187562099999998</v>
      </c>
    </row>
    <row r="29" spans="1:10" x14ac:dyDescent="0.25">
      <c r="A29" t="s">
        <v>25</v>
      </c>
      <c r="B29" t="s">
        <v>31</v>
      </c>
      <c r="C29">
        <v>5.1707489390561499</v>
      </c>
      <c r="D29" s="9">
        <f t="shared" si="0"/>
        <v>3.9746960786196883E-2</v>
      </c>
      <c r="E29">
        <v>1.13540489037028</v>
      </c>
      <c r="F29" s="9">
        <f t="shared" si="1"/>
        <v>5.1301049981022695E-2</v>
      </c>
      <c r="G29">
        <v>0.46694231362642802</v>
      </c>
      <c r="H29" s="9">
        <f t="shared" si="2"/>
        <v>6.0359049607894066E-2</v>
      </c>
      <c r="I29" s="9">
        <f t="shared" si="3"/>
        <v>-2.1957027168099885E-2</v>
      </c>
      <c r="J29">
        <v>0.77221661749866399</v>
      </c>
    </row>
    <row r="30" spans="1:10" x14ac:dyDescent="0.25">
      <c r="A30" t="s">
        <v>26</v>
      </c>
      <c r="B30" t="s">
        <v>33</v>
      </c>
      <c r="C30">
        <v>5.4085868460000004</v>
      </c>
      <c r="D30" s="9">
        <f t="shared" si="0"/>
        <v>8.7571994223182736E-2</v>
      </c>
      <c r="E30">
        <v>1.1700898660000001</v>
      </c>
      <c r="F30" s="9">
        <f t="shared" si="1"/>
        <v>8.3416775047346015E-2</v>
      </c>
      <c r="G30">
        <v>0.478786141</v>
      </c>
      <c r="H30" s="9">
        <f t="shared" si="2"/>
        <v>8.7254683546111433E-2</v>
      </c>
      <c r="I30" s="9">
        <f t="shared" si="3"/>
        <v>0.30992141669265538</v>
      </c>
      <c r="J30">
        <v>1.034252189</v>
      </c>
    </row>
    <row r="31" spans="1:10" x14ac:dyDescent="0.25">
      <c r="A31" t="s">
        <v>86</v>
      </c>
      <c r="B31" t="s">
        <v>30</v>
      </c>
      <c r="C31">
        <v>5.0725826730000003</v>
      </c>
      <c r="D31" s="9">
        <f t="shared" si="0"/>
        <v>2.0007445681786917E-2</v>
      </c>
      <c r="E31">
        <v>1.1081362509999999</v>
      </c>
      <c r="F31" s="9">
        <f t="shared" si="1"/>
        <v>2.6052304406058546E-2</v>
      </c>
      <c r="G31">
        <v>0.453322844</v>
      </c>
      <c r="H31" s="9">
        <f t="shared" si="2"/>
        <v>2.9431186683917199E-2</v>
      </c>
      <c r="I31" s="9">
        <f t="shared" si="3"/>
        <v>7.8199073013818232E-3</v>
      </c>
      <c r="J31">
        <v>0.795727081</v>
      </c>
    </row>
    <row r="32" spans="1:10" x14ac:dyDescent="0.25">
      <c r="A32" t="s">
        <v>87</v>
      </c>
      <c r="B32" t="s">
        <v>32</v>
      </c>
      <c r="C32">
        <v>5.1996172933308999</v>
      </c>
      <c r="D32" s="9">
        <f t="shared" si="0"/>
        <v>4.5551880726005356E-2</v>
      </c>
      <c r="E32">
        <v>1.13207066020688</v>
      </c>
      <c r="F32" s="9">
        <f t="shared" si="1"/>
        <v>4.8213799167334814E-2</v>
      </c>
      <c r="G32">
        <v>0.46230703794057798</v>
      </c>
      <c r="H32" s="9">
        <f t="shared" si="2"/>
        <v>4.983300307605032E-2</v>
      </c>
      <c r="I32" s="9">
        <f t="shared" si="3"/>
        <v>3.9508683522927468E-2</v>
      </c>
      <c r="J32">
        <v>0.82074704460714099</v>
      </c>
    </row>
    <row r="35" spans="1:10" x14ac:dyDescent="0.25">
      <c r="A35" s="7">
        <v>0.02</v>
      </c>
      <c r="B35" t="str">
        <f>B1</f>
        <v>Baseline</v>
      </c>
      <c r="C35" t="str">
        <f t="shared" ref="C35:C66" si="4">D1</f>
        <v>2% Discount Rate</v>
      </c>
      <c r="D35" t="str">
        <f t="shared" ref="D35:D65" si="5">I1</f>
        <v>Cost of Mitigation in 2050</v>
      </c>
      <c r="E35" t="s">
        <v>58</v>
      </c>
      <c r="F35" t="s">
        <v>59</v>
      </c>
      <c r="G35" t="s">
        <v>60</v>
      </c>
      <c r="H35" t="s">
        <v>61</v>
      </c>
      <c r="I35" t="s">
        <v>62</v>
      </c>
      <c r="J35" t="s">
        <v>27</v>
      </c>
    </row>
    <row r="36" spans="1:10" x14ac:dyDescent="0.25">
      <c r="A36" t="str">
        <f t="shared" ref="A36:B36" si="6">A2</f>
        <v>100 Mt Baseline</v>
      </c>
      <c r="B36" t="str">
        <f t="shared" si="6"/>
        <v>100 Mt</v>
      </c>
      <c r="C36" s="11">
        <f t="shared" si="4"/>
        <v>0</v>
      </c>
      <c r="D36" s="11">
        <f t="shared" si="5"/>
        <v>0</v>
      </c>
      <c r="E36" s="11"/>
      <c r="F36" s="11"/>
      <c r="G36" s="11"/>
      <c r="H36" s="11"/>
      <c r="I36" s="11"/>
      <c r="J36" s="11">
        <v>0</v>
      </c>
    </row>
    <row r="37" spans="1:10" x14ac:dyDescent="0.25">
      <c r="A37" t="str">
        <f t="shared" ref="A37:B37" si="7">A3</f>
        <v>45Q-2040</v>
      </c>
      <c r="B37" t="str">
        <f t="shared" si="7"/>
        <v>500 Mt</v>
      </c>
      <c r="C37" s="11">
        <f t="shared" si="4"/>
        <v>1.9855136263676076E-2</v>
      </c>
      <c r="D37" s="11">
        <f t="shared" si="5"/>
        <v>1.0644545520472448E-2</v>
      </c>
      <c r="E37" s="11"/>
      <c r="F37" s="11">
        <f>C37</f>
        <v>1.9855136263676076E-2</v>
      </c>
      <c r="G37" s="11"/>
      <c r="H37" s="11"/>
      <c r="I37" s="11"/>
      <c r="J37" s="11"/>
    </row>
    <row r="38" spans="1:10" x14ac:dyDescent="0.25">
      <c r="A38" t="str">
        <f t="shared" ref="A38:B38" si="8">A4</f>
        <v>45Q-2050</v>
      </c>
      <c r="B38" t="str">
        <f t="shared" si="8"/>
        <v>500 Mt</v>
      </c>
      <c r="C38" s="11">
        <f t="shared" si="4"/>
        <v>3.1974942191127509E-2</v>
      </c>
      <c r="D38" s="11">
        <f t="shared" si="5"/>
        <v>1.9307500550778789E-2</v>
      </c>
      <c r="E38" s="11"/>
      <c r="F38" s="11">
        <f>C38</f>
        <v>3.1974942191127509E-2</v>
      </c>
      <c r="G38" s="11"/>
      <c r="H38" s="11"/>
      <c r="I38" s="11"/>
      <c r="J38" s="11"/>
    </row>
    <row r="39" spans="1:10" x14ac:dyDescent="0.25">
      <c r="A39" t="str">
        <f t="shared" ref="A39:B39" si="9">A5</f>
        <v>CDRIA-2035</v>
      </c>
      <c r="B39" t="str">
        <f t="shared" si="9"/>
        <v>500 Mt</v>
      </c>
      <c r="C39" s="11">
        <f t="shared" si="4"/>
        <v>1.8330138160197462E-2</v>
      </c>
      <c r="D39" s="11">
        <f t="shared" si="5"/>
        <v>1.0561718679330978E-2</v>
      </c>
      <c r="E39" s="11"/>
      <c r="F39" s="11">
        <f>C39</f>
        <v>1.8330138160197462E-2</v>
      </c>
      <c r="G39" s="11"/>
      <c r="H39" s="11"/>
      <c r="I39" s="11"/>
      <c r="J39" s="11"/>
    </row>
    <row r="40" spans="1:10" x14ac:dyDescent="0.25">
      <c r="A40" t="str">
        <f t="shared" ref="A40:B40" si="10">A6</f>
        <v>CDRIA-2050</v>
      </c>
      <c r="B40" t="str">
        <f t="shared" si="10"/>
        <v>500 Mt</v>
      </c>
      <c r="C40" s="11">
        <f t="shared" si="4"/>
        <v>-2.1039346251833457E-2</v>
      </c>
      <c r="D40" s="11">
        <f t="shared" si="5"/>
        <v>-3.5505216962306463E-2</v>
      </c>
      <c r="E40" s="11"/>
      <c r="F40" s="11">
        <f>C40</f>
        <v>-2.1039346251833457E-2</v>
      </c>
      <c r="G40" s="11"/>
      <c r="H40" s="11"/>
      <c r="I40" s="11"/>
      <c r="J40" s="11"/>
    </row>
    <row r="41" spans="1:10" x14ac:dyDescent="0.25">
      <c r="A41" t="str">
        <f t="shared" ref="A41:B41" si="11">A7</f>
        <v>Innovation-DACHubs</v>
      </c>
      <c r="B41" t="str">
        <f t="shared" si="11"/>
        <v>500 Mt</v>
      </c>
      <c r="C41" s="11">
        <f t="shared" si="4"/>
        <v>1.8512746406389669E-2</v>
      </c>
      <c r="D41" s="11">
        <f t="shared" si="5"/>
        <v>1.2916266583007374E-2</v>
      </c>
      <c r="E41" s="11">
        <f>C41</f>
        <v>1.8512746406389669E-2</v>
      </c>
      <c r="F41" s="11"/>
      <c r="G41" s="11"/>
      <c r="H41" s="11"/>
      <c r="I41" s="11"/>
      <c r="J41" s="11"/>
    </row>
    <row r="42" spans="1:10" x14ac:dyDescent="0.25">
      <c r="A42" t="str">
        <f t="shared" ref="A42:B42" si="12">A8</f>
        <v>Innovation-maintain</v>
      </c>
      <c r="B42" t="str">
        <f t="shared" si="12"/>
        <v>500 Mt</v>
      </c>
      <c r="C42" s="11">
        <f t="shared" si="4"/>
        <v>1.8116493092832586E-2</v>
      </c>
      <c r="D42" s="11">
        <f t="shared" si="5"/>
        <v>1.0368295287968898E-2</v>
      </c>
      <c r="E42" s="11">
        <f t="shared" ref="E42:E45" si="13">C42</f>
        <v>1.8116493092832586E-2</v>
      </c>
      <c r="F42" s="11"/>
      <c r="G42" s="11"/>
      <c r="H42" s="11"/>
      <c r="I42" s="11"/>
      <c r="J42" s="11"/>
    </row>
    <row r="43" spans="1:10" x14ac:dyDescent="0.25">
      <c r="A43" t="str">
        <f t="shared" ref="A43:B43" si="14">A9</f>
        <v>Innovation-rhodium18b</v>
      </c>
      <c r="B43" t="str">
        <f t="shared" si="14"/>
        <v>500 Mt</v>
      </c>
      <c r="C43" s="11">
        <f t="shared" si="4"/>
        <v>1.9847893861255628E-2</v>
      </c>
      <c r="D43" s="11">
        <f t="shared" si="5"/>
        <v>6.028874409642615E-3</v>
      </c>
      <c r="E43" s="11">
        <f t="shared" si="13"/>
        <v>1.9847893861255628E-2</v>
      </c>
      <c r="F43" s="11"/>
      <c r="G43" s="11"/>
      <c r="H43" s="11"/>
      <c r="I43" s="11"/>
      <c r="J43" s="11"/>
    </row>
    <row r="44" spans="1:10" x14ac:dyDescent="0.25">
      <c r="A44" t="str">
        <f t="shared" ref="A44:B44" si="15">A10</f>
        <v>Innovation-rhodium6b</v>
      </c>
      <c r="B44" t="str">
        <f t="shared" si="15"/>
        <v>500 Mt</v>
      </c>
      <c r="C44" s="11">
        <f t="shared" si="4"/>
        <v>1.8578382802939997E-2</v>
      </c>
      <c r="D44" s="11">
        <f t="shared" si="5"/>
        <v>8.6785676172369541E-3</v>
      </c>
      <c r="E44" s="11">
        <f t="shared" si="13"/>
        <v>1.8578382802939997E-2</v>
      </c>
      <c r="F44" s="11"/>
      <c r="G44" s="11"/>
      <c r="H44" s="11"/>
      <c r="I44" s="11"/>
      <c r="J44" s="11"/>
    </row>
    <row r="45" spans="1:10" x14ac:dyDescent="0.25">
      <c r="A45" t="str">
        <f t="shared" ref="A45:B45" si="16">A11</f>
        <v>Innovation-triple</v>
      </c>
      <c r="B45" t="str">
        <f t="shared" si="16"/>
        <v>500 Mt</v>
      </c>
      <c r="C45" s="11">
        <f t="shared" si="4"/>
        <v>1.8376044712895112E-2</v>
      </c>
      <c r="D45" s="11">
        <f t="shared" si="5"/>
        <v>7.9536652884248937E-3</v>
      </c>
      <c r="E45" s="11">
        <f t="shared" si="13"/>
        <v>1.8376044712895112E-2</v>
      </c>
      <c r="F45" s="11"/>
      <c r="G45" s="11"/>
      <c r="H45" s="11"/>
      <c r="I45" s="11"/>
      <c r="J45" s="11"/>
    </row>
    <row r="46" spans="1:10" x14ac:dyDescent="0.25">
      <c r="A46" t="str">
        <f t="shared" ref="A46:B46" si="17">A12</f>
        <v>500 Mt Baseline</v>
      </c>
      <c r="B46" t="str">
        <f t="shared" si="17"/>
        <v>500 Mt</v>
      </c>
      <c r="C46" s="11">
        <f t="shared" si="4"/>
        <v>1.8400050597163986E-2</v>
      </c>
      <c r="D46" s="11">
        <f t="shared" si="5"/>
        <v>1.3462435030650033E-2</v>
      </c>
      <c r="E46" s="11"/>
      <c r="F46" s="11"/>
      <c r="G46" s="11"/>
      <c r="H46" s="11"/>
      <c r="I46" s="11">
        <f>C46</f>
        <v>1.8400050597163986E-2</v>
      </c>
      <c r="J46" s="11"/>
    </row>
    <row r="47" spans="1:10" x14ac:dyDescent="0.25">
      <c r="A47" t="str">
        <f t="shared" ref="A47:B47" si="18">A13</f>
        <v>Procure3B</v>
      </c>
      <c r="B47" t="str">
        <f t="shared" si="18"/>
        <v>500 Mt</v>
      </c>
      <c r="C47" s="11">
        <f t="shared" si="4"/>
        <v>2.1618485320876513E-2</v>
      </c>
      <c r="D47" s="11">
        <f t="shared" si="5"/>
        <v>8.799150970965508E-3</v>
      </c>
      <c r="E47" s="11"/>
      <c r="F47" s="11"/>
      <c r="G47" s="11">
        <f>C47</f>
        <v>2.1618485320876513E-2</v>
      </c>
      <c r="H47" s="11"/>
      <c r="I47" s="11"/>
      <c r="J47" s="11"/>
    </row>
    <row r="48" spans="1:10" x14ac:dyDescent="0.25">
      <c r="A48" t="str">
        <f t="shared" ref="A48:B48" si="19">A14</f>
        <v>ProcureRhodium</v>
      </c>
      <c r="B48" t="str">
        <f t="shared" si="19"/>
        <v>500 Mt</v>
      </c>
      <c r="C48" s="11">
        <f t="shared" si="4"/>
        <v>6.3034837625914664E-2</v>
      </c>
      <c r="D48" s="11">
        <f t="shared" si="5"/>
        <v>1.7531058139190758E-3</v>
      </c>
      <c r="E48" s="11"/>
      <c r="F48" s="11"/>
      <c r="G48" s="11">
        <f>C48</f>
        <v>6.3034837625914664E-2</v>
      </c>
      <c r="H48" s="11"/>
      <c r="I48" s="11"/>
      <c r="J48" s="11"/>
    </row>
    <row r="49" spans="1:10" x14ac:dyDescent="0.25">
      <c r="A49" t="str">
        <f t="shared" ref="A49:B49" si="20">A15</f>
        <v>ProcureScaling</v>
      </c>
      <c r="B49" t="str">
        <f t="shared" si="20"/>
        <v>500 Mt</v>
      </c>
      <c r="C49" s="11">
        <f t="shared" si="4"/>
        <v>1.9669980877950799E-2</v>
      </c>
      <c r="D49" s="11">
        <f t="shared" si="5"/>
        <v>9.890681049470551E-3</v>
      </c>
      <c r="E49" s="11"/>
      <c r="F49" s="11"/>
      <c r="G49" s="11">
        <f>C49</f>
        <v>1.9669980877950799E-2</v>
      </c>
      <c r="H49" s="11"/>
      <c r="I49" s="11"/>
      <c r="J49" s="11"/>
    </row>
    <row r="50" spans="1:10" x14ac:dyDescent="0.25">
      <c r="A50" t="str">
        <f t="shared" ref="A50:B50" si="21">A16</f>
        <v>45Q-2040</v>
      </c>
      <c r="B50" t="str">
        <f t="shared" si="21"/>
        <v>1.5 Gt</v>
      </c>
      <c r="C50" s="11">
        <f t="shared" si="4"/>
        <v>4.1843412809888569E-2</v>
      </c>
      <c r="D50" s="11">
        <f t="shared" si="5"/>
        <v>1.573425906758108E-2</v>
      </c>
      <c r="E50" s="11"/>
      <c r="F50" s="11">
        <f>C50</f>
        <v>4.1843412809888569E-2</v>
      </c>
      <c r="G50" s="11"/>
      <c r="H50" s="11"/>
      <c r="I50" s="11"/>
      <c r="J50" s="11"/>
    </row>
    <row r="51" spans="1:10" x14ac:dyDescent="0.25">
      <c r="A51" t="str">
        <f t="shared" ref="A51:B51" si="22">A17</f>
        <v>45Q-2050</v>
      </c>
      <c r="B51" t="str">
        <f t="shared" si="22"/>
        <v>1.5 Gt</v>
      </c>
      <c r="C51" s="11">
        <f t="shared" si="4"/>
        <v>5.3955125464572484E-2</v>
      </c>
      <c r="D51" s="11">
        <f t="shared" si="5"/>
        <v>9.8615793669942775E-3</v>
      </c>
      <c r="E51" s="11"/>
      <c r="F51" s="11">
        <f>C51</f>
        <v>5.3955125464572484E-2</v>
      </c>
      <c r="G51" s="11"/>
      <c r="H51" s="11"/>
      <c r="I51" s="11"/>
      <c r="J51" s="11"/>
    </row>
    <row r="52" spans="1:10" x14ac:dyDescent="0.25">
      <c r="A52" t="str">
        <f t="shared" ref="A52:B52" si="23">A18</f>
        <v>CDRIA-2035</v>
      </c>
      <c r="B52" t="str">
        <f t="shared" si="23"/>
        <v>1.5 Gt</v>
      </c>
      <c r="C52" s="11">
        <f t="shared" si="4"/>
        <v>4.0699234368546833E-2</v>
      </c>
      <c r="D52" s="11">
        <f t="shared" si="5"/>
        <v>1.6667279937599533E-2</v>
      </c>
      <c r="E52" s="11"/>
      <c r="F52" s="11">
        <f>C52</f>
        <v>4.0699234368546833E-2</v>
      </c>
      <c r="G52" s="11"/>
      <c r="H52" s="11"/>
      <c r="I52" s="11"/>
      <c r="J52" s="11"/>
    </row>
    <row r="53" spans="1:10" x14ac:dyDescent="0.25">
      <c r="A53" t="str">
        <f t="shared" ref="A53:B53" si="24">A19</f>
        <v>CDRIA-2050</v>
      </c>
      <c r="B53" t="str">
        <f t="shared" si="24"/>
        <v>1.5 Gt</v>
      </c>
      <c r="C53" s="11">
        <f t="shared" si="4"/>
        <v>-3.2397963351503356E-2</v>
      </c>
      <c r="D53" s="11">
        <f t="shared" si="5"/>
        <v>-4.0784874285260897E-2</v>
      </c>
      <c r="E53" s="11"/>
      <c r="F53" s="11">
        <f>C53</f>
        <v>-3.2397963351503356E-2</v>
      </c>
      <c r="G53" s="11"/>
      <c r="H53" s="11"/>
      <c r="I53" s="11"/>
      <c r="J53" s="11"/>
    </row>
    <row r="54" spans="1:10" x14ac:dyDescent="0.25">
      <c r="A54" t="str">
        <f t="shared" ref="A54:B54" si="25">A20</f>
        <v>1500 Mt Baseline</v>
      </c>
      <c r="B54" t="str">
        <f t="shared" si="25"/>
        <v>1.5 Gt</v>
      </c>
      <c r="C54" s="11">
        <f t="shared" si="4"/>
        <v>4.6730027156246301E-2</v>
      </c>
      <c r="D54" s="11">
        <f t="shared" si="5"/>
        <v>3.2111903006877052E-2</v>
      </c>
      <c r="E54" s="11"/>
      <c r="F54" s="11"/>
      <c r="G54" s="11"/>
      <c r="H54" s="11"/>
      <c r="I54" s="11">
        <f>C54</f>
        <v>4.6730027156246301E-2</v>
      </c>
      <c r="J54" s="11"/>
    </row>
    <row r="55" spans="1:10" x14ac:dyDescent="0.25">
      <c r="A55" t="str">
        <f t="shared" ref="A55:B55" si="26">A21</f>
        <v>Innovation-DACHubs</v>
      </c>
      <c r="B55" t="str">
        <f t="shared" si="26"/>
        <v>1.5 Gt</v>
      </c>
      <c r="C55" s="11">
        <f t="shared" si="4"/>
        <v>4.6056724286448691E-2</v>
      </c>
      <c r="D55" s="11">
        <f t="shared" si="5"/>
        <v>3.0034551655996999E-2</v>
      </c>
      <c r="E55" s="11">
        <f>C55</f>
        <v>4.6056724286448691E-2</v>
      </c>
      <c r="F55" s="11"/>
      <c r="G55" s="11"/>
      <c r="H55" s="11"/>
      <c r="I55" s="11"/>
      <c r="J55" s="11"/>
    </row>
    <row r="56" spans="1:10" x14ac:dyDescent="0.25">
      <c r="A56" t="str">
        <f t="shared" ref="A56:B56" si="27">A22</f>
        <v>Innovation-maintain</v>
      </c>
      <c r="B56" t="str">
        <f t="shared" si="27"/>
        <v>1.5 Gt</v>
      </c>
      <c r="C56" s="11">
        <f t="shared" si="4"/>
        <v>4.0004148288965036E-2</v>
      </c>
      <c r="D56" s="11">
        <f t="shared" si="5"/>
        <v>1.661132846933655E-2</v>
      </c>
      <c r="E56" s="11">
        <f t="shared" ref="E56:E59" si="28">C56</f>
        <v>4.0004148288965036E-2</v>
      </c>
      <c r="F56" s="11"/>
      <c r="G56" s="11"/>
      <c r="H56" s="11"/>
      <c r="I56" s="11"/>
      <c r="J56" s="11"/>
    </row>
    <row r="57" spans="1:10" x14ac:dyDescent="0.25">
      <c r="A57" t="str">
        <f t="shared" ref="A57:B57" si="29">A23</f>
        <v>Innovation-rhodium18b</v>
      </c>
      <c r="B57" t="str">
        <f t="shared" si="29"/>
        <v>1.5 Gt</v>
      </c>
      <c r="C57" s="11">
        <f t="shared" si="4"/>
        <v>3.3180587011108598E-2</v>
      </c>
      <c r="D57" s="11">
        <f t="shared" si="5"/>
        <v>-1.6392791573464072E-3</v>
      </c>
      <c r="E57" s="11">
        <f t="shared" si="28"/>
        <v>3.3180587011108598E-2</v>
      </c>
      <c r="F57" s="11"/>
      <c r="G57" s="11"/>
      <c r="H57" s="11"/>
      <c r="I57" s="11"/>
      <c r="J57" s="11"/>
    </row>
    <row r="58" spans="1:10" x14ac:dyDescent="0.25">
      <c r="A58" t="str">
        <f t="shared" ref="A58:B58" si="30">A24</f>
        <v>Innovation-rhodium6b</v>
      </c>
      <c r="B58" t="str">
        <f t="shared" si="30"/>
        <v>1.5 Gt</v>
      </c>
      <c r="C58" s="11">
        <f t="shared" si="4"/>
        <v>4.2076393638264875E-2</v>
      </c>
      <c r="D58" s="11">
        <f t="shared" si="5"/>
        <v>2.5921629907545318E-2</v>
      </c>
      <c r="E58" s="11">
        <f t="shared" si="28"/>
        <v>4.2076393638264875E-2</v>
      </c>
      <c r="F58" s="11"/>
      <c r="G58" s="11"/>
      <c r="H58" s="11"/>
      <c r="I58" s="11"/>
      <c r="J58" s="11"/>
    </row>
    <row r="59" spans="1:10" x14ac:dyDescent="0.25">
      <c r="A59" t="str">
        <f t="shared" ref="A59:B59" si="31">A25</f>
        <v>Innovation-triple</v>
      </c>
      <c r="B59" t="str">
        <f t="shared" si="31"/>
        <v>1.5 Gt</v>
      </c>
      <c r="C59" s="11">
        <f t="shared" si="4"/>
        <v>3.5230245964742446E-2</v>
      </c>
      <c r="D59" s="11">
        <f t="shared" si="5"/>
        <v>5.2812324074540395E-3</v>
      </c>
      <c r="E59" s="11">
        <f t="shared" si="28"/>
        <v>3.5230245964742446E-2</v>
      </c>
      <c r="F59" s="11"/>
      <c r="G59" s="11"/>
      <c r="H59" s="11"/>
      <c r="I59" s="11"/>
      <c r="J59" s="11"/>
    </row>
    <row r="60" spans="1:10" x14ac:dyDescent="0.25">
      <c r="A60" t="str">
        <f t="shared" ref="A60:B60" si="32">A26</f>
        <v>Procure3B</v>
      </c>
      <c r="B60" t="str">
        <f t="shared" si="32"/>
        <v>1.5 Gt</v>
      </c>
      <c r="C60" s="11">
        <f t="shared" si="4"/>
        <v>4.0711707606672087E-2</v>
      </c>
      <c r="D60" s="11">
        <f t="shared" si="5"/>
        <v>1.1236011741936558E-2</v>
      </c>
      <c r="E60" s="11"/>
      <c r="F60" s="11"/>
      <c r="G60" s="11">
        <f>C60</f>
        <v>4.0711707606672087E-2</v>
      </c>
      <c r="H60" s="11"/>
      <c r="I60" s="11"/>
      <c r="J60" s="11"/>
    </row>
    <row r="61" spans="1:10" x14ac:dyDescent="0.25">
      <c r="A61" t="str">
        <f t="shared" ref="A61:B61" si="33">A27</f>
        <v>ProcureRhodium</v>
      </c>
      <c r="B61" t="str">
        <f t="shared" si="33"/>
        <v>1.5 Gt</v>
      </c>
      <c r="C61" s="11">
        <f t="shared" si="4"/>
        <v>6.6782244660237744E-2</v>
      </c>
      <c r="D61" s="11">
        <f t="shared" si="5"/>
        <v>4.3829892274163118E-3</v>
      </c>
      <c r="E61" s="11"/>
      <c r="F61" s="11"/>
      <c r="G61" s="11">
        <f>C61</f>
        <v>6.6782244660237744E-2</v>
      </c>
      <c r="H61" s="11"/>
      <c r="I61" s="11"/>
      <c r="J61" s="11"/>
    </row>
    <row r="62" spans="1:10" x14ac:dyDescent="0.25">
      <c r="A62" t="str">
        <f t="shared" ref="A62:B62" si="34">A28</f>
        <v>ProcureScaling</v>
      </c>
      <c r="B62" t="str">
        <f t="shared" si="34"/>
        <v>1.5 Gt</v>
      </c>
      <c r="C62" s="11">
        <f t="shared" si="4"/>
        <v>4.0735246119355084E-2</v>
      </c>
      <c r="D62" s="11">
        <f t="shared" si="5"/>
        <v>1.5607277067723579E-2</v>
      </c>
      <c r="E62" s="11"/>
      <c r="F62" s="11"/>
      <c r="G62" s="11">
        <f>C62</f>
        <v>4.0735246119355084E-2</v>
      </c>
      <c r="H62" s="11"/>
      <c r="I62" s="11"/>
      <c r="J62" s="11"/>
    </row>
    <row r="63" spans="1:10" x14ac:dyDescent="0.25">
      <c r="A63" t="str">
        <f t="shared" ref="A63:B63" si="35">A29</f>
        <v>2.4 Gt Baseline</v>
      </c>
      <c r="B63" t="str">
        <f t="shared" si="35"/>
        <v>2.4 Gt</v>
      </c>
      <c r="C63" s="11">
        <f t="shared" si="4"/>
        <v>3.9746960786196883E-2</v>
      </c>
      <c r="D63" s="11">
        <f t="shared" si="5"/>
        <v>-2.1957027168099885E-2</v>
      </c>
      <c r="E63" s="11"/>
      <c r="F63" s="11"/>
      <c r="G63" s="11"/>
      <c r="H63" s="11"/>
      <c r="I63" s="11">
        <f>C63</f>
        <v>3.9746960786196883E-2</v>
      </c>
      <c r="J63" s="11"/>
    </row>
    <row r="64" spans="1:10" x14ac:dyDescent="0.25">
      <c r="A64" t="str">
        <f t="shared" ref="A64:B64" si="36">A30</f>
        <v>4.1 Gt Baseline</v>
      </c>
      <c r="B64" t="str">
        <f t="shared" si="36"/>
        <v>4.1 Gt</v>
      </c>
      <c r="C64" s="11">
        <f t="shared" si="4"/>
        <v>8.7571994223182736E-2</v>
      </c>
      <c r="D64" s="11">
        <f t="shared" si="5"/>
        <v>0.30992141669265538</v>
      </c>
      <c r="E64" s="11"/>
      <c r="F64" s="11"/>
      <c r="G64" s="11"/>
      <c r="H64" s="11"/>
      <c r="I64" s="11">
        <f>C64</f>
        <v>8.7571994223182736E-2</v>
      </c>
      <c r="J64" s="11"/>
    </row>
    <row r="65" spans="1:10" x14ac:dyDescent="0.25">
      <c r="A65" t="str">
        <f>A31</f>
        <v>45Q-2040-maintain-l</v>
      </c>
      <c r="B65" t="str">
        <f>B31</f>
        <v>500 Mt</v>
      </c>
      <c r="C65" s="11">
        <f t="shared" si="4"/>
        <v>2.0007445681786917E-2</v>
      </c>
      <c r="D65" s="11">
        <f t="shared" si="5"/>
        <v>7.8199073013818232E-3</v>
      </c>
      <c r="E65" s="11"/>
      <c r="F65" s="11"/>
      <c r="G65" s="11"/>
      <c r="H65" s="11">
        <f>C65</f>
        <v>2.0007445681786917E-2</v>
      </c>
      <c r="I65" s="11"/>
      <c r="J65" s="11"/>
    </row>
    <row r="66" spans="1:10" x14ac:dyDescent="0.25">
      <c r="A66" t="str">
        <f t="shared" ref="A66:B66" si="37">A32</f>
        <v>procure-scaling-maintain-h</v>
      </c>
      <c r="B66" t="str">
        <f t="shared" si="37"/>
        <v>1.5 Gt</v>
      </c>
      <c r="C66" s="11">
        <f t="shared" si="4"/>
        <v>4.5551880726005356E-2</v>
      </c>
      <c r="D66" s="11">
        <f t="shared" ref="D66" si="38">I32</f>
        <v>3.9508683522927468E-2</v>
      </c>
      <c r="E66" s="11"/>
      <c r="F66" s="11"/>
      <c r="G66" s="11"/>
      <c r="H66" s="11">
        <f>C66</f>
        <v>4.5551880726005356E-2</v>
      </c>
      <c r="I66" s="11"/>
      <c r="J66" s="11"/>
    </row>
    <row r="67" spans="1:10" x14ac:dyDescent="0.25">
      <c r="C67" s="10"/>
      <c r="D67" s="10"/>
      <c r="E67" s="10"/>
      <c r="F67" s="10"/>
      <c r="G67" s="10"/>
      <c r="H67" s="10"/>
      <c r="I67" s="10"/>
      <c r="J67" s="10"/>
    </row>
    <row r="68" spans="1:10" x14ac:dyDescent="0.25">
      <c r="A68" s="7">
        <v>0.12</v>
      </c>
      <c r="B68" s="7" t="str">
        <f t="shared" ref="B68:B99" si="39">B35</f>
        <v>Baseline</v>
      </c>
      <c r="C68" s="10" t="str">
        <f t="shared" ref="C68:C99" si="40">F1</f>
        <v>12% Discount Rate</v>
      </c>
      <c r="D68" s="10" t="str">
        <f t="shared" ref="D68:D99" si="41">D35</f>
        <v>Cost of Mitigation in 2050</v>
      </c>
      <c r="E68" s="10" t="s">
        <v>58</v>
      </c>
      <c r="F68" s="10" t="s">
        <v>59</v>
      </c>
      <c r="G68" s="10" t="s">
        <v>60</v>
      </c>
      <c r="H68" s="10" t="s">
        <v>61</v>
      </c>
      <c r="I68" s="10" t="s">
        <v>62</v>
      </c>
      <c r="J68" t="s">
        <v>27</v>
      </c>
    </row>
    <row r="69" spans="1:10" x14ac:dyDescent="0.25">
      <c r="A69" s="7" t="str">
        <f t="shared" ref="A69:A99" si="42">A36</f>
        <v>100 Mt Baseline</v>
      </c>
      <c r="B69" s="7" t="str">
        <f t="shared" si="39"/>
        <v>100 Mt</v>
      </c>
      <c r="C69" s="11">
        <f t="shared" si="40"/>
        <v>0</v>
      </c>
      <c r="D69" s="11">
        <f t="shared" si="41"/>
        <v>0</v>
      </c>
      <c r="E69" s="11"/>
      <c r="F69" s="11"/>
      <c r="G69" s="11"/>
      <c r="H69" s="11"/>
      <c r="I69" s="11"/>
      <c r="J69" s="11">
        <v>0</v>
      </c>
    </row>
    <row r="70" spans="1:10" x14ac:dyDescent="0.25">
      <c r="A70" s="7" t="str">
        <f t="shared" si="42"/>
        <v>45Q-2040</v>
      </c>
      <c r="B70" s="7" t="str">
        <f t="shared" si="39"/>
        <v>500 Mt</v>
      </c>
      <c r="C70" s="11">
        <f t="shared" si="40"/>
        <v>2.5209004386937295E-2</v>
      </c>
      <c r="D70" s="11">
        <f t="shared" si="41"/>
        <v>1.0644545520472448E-2</v>
      </c>
      <c r="E70" s="11"/>
      <c r="F70" s="11">
        <f>C70</f>
        <v>2.5209004386937295E-2</v>
      </c>
      <c r="G70" s="11"/>
      <c r="H70" s="11"/>
      <c r="I70" s="11"/>
      <c r="J70" s="11"/>
    </row>
    <row r="71" spans="1:10" x14ac:dyDescent="0.25">
      <c r="A71" s="7" t="str">
        <f t="shared" si="42"/>
        <v>45Q-2050</v>
      </c>
      <c r="B71" s="7" t="str">
        <f t="shared" si="39"/>
        <v>500 Mt</v>
      </c>
      <c r="C71" s="11">
        <f t="shared" si="40"/>
        <v>3.4198049672304665E-2</v>
      </c>
      <c r="D71" s="11">
        <f t="shared" si="41"/>
        <v>1.9307500550778789E-2</v>
      </c>
      <c r="E71" s="11"/>
      <c r="F71" s="11">
        <f>C71</f>
        <v>3.4198049672304665E-2</v>
      </c>
      <c r="G71" s="11"/>
      <c r="H71" s="11"/>
      <c r="I71" s="11"/>
      <c r="J71" s="11"/>
    </row>
    <row r="72" spans="1:10" x14ac:dyDescent="0.25">
      <c r="A72" s="7" t="str">
        <f t="shared" si="42"/>
        <v>CDRIA-2035</v>
      </c>
      <c r="B72" s="7" t="str">
        <f t="shared" si="39"/>
        <v>500 Mt</v>
      </c>
      <c r="C72" s="11">
        <f t="shared" si="40"/>
        <v>2.4461885798017446E-2</v>
      </c>
      <c r="D72" s="11">
        <f t="shared" si="41"/>
        <v>1.0561718679330978E-2</v>
      </c>
      <c r="E72" s="11"/>
      <c r="F72" s="11">
        <f>C72</f>
        <v>2.4461885798017446E-2</v>
      </c>
      <c r="G72" s="11"/>
      <c r="H72" s="11"/>
      <c r="I72" s="11"/>
      <c r="J72" s="11"/>
    </row>
    <row r="73" spans="1:10" x14ac:dyDescent="0.25">
      <c r="A73" s="7" t="str">
        <f t="shared" si="42"/>
        <v>CDRIA-2050</v>
      </c>
      <c r="B73" s="7" t="str">
        <f t="shared" si="39"/>
        <v>500 Mt</v>
      </c>
      <c r="C73" s="11">
        <f t="shared" si="40"/>
        <v>-9.4129782282971197E-3</v>
      </c>
      <c r="D73" s="11">
        <f t="shared" si="41"/>
        <v>-3.5505216962306463E-2</v>
      </c>
      <c r="E73" s="11"/>
      <c r="F73" s="11">
        <f>C73</f>
        <v>-9.4129782282971197E-3</v>
      </c>
      <c r="G73" s="11"/>
      <c r="H73" s="11"/>
      <c r="I73" s="11"/>
      <c r="J73" s="11"/>
    </row>
    <row r="74" spans="1:10" x14ac:dyDescent="0.25">
      <c r="A74" s="7" t="str">
        <f t="shared" si="42"/>
        <v>Innovation-DACHubs</v>
      </c>
      <c r="B74" s="7" t="str">
        <f t="shared" si="39"/>
        <v>500 Mt</v>
      </c>
      <c r="C74" s="11">
        <f t="shared" si="40"/>
        <v>2.2202789691228908E-2</v>
      </c>
      <c r="D74" s="11">
        <f t="shared" si="41"/>
        <v>1.2916266583007374E-2</v>
      </c>
      <c r="E74" s="11">
        <f>C74</f>
        <v>2.2202789691228908E-2</v>
      </c>
      <c r="F74" s="11"/>
      <c r="G74" s="11"/>
      <c r="H74" s="11"/>
      <c r="I74" s="11"/>
      <c r="J74" s="11"/>
    </row>
    <row r="75" spans="1:10" x14ac:dyDescent="0.25">
      <c r="A75" s="7" t="str">
        <f t="shared" si="42"/>
        <v>Innovation-maintain</v>
      </c>
      <c r="B75" s="7" t="str">
        <f t="shared" si="39"/>
        <v>500 Mt</v>
      </c>
      <c r="C75" s="11">
        <f t="shared" si="40"/>
        <v>2.0394201340220519E-2</v>
      </c>
      <c r="D75" s="11">
        <f t="shared" si="41"/>
        <v>1.0368295287968898E-2</v>
      </c>
      <c r="E75" s="11">
        <f>C75</f>
        <v>2.0394201340220519E-2</v>
      </c>
      <c r="F75" s="11"/>
      <c r="G75" s="11"/>
      <c r="H75" s="11"/>
      <c r="I75" s="11"/>
      <c r="J75" s="11"/>
    </row>
    <row r="76" spans="1:10" x14ac:dyDescent="0.25">
      <c r="A76" s="7" t="str">
        <f t="shared" si="42"/>
        <v>Innovation-rhodium18b</v>
      </c>
      <c r="B76" s="7" t="str">
        <f t="shared" si="39"/>
        <v>500 Mt</v>
      </c>
      <c r="C76" s="11">
        <f t="shared" si="40"/>
        <v>2.4831719294460486E-2</v>
      </c>
      <c r="D76" s="11">
        <f t="shared" si="41"/>
        <v>6.028874409642615E-3</v>
      </c>
      <c r="E76" s="11">
        <f>C76</f>
        <v>2.4831719294460486E-2</v>
      </c>
      <c r="F76" s="11"/>
      <c r="G76" s="11"/>
      <c r="H76" s="11"/>
      <c r="I76" s="11"/>
      <c r="J76" s="11"/>
    </row>
    <row r="77" spans="1:10" x14ac:dyDescent="0.25">
      <c r="A77" s="7" t="str">
        <f t="shared" si="42"/>
        <v>Innovation-rhodium6b</v>
      </c>
      <c r="B77" s="7" t="str">
        <f t="shared" si="39"/>
        <v>500 Mt</v>
      </c>
      <c r="C77" s="11">
        <f t="shared" si="40"/>
        <v>2.1679853655029335E-2</v>
      </c>
      <c r="D77" s="11">
        <f t="shared" si="41"/>
        <v>8.6785676172369541E-3</v>
      </c>
      <c r="E77" s="11">
        <f>C77</f>
        <v>2.1679853655029335E-2</v>
      </c>
      <c r="F77" s="11"/>
      <c r="G77" s="11"/>
      <c r="H77" s="11"/>
      <c r="I77" s="11"/>
      <c r="J77" s="11"/>
    </row>
    <row r="78" spans="1:10" x14ac:dyDescent="0.25">
      <c r="A78" s="7" t="str">
        <f t="shared" si="42"/>
        <v>Innovation-triple</v>
      </c>
      <c r="B78" s="7" t="str">
        <f t="shared" si="39"/>
        <v>500 Mt</v>
      </c>
      <c r="C78" s="11">
        <f t="shared" si="40"/>
        <v>2.1454987678930948E-2</v>
      </c>
      <c r="D78" s="11">
        <f t="shared" si="41"/>
        <v>7.9536652884248937E-3</v>
      </c>
      <c r="E78" s="11">
        <f>C78</f>
        <v>2.1454987678930948E-2</v>
      </c>
      <c r="F78" s="11"/>
      <c r="G78" s="11"/>
      <c r="H78" s="11"/>
      <c r="I78" s="11"/>
      <c r="J78" s="11"/>
    </row>
    <row r="79" spans="1:10" x14ac:dyDescent="0.25">
      <c r="A79" s="7" t="str">
        <f t="shared" si="42"/>
        <v>500 Mt Baseline</v>
      </c>
      <c r="B79" s="7" t="str">
        <f t="shared" si="39"/>
        <v>500 Mt</v>
      </c>
      <c r="C79" s="11">
        <f t="shared" si="40"/>
        <v>1.9999391501168695E-2</v>
      </c>
      <c r="D79" s="11">
        <f t="shared" si="41"/>
        <v>1.3462435030650033E-2</v>
      </c>
      <c r="E79" s="11"/>
      <c r="F79" s="11"/>
      <c r="G79" s="11"/>
      <c r="H79" s="11"/>
      <c r="I79" s="11">
        <f>C79</f>
        <v>1.9999391501168695E-2</v>
      </c>
      <c r="J79" s="11"/>
    </row>
    <row r="80" spans="1:10" x14ac:dyDescent="0.25">
      <c r="A80" s="7" t="str">
        <f t="shared" si="42"/>
        <v>Procure3B</v>
      </c>
      <c r="B80" s="7" t="str">
        <f t="shared" si="39"/>
        <v>500 Mt</v>
      </c>
      <c r="C80" s="11">
        <f t="shared" si="40"/>
        <v>2.9815748364587558E-2</v>
      </c>
      <c r="D80" s="11">
        <f t="shared" si="41"/>
        <v>8.799150970965508E-3</v>
      </c>
      <c r="E80" s="11"/>
      <c r="F80" s="11"/>
      <c r="G80" s="11">
        <f>C80</f>
        <v>2.9815748364587558E-2</v>
      </c>
      <c r="H80" s="11"/>
      <c r="I80" s="11"/>
      <c r="J80" s="11"/>
    </row>
    <row r="81" spans="1:10" x14ac:dyDescent="0.25">
      <c r="A81" s="7" t="str">
        <f t="shared" si="42"/>
        <v>ProcureRhodium</v>
      </c>
      <c r="B81" s="7" t="str">
        <f t="shared" si="39"/>
        <v>500 Mt</v>
      </c>
      <c r="C81" s="11">
        <f t="shared" si="40"/>
        <v>0.11093343672575018</v>
      </c>
      <c r="D81" s="11">
        <f t="shared" si="41"/>
        <v>1.7531058139190758E-3</v>
      </c>
      <c r="E81" s="11"/>
      <c r="F81" s="11"/>
      <c r="G81" s="11">
        <f>C81</f>
        <v>0.11093343672575018</v>
      </c>
      <c r="H81" s="11"/>
      <c r="I81" s="11"/>
      <c r="J81" s="11"/>
    </row>
    <row r="82" spans="1:10" x14ac:dyDescent="0.25">
      <c r="A82" s="7" t="str">
        <f t="shared" si="42"/>
        <v>ProcureScaling</v>
      </c>
      <c r="B82" s="7" t="str">
        <f t="shared" si="39"/>
        <v>500 Mt</v>
      </c>
      <c r="C82" s="11">
        <f t="shared" si="40"/>
        <v>2.4222185665893514E-2</v>
      </c>
      <c r="D82" s="11">
        <f t="shared" si="41"/>
        <v>9.890681049470551E-3</v>
      </c>
      <c r="E82" s="11"/>
      <c r="F82" s="11"/>
      <c r="G82" s="11">
        <f>C82</f>
        <v>2.4222185665893514E-2</v>
      </c>
      <c r="H82" s="11"/>
      <c r="I82" s="11"/>
      <c r="J82" s="11"/>
    </row>
    <row r="83" spans="1:10" x14ac:dyDescent="0.25">
      <c r="A83" s="7" t="str">
        <f t="shared" si="42"/>
        <v>45Q-2040</v>
      </c>
      <c r="B83" s="7" t="str">
        <f t="shared" si="39"/>
        <v>1.5 Gt</v>
      </c>
      <c r="C83" s="11">
        <f t="shared" si="40"/>
        <v>5.0456290197662401E-2</v>
      </c>
      <c r="D83" s="11">
        <f t="shared" si="41"/>
        <v>1.573425906758108E-2</v>
      </c>
      <c r="E83" s="11"/>
      <c r="F83" s="11">
        <f>C83</f>
        <v>5.0456290197662401E-2</v>
      </c>
      <c r="G83" s="11"/>
      <c r="H83" s="11"/>
      <c r="I83" s="11"/>
      <c r="J83" s="11"/>
    </row>
    <row r="84" spans="1:10" x14ac:dyDescent="0.25">
      <c r="A84" s="7" t="str">
        <f t="shared" si="42"/>
        <v>45Q-2050</v>
      </c>
      <c r="B84" s="7" t="str">
        <f t="shared" si="39"/>
        <v>1.5 Gt</v>
      </c>
      <c r="C84" s="11">
        <f t="shared" si="40"/>
        <v>6.1083028588815536E-2</v>
      </c>
      <c r="D84" s="11">
        <f t="shared" si="41"/>
        <v>9.8615793669942775E-3</v>
      </c>
      <c r="E84" s="11"/>
      <c r="F84" s="11">
        <f>C84</f>
        <v>6.1083028588815536E-2</v>
      </c>
      <c r="G84" s="11"/>
      <c r="H84" s="11"/>
      <c r="I84" s="11"/>
      <c r="J84" s="11"/>
    </row>
    <row r="85" spans="1:10" x14ac:dyDescent="0.25">
      <c r="A85" s="7" t="str">
        <f t="shared" si="42"/>
        <v>CDRIA-2035</v>
      </c>
      <c r="B85" s="7" t="str">
        <f t="shared" si="39"/>
        <v>1.5 Gt</v>
      </c>
      <c r="C85" s="11">
        <f t="shared" si="40"/>
        <v>5.0352890177856713E-2</v>
      </c>
      <c r="D85" s="11">
        <f t="shared" si="41"/>
        <v>1.6667279937599533E-2</v>
      </c>
      <c r="E85" s="11"/>
      <c r="F85" s="11">
        <f>C85</f>
        <v>5.0352890177856713E-2</v>
      </c>
      <c r="G85" s="11"/>
      <c r="H85" s="11"/>
      <c r="I85" s="11"/>
      <c r="J85" s="11"/>
    </row>
    <row r="86" spans="1:10" x14ac:dyDescent="0.25">
      <c r="A86" s="7" t="str">
        <f t="shared" si="42"/>
        <v>CDRIA-2050</v>
      </c>
      <c r="B86" s="7" t="str">
        <f t="shared" si="39"/>
        <v>1.5 Gt</v>
      </c>
      <c r="C86" s="11">
        <f t="shared" si="40"/>
        <v>-1.2285964574096364E-2</v>
      </c>
      <c r="D86" s="11">
        <f t="shared" si="41"/>
        <v>-4.0784874285260897E-2</v>
      </c>
      <c r="E86" s="11"/>
      <c r="F86" s="11">
        <f>C86</f>
        <v>-1.2285964574096364E-2</v>
      </c>
      <c r="G86" s="11"/>
      <c r="H86" s="11"/>
      <c r="I86" s="11"/>
      <c r="J86" s="11"/>
    </row>
    <row r="87" spans="1:10" x14ac:dyDescent="0.25">
      <c r="A87" s="7" t="str">
        <f t="shared" si="42"/>
        <v>1500 Mt Baseline</v>
      </c>
      <c r="B87" s="7" t="str">
        <f t="shared" si="39"/>
        <v>1.5 Gt</v>
      </c>
      <c r="C87" s="11">
        <f t="shared" si="40"/>
        <v>4.7727120246340293E-2</v>
      </c>
      <c r="D87" s="11">
        <f t="shared" si="41"/>
        <v>3.2111903006877052E-2</v>
      </c>
      <c r="E87" s="11"/>
      <c r="F87" s="11"/>
      <c r="G87" s="11"/>
      <c r="H87" s="11"/>
      <c r="I87" s="11">
        <f>C87</f>
        <v>4.7727120246340293E-2</v>
      </c>
      <c r="J87" s="11"/>
    </row>
    <row r="88" spans="1:10" x14ac:dyDescent="0.25">
      <c r="A88" s="7" t="str">
        <f t="shared" si="42"/>
        <v>Innovation-DACHubs</v>
      </c>
      <c r="B88" s="7" t="str">
        <f t="shared" si="39"/>
        <v>1.5 Gt</v>
      </c>
      <c r="C88" s="11">
        <f t="shared" si="40"/>
        <v>4.929681263480501E-2</v>
      </c>
      <c r="D88" s="11">
        <f t="shared" si="41"/>
        <v>3.0034551655996999E-2</v>
      </c>
      <c r="E88" s="11">
        <f>C88</f>
        <v>4.929681263480501E-2</v>
      </c>
      <c r="F88" s="11"/>
      <c r="G88" s="11"/>
      <c r="H88" s="11"/>
      <c r="I88" s="11"/>
      <c r="J88" s="11"/>
    </row>
    <row r="89" spans="1:10" x14ac:dyDescent="0.25">
      <c r="A89" s="7" t="str">
        <f t="shared" si="42"/>
        <v>Innovation-maintain</v>
      </c>
      <c r="B89" s="7" t="str">
        <f t="shared" si="39"/>
        <v>1.5 Gt</v>
      </c>
      <c r="C89" s="11">
        <f t="shared" si="40"/>
        <v>4.3704615637033539E-2</v>
      </c>
      <c r="D89" s="11">
        <f t="shared" si="41"/>
        <v>1.661132846933655E-2</v>
      </c>
      <c r="E89" s="11">
        <f>C89</f>
        <v>4.3704615637033539E-2</v>
      </c>
      <c r="F89" s="11"/>
      <c r="G89" s="11"/>
      <c r="H89" s="11"/>
      <c r="I89" s="11"/>
      <c r="J89" s="11"/>
    </row>
    <row r="90" spans="1:10" x14ac:dyDescent="0.25">
      <c r="A90" s="7" t="str">
        <f t="shared" si="42"/>
        <v>Innovation-rhodium18b</v>
      </c>
      <c r="B90" s="7" t="str">
        <f t="shared" si="39"/>
        <v>1.5 Gt</v>
      </c>
      <c r="C90" s="11">
        <f t="shared" si="40"/>
        <v>4.1577042341038206E-2</v>
      </c>
      <c r="D90" s="11">
        <f t="shared" si="41"/>
        <v>-1.6392791573464072E-3</v>
      </c>
      <c r="E90" s="11">
        <f>C90</f>
        <v>4.1577042341038206E-2</v>
      </c>
      <c r="F90" s="11"/>
      <c r="G90" s="11"/>
      <c r="H90" s="11"/>
      <c r="I90" s="11"/>
      <c r="J90" s="11"/>
    </row>
    <row r="91" spans="1:10" x14ac:dyDescent="0.25">
      <c r="A91" s="7" t="str">
        <f t="shared" si="42"/>
        <v>Innovation-rhodium6b</v>
      </c>
      <c r="B91" s="7" t="str">
        <f t="shared" si="39"/>
        <v>1.5 Gt</v>
      </c>
      <c r="C91" s="11">
        <f t="shared" si="40"/>
        <v>4.4917454887877017E-2</v>
      </c>
      <c r="D91" s="11">
        <f t="shared" si="41"/>
        <v>2.5921629907545318E-2</v>
      </c>
      <c r="E91" s="11">
        <f>C91</f>
        <v>4.4917454887877017E-2</v>
      </c>
      <c r="F91" s="11"/>
      <c r="G91" s="11"/>
      <c r="H91" s="11"/>
      <c r="I91" s="11"/>
      <c r="J91" s="11"/>
    </row>
    <row r="92" spans="1:10" x14ac:dyDescent="0.25">
      <c r="A92" s="7" t="str">
        <f t="shared" si="42"/>
        <v>Innovation-triple</v>
      </c>
      <c r="B92" s="7" t="str">
        <f t="shared" si="39"/>
        <v>1.5 Gt</v>
      </c>
      <c r="C92" s="11">
        <f t="shared" si="40"/>
        <v>4.1120079861178827E-2</v>
      </c>
      <c r="D92" s="11">
        <f t="shared" si="41"/>
        <v>5.2812324074540395E-3</v>
      </c>
      <c r="E92" s="11">
        <f>C92</f>
        <v>4.1120079861178827E-2</v>
      </c>
      <c r="F92" s="11"/>
      <c r="G92" s="11"/>
      <c r="H92" s="11"/>
      <c r="I92" s="11"/>
      <c r="J92" s="11"/>
    </row>
    <row r="93" spans="1:10" x14ac:dyDescent="0.25">
      <c r="A93" s="7" t="str">
        <f t="shared" si="42"/>
        <v>Procure3B</v>
      </c>
      <c r="B93" s="7" t="str">
        <f t="shared" si="39"/>
        <v>1.5 Gt</v>
      </c>
      <c r="C93" s="11">
        <f t="shared" si="40"/>
        <v>5.0763015263472377E-2</v>
      </c>
      <c r="D93" s="11">
        <f t="shared" si="41"/>
        <v>1.1236011741936558E-2</v>
      </c>
      <c r="E93" s="11"/>
      <c r="F93" s="11"/>
      <c r="G93" s="11">
        <f>C93</f>
        <v>5.0763015263472377E-2</v>
      </c>
      <c r="H93" s="11"/>
      <c r="I93" s="11"/>
      <c r="J93" s="11"/>
    </row>
    <row r="94" spans="1:10" x14ac:dyDescent="0.25">
      <c r="A94" s="7" t="str">
        <f t="shared" si="42"/>
        <v>ProcureRhodium</v>
      </c>
      <c r="B94" s="7" t="str">
        <f t="shared" si="39"/>
        <v>1.5 Gt</v>
      </c>
      <c r="C94" s="11">
        <f t="shared" si="40"/>
        <v>0.11883462661366395</v>
      </c>
      <c r="D94" s="11">
        <f t="shared" si="41"/>
        <v>4.3829892274163118E-3</v>
      </c>
      <c r="E94" s="11"/>
      <c r="F94" s="11"/>
      <c r="G94" s="11">
        <f>C94</f>
        <v>0.11883462661366395</v>
      </c>
      <c r="H94" s="11"/>
      <c r="I94" s="11"/>
      <c r="J94" s="11"/>
    </row>
    <row r="95" spans="1:10" x14ac:dyDescent="0.25">
      <c r="A95" s="7" t="str">
        <f t="shared" si="42"/>
        <v>ProcureScaling</v>
      </c>
      <c r="B95" s="7" t="str">
        <f t="shared" si="39"/>
        <v>1.5 Gt</v>
      </c>
      <c r="C95" s="11">
        <f t="shared" si="40"/>
        <v>4.6654528270856144E-2</v>
      </c>
      <c r="D95" s="11">
        <f t="shared" si="41"/>
        <v>1.5607277067723579E-2</v>
      </c>
      <c r="E95" s="11"/>
      <c r="F95" s="11"/>
      <c r="G95" s="11">
        <f>C95</f>
        <v>4.6654528270856144E-2</v>
      </c>
      <c r="H95" s="11"/>
      <c r="I95" s="11"/>
      <c r="J95" s="11"/>
    </row>
    <row r="96" spans="1:10" x14ac:dyDescent="0.25">
      <c r="A96" s="7" t="str">
        <f t="shared" si="42"/>
        <v>2.4 Gt Baseline</v>
      </c>
      <c r="B96" s="7" t="str">
        <f t="shared" si="39"/>
        <v>2.4 Gt</v>
      </c>
      <c r="C96" s="11">
        <f t="shared" si="40"/>
        <v>5.1301049981022695E-2</v>
      </c>
      <c r="D96" s="11">
        <f t="shared" si="41"/>
        <v>-2.1957027168099885E-2</v>
      </c>
      <c r="E96" s="11"/>
      <c r="F96" s="11"/>
      <c r="G96" s="11"/>
      <c r="H96" s="11"/>
      <c r="I96" s="11">
        <f>C96</f>
        <v>5.1301049981022695E-2</v>
      </c>
      <c r="J96" s="11"/>
    </row>
    <row r="97" spans="1:10" x14ac:dyDescent="0.25">
      <c r="A97" s="7" t="str">
        <f t="shared" si="42"/>
        <v>4.1 Gt Baseline</v>
      </c>
      <c r="B97" s="7" t="str">
        <f t="shared" si="39"/>
        <v>4.1 Gt</v>
      </c>
      <c r="C97" s="11">
        <f t="shared" si="40"/>
        <v>8.3416775047346015E-2</v>
      </c>
      <c r="D97" s="11">
        <f t="shared" si="41"/>
        <v>0.30992141669265538</v>
      </c>
      <c r="E97" s="11"/>
      <c r="F97" s="11"/>
      <c r="G97" s="11"/>
      <c r="H97" s="11"/>
      <c r="I97" s="11">
        <f>C97</f>
        <v>8.3416775047346015E-2</v>
      </c>
      <c r="J97" s="11"/>
    </row>
    <row r="98" spans="1:10" x14ac:dyDescent="0.25">
      <c r="A98" s="7" t="str">
        <f t="shared" si="42"/>
        <v>45Q-2040-maintain-l</v>
      </c>
      <c r="B98" s="7" t="str">
        <f t="shared" si="39"/>
        <v>500 Mt</v>
      </c>
      <c r="C98" s="11">
        <f t="shared" si="40"/>
        <v>2.6052304406058546E-2</v>
      </c>
      <c r="D98" s="11">
        <f t="shared" si="41"/>
        <v>7.8199073013818232E-3</v>
      </c>
      <c r="E98" s="11"/>
      <c r="F98" s="11"/>
      <c r="G98" s="11"/>
      <c r="H98" s="11">
        <f>C98</f>
        <v>2.6052304406058546E-2</v>
      </c>
      <c r="I98" s="11"/>
      <c r="J98" s="11"/>
    </row>
    <row r="99" spans="1:10" x14ac:dyDescent="0.25">
      <c r="A99" s="7" t="str">
        <f t="shared" si="42"/>
        <v>procure-scaling-maintain-h</v>
      </c>
      <c r="B99" s="7" t="str">
        <f t="shared" si="39"/>
        <v>1.5 Gt</v>
      </c>
      <c r="C99" s="11">
        <f t="shared" si="40"/>
        <v>4.8213799167334814E-2</v>
      </c>
      <c r="D99" s="11">
        <f t="shared" si="41"/>
        <v>3.9508683522927468E-2</v>
      </c>
      <c r="E99" s="11"/>
      <c r="F99" s="11"/>
      <c r="G99" s="11"/>
      <c r="H99" s="11">
        <f>C99</f>
        <v>4.8213799167334814E-2</v>
      </c>
      <c r="I99" s="11"/>
      <c r="J99" s="11"/>
    </row>
    <row r="100" spans="1:10" x14ac:dyDescent="0.25">
      <c r="C100" s="10"/>
      <c r="D100" s="10"/>
      <c r="E100" s="10"/>
      <c r="F100" s="10"/>
      <c r="G100" s="10"/>
      <c r="H100" s="10"/>
      <c r="I100" s="10"/>
      <c r="J100" s="10"/>
    </row>
    <row r="101" spans="1:10" x14ac:dyDescent="0.25">
      <c r="A101" s="7">
        <v>0.2</v>
      </c>
      <c r="B101" t="str">
        <f>B1</f>
        <v>Baseline</v>
      </c>
      <c r="C101" s="10" t="str">
        <f t="shared" ref="C101:C132" si="43">H1</f>
        <v>20% Discount Rate</v>
      </c>
      <c r="D101" s="10" t="str">
        <f t="shared" ref="D101" si="44">D68</f>
        <v>Cost of Mitigation in 2050</v>
      </c>
      <c r="E101" s="10" t="s">
        <v>58</v>
      </c>
      <c r="F101" s="10" t="s">
        <v>59</v>
      </c>
      <c r="G101" s="10" t="s">
        <v>60</v>
      </c>
      <c r="H101" s="10" t="s">
        <v>61</v>
      </c>
      <c r="I101" s="10" t="s">
        <v>62</v>
      </c>
      <c r="J101" t="s">
        <v>27</v>
      </c>
    </row>
    <row r="102" spans="1:10" x14ac:dyDescent="0.25">
      <c r="A102" s="7" t="str">
        <f>A69</f>
        <v>100 Mt Baseline</v>
      </c>
      <c r="B102" s="7" t="str">
        <f>B69</f>
        <v>100 Mt</v>
      </c>
      <c r="C102" s="11">
        <f t="shared" si="43"/>
        <v>0</v>
      </c>
      <c r="D102" s="11">
        <f t="shared" ref="D102:D119" si="45">D69</f>
        <v>0</v>
      </c>
      <c r="E102" s="11"/>
      <c r="F102" s="11"/>
      <c r="G102" s="11"/>
      <c r="H102" s="11"/>
      <c r="I102" s="11"/>
      <c r="J102" s="11">
        <v>0</v>
      </c>
    </row>
    <row r="103" spans="1:10" x14ac:dyDescent="0.25">
      <c r="A103" s="7" t="str">
        <f t="shared" ref="A103:B103" si="46">A70</f>
        <v>45Q-2040</v>
      </c>
      <c r="B103" s="7" t="str">
        <f t="shared" si="46"/>
        <v>500 Mt</v>
      </c>
      <c r="C103" s="11">
        <f t="shared" si="43"/>
        <v>2.8903795027540591E-2</v>
      </c>
      <c r="D103" s="11">
        <f t="shared" si="45"/>
        <v>1.0644545520472448E-2</v>
      </c>
      <c r="E103" s="11"/>
      <c r="F103" s="11">
        <f>C103</f>
        <v>2.8903795027540591E-2</v>
      </c>
      <c r="G103" s="11"/>
      <c r="H103" s="11"/>
      <c r="I103" s="11"/>
      <c r="J103" s="11"/>
    </row>
    <row r="104" spans="1:10" x14ac:dyDescent="0.25">
      <c r="A104" s="7" t="str">
        <f t="shared" ref="A104:B104" si="47">A71</f>
        <v>45Q-2050</v>
      </c>
      <c r="B104" s="7" t="str">
        <f t="shared" si="47"/>
        <v>500 Mt</v>
      </c>
      <c r="C104" s="11">
        <f t="shared" si="43"/>
        <v>3.4874207486603748E-2</v>
      </c>
      <c r="D104" s="11">
        <f t="shared" si="45"/>
        <v>1.9307500550778789E-2</v>
      </c>
      <c r="E104" s="11"/>
      <c r="F104" s="11">
        <f>C104</f>
        <v>3.4874207486603748E-2</v>
      </c>
      <c r="G104" s="11"/>
      <c r="H104" s="11"/>
      <c r="I104" s="11"/>
      <c r="J104" s="11"/>
    </row>
    <row r="105" spans="1:10" x14ac:dyDescent="0.25">
      <c r="A105" s="7" t="str">
        <f t="shared" ref="A105:B105" si="48">A72</f>
        <v>CDRIA-2035</v>
      </c>
      <c r="B105" s="7" t="str">
        <f t="shared" si="48"/>
        <v>500 Mt</v>
      </c>
      <c r="C105" s="11">
        <f t="shared" si="43"/>
        <v>3.1103255235124028E-2</v>
      </c>
      <c r="D105" s="11">
        <f t="shared" si="45"/>
        <v>1.0561718679330978E-2</v>
      </c>
      <c r="E105" s="11"/>
      <c r="F105" s="11">
        <f>C105</f>
        <v>3.1103255235124028E-2</v>
      </c>
      <c r="G105" s="11"/>
      <c r="H105" s="11"/>
      <c r="I105" s="11"/>
      <c r="J105" s="11"/>
    </row>
    <row r="106" spans="1:10" x14ac:dyDescent="0.25">
      <c r="A106" s="7" t="str">
        <f t="shared" ref="A106:B106" si="49">A73</f>
        <v>CDRIA-2050</v>
      </c>
      <c r="B106" s="7" t="str">
        <f t="shared" si="49"/>
        <v>500 Mt</v>
      </c>
      <c r="C106" s="11">
        <f t="shared" si="43"/>
        <v>2.1524149722820241E-3</v>
      </c>
      <c r="D106" s="11">
        <f t="shared" si="45"/>
        <v>-3.5505216962306463E-2</v>
      </c>
      <c r="E106" s="11"/>
      <c r="F106" s="11">
        <f>C106</f>
        <v>2.1524149722820241E-3</v>
      </c>
      <c r="G106" s="11"/>
      <c r="H106" s="11"/>
      <c r="I106" s="11"/>
      <c r="J106" s="11"/>
    </row>
    <row r="107" spans="1:10" x14ac:dyDescent="0.25">
      <c r="A107" s="7" t="str">
        <f t="shared" ref="A107:B107" si="50">A74</f>
        <v>Innovation-DACHubs</v>
      </c>
      <c r="B107" s="7" t="str">
        <f t="shared" si="50"/>
        <v>500 Mt</v>
      </c>
      <c r="C107" s="11">
        <f t="shared" si="43"/>
        <v>2.7008441535348204E-2</v>
      </c>
      <c r="D107" s="11">
        <f t="shared" si="45"/>
        <v>1.2916266583007374E-2</v>
      </c>
      <c r="E107" s="11">
        <f>C107</f>
        <v>2.7008441535348204E-2</v>
      </c>
      <c r="F107" s="11"/>
      <c r="G107" s="11"/>
      <c r="H107" s="11"/>
      <c r="I107" s="11"/>
      <c r="J107" s="11"/>
    </row>
    <row r="108" spans="1:10" x14ac:dyDescent="0.25">
      <c r="A108" s="7" t="str">
        <f t="shared" ref="A108:B108" si="51">A75</f>
        <v>Innovation-maintain</v>
      </c>
      <c r="B108" s="7" t="str">
        <f t="shared" si="51"/>
        <v>500 Mt</v>
      </c>
      <c r="C108" s="11">
        <f t="shared" si="43"/>
        <v>2.1571817735793752E-2</v>
      </c>
      <c r="D108" s="11">
        <f t="shared" si="45"/>
        <v>1.0368295287968898E-2</v>
      </c>
      <c r="E108" s="11">
        <f>C108</f>
        <v>2.1571817735793752E-2</v>
      </c>
      <c r="F108" s="11"/>
      <c r="G108" s="11"/>
      <c r="H108" s="11"/>
      <c r="I108" s="11"/>
      <c r="J108" s="11"/>
    </row>
    <row r="109" spans="1:10" x14ac:dyDescent="0.25">
      <c r="A109" s="7" t="str">
        <f t="shared" ref="A109:B109" si="52">A76</f>
        <v>Innovation-rhodium18b</v>
      </c>
      <c r="B109" s="7" t="str">
        <f t="shared" si="52"/>
        <v>500 Mt</v>
      </c>
      <c r="C109" s="11">
        <f t="shared" si="43"/>
        <v>2.6245176951359195E-2</v>
      </c>
      <c r="D109" s="11">
        <f t="shared" si="45"/>
        <v>6.028874409642615E-3</v>
      </c>
      <c r="E109" s="11">
        <f>C109</f>
        <v>2.6245176951359195E-2</v>
      </c>
      <c r="F109" s="11"/>
      <c r="G109" s="11"/>
      <c r="H109" s="11"/>
      <c r="I109" s="11"/>
      <c r="J109" s="11"/>
    </row>
    <row r="110" spans="1:10" x14ac:dyDescent="0.25">
      <c r="A110" s="7" t="str">
        <f t="shared" ref="A110:B110" si="53">A77</f>
        <v>Innovation-rhodium6b</v>
      </c>
      <c r="B110" s="7" t="str">
        <f t="shared" si="53"/>
        <v>500 Mt</v>
      </c>
      <c r="C110" s="11">
        <f t="shared" si="43"/>
        <v>2.2688515776797979E-2</v>
      </c>
      <c r="D110" s="11">
        <f t="shared" si="45"/>
        <v>8.6785676172369541E-3</v>
      </c>
      <c r="E110" s="11">
        <f>C110</f>
        <v>2.2688515776797979E-2</v>
      </c>
      <c r="F110" s="11"/>
      <c r="G110" s="11"/>
      <c r="H110" s="11"/>
      <c r="I110" s="11"/>
      <c r="J110" s="11"/>
    </row>
    <row r="111" spans="1:10" x14ac:dyDescent="0.25">
      <c r="A111" s="7" t="str">
        <f t="shared" ref="A111:B111" si="54">A78</f>
        <v>Innovation-triple</v>
      </c>
      <c r="B111" s="7" t="str">
        <f t="shared" si="54"/>
        <v>500 Mt</v>
      </c>
      <c r="C111" s="11">
        <f t="shared" si="43"/>
        <v>2.2661320247214567E-2</v>
      </c>
      <c r="D111" s="11">
        <f t="shared" si="45"/>
        <v>7.9536652884248937E-3</v>
      </c>
      <c r="E111" s="11">
        <f>C111</f>
        <v>2.2661320247214567E-2</v>
      </c>
      <c r="F111" s="11"/>
      <c r="G111" s="11"/>
      <c r="H111" s="11"/>
      <c r="I111" s="11"/>
      <c r="J111" s="11"/>
    </row>
    <row r="112" spans="1:10" x14ac:dyDescent="0.25">
      <c r="A112" s="7" t="str">
        <f t="shared" ref="A112:B112" si="55">A79</f>
        <v>500 Mt Baseline</v>
      </c>
      <c r="B112" s="7" t="str">
        <f t="shared" si="55"/>
        <v>500 Mt</v>
      </c>
      <c r="C112" s="11">
        <f t="shared" si="43"/>
        <v>2.1469395795524315E-2</v>
      </c>
      <c r="D112" s="11">
        <f t="shared" si="45"/>
        <v>1.3462435030650033E-2</v>
      </c>
      <c r="E112" s="11"/>
      <c r="F112" s="11"/>
      <c r="G112" s="11"/>
      <c r="H112" s="11"/>
      <c r="I112" s="11">
        <f>C112</f>
        <v>2.1469395795524315E-2</v>
      </c>
      <c r="J112" s="11"/>
    </row>
    <row r="113" spans="1:10" x14ac:dyDescent="0.25">
      <c r="A113" s="7" t="str">
        <f t="shared" ref="A113:B113" si="56">A80</f>
        <v>Procure3B</v>
      </c>
      <c r="B113" s="7" t="str">
        <f t="shared" si="56"/>
        <v>500 Mt</v>
      </c>
      <c r="C113" s="11">
        <f t="shared" si="43"/>
        <v>3.6978517075664463E-2</v>
      </c>
      <c r="D113" s="11">
        <f t="shared" si="45"/>
        <v>8.799150970965508E-3</v>
      </c>
      <c r="E113" s="11"/>
      <c r="F113" s="11"/>
      <c r="G113" s="11">
        <f>C113</f>
        <v>3.6978517075664463E-2</v>
      </c>
      <c r="H113" s="11"/>
      <c r="I113" s="11"/>
      <c r="J113" s="11"/>
    </row>
    <row r="114" spans="1:10" x14ac:dyDescent="0.25">
      <c r="A114" s="7" t="str">
        <f t="shared" ref="A114:B114" si="57">A81</f>
        <v>ProcureRhodium</v>
      </c>
      <c r="B114" s="7" t="str">
        <f t="shared" si="57"/>
        <v>500 Mt</v>
      </c>
      <c r="C114" s="11">
        <f t="shared" si="43"/>
        <v>0.15910771167551552</v>
      </c>
      <c r="D114" s="11">
        <f t="shared" si="45"/>
        <v>1.7531058139190758E-3</v>
      </c>
      <c r="E114" s="11"/>
      <c r="F114" s="11"/>
      <c r="G114" s="11">
        <f>C114</f>
        <v>0.15910771167551552</v>
      </c>
      <c r="H114" s="11"/>
      <c r="I114" s="11"/>
      <c r="J114" s="11"/>
    </row>
    <row r="115" spans="1:10" x14ac:dyDescent="0.25">
      <c r="A115" s="7" t="str">
        <f t="shared" ref="A115:B115" si="58">A82</f>
        <v>ProcureScaling</v>
      </c>
      <c r="B115" s="7" t="str">
        <f t="shared" si="58"/>
        <v>500 Mt</v>
      </c>
      <c r="C115" s="11">
        <f t="shared" si="43"/>
        <v>2.7500134230232787E-2</v>
      </c>
      <c r="D115" s="11">
        <f t="shared" si="45"/>
        <v>9.890681049470551E-3</v>
      </c>
      <c r="E115" s="11"/>
      <c r="F115" s="11"/>
      <c r="G115" s="11">
        <f>C115</f>
        <v>2.7500134230232787E-2</v>
      </c>
      <c r="H115" s="11"/>
      <c r="I115" s="11"/>
      <c r="J115" s="11"/>
    </row>
    <row r="116" spans="1:10" x14ac:dyDescent="0.25">
      <c r="A116" s="7" t="str">
        <f t="shared" ref="A116:B116" si="59">A83</f>
        <v>45Q-2040</v>
      </c>
      <c r="B116" s="7" t="str">
        <f t="shared" si="59"/>
        <v>1.5 Gt</v>
      </c>
      <c r="C116" s="11">
        <f t="shared" si="43"/>
        <v>5.5771061676000988E-2</v>
      </c>
      <c r="D116" s="11">
        <f t="shared" si="45"/>
        <v>1.573425906758108E-2</v>
      </c>
      <c r="E116" s="11"/>
      <c r="F116" s="11">
        <f>C116</f>
        <v>5.5771061676000988E-2</v>
      </c>
      <c r="G116" s="11"/>
      <c r="H116" s="11"/>
      <c r="I116" s="11"/>
      <c r="J116" s="11"/>
    </row>
    <row r="117" spans="1:10" x14ac:dyDescent="0.25">
      <c r="A117" s="7" t="str">
        <f t="shared" ref="A117:B117" si="60">A84</f>
        <v>45Q-2050</v>
      </c>
      <c r="B117" s="7" t="str">
        <f t="shared" si="60"/>
        <v>1.5 Gt</v>
      </c>
      <c r="C117" s="11">
        <f t="shared" si="43"/>
        <v>6.3515173295772831E-2</v>
      </c>
      <c r="D117" s="11">
        <f t="shared" si="45"/>
        <v>9.8615793669942775E-3</v>
      </c>
      <c r="E117" s="11"/>
      <c r="F117" s="11">
        <f>C117</f>
        <v>6.3515173295772831E-2</v>
      </c>
      <c r="G117" s="11"/>
      <c r="H117" s="11"/>
      <c r="I117" s="11"/>
      <c r="J117" s="11"/>
    </row>
    <row r="118" spans="1:10" x14ac:dyDescent="0.25">
      <c r="A118" s="7" t="str">
        <f t="shared" ref="A118:B118" si="61">A85</f>
        <v>CDRIA-2035</v>
      </c>
      <c r="B118" s="7" t="str">
        <f t="shared" si="61"/>
        <v>1.5 Gt</v>
      </c>
      <c r="C118" s="11">
        <f t="shared" si="43"/>
        <v>5.9810976655155557E-2</v>
      </c>
      <c r="D118" s="11">
        <f t="shared" si="45"/>
        <v>1.6667279937599533E-2</v>
      </c>
      <c r="E118" s="11"/>
      <c r="F118" s="11">
        <f>C118</f>
        <v>5.9810976655155557E-2</v>
      </c>
      <c r="G118" s="11"/>
      <c r="H118" s="11"/>
      <c r="I118" s="11"/>
      <c r="J118" s="11"/>
    </row>
    <row r="119" spans="1:10" x14ac:dyDescent="0.25">
      <c r="A119" s="7" t="str">
        <f t="shared" ref="A119:B119" si="62">A86</f>
        <v>CDRIA-2050</v>
      </c>
      <c r="B119" s="7" t="str">
        <f t="shared" si="62"/>
        <v>1.5 Gt</v>
      </c>
      <c r="C119" s="11">
        <f t="shared" si="43"/>
        <v>7.4400039776509885E-3</v>
      </c>
      <c r="D119" s="11">
        <f t="shared" si="45"/>
        <v>-4.0784874285260897E-2</v>
      </c>
      <c r="E119" s="11"/>
      <c r="F119" s="11">
        <f>C119</f>
        <v>7.4400039776509885E-3</v>
      </c>
      <c r="G119" s="11"/>
      <c r="H119" s="11"/>
      <c r="I119" s="11"/>
      <c r="J119" s="11"/>
    </row>
    <row r="120" spans="1:10" x14ac:dyDescent="0.25">
      <c r="A120" s="7" t="str">
        <f t="shared" ref="A120:B120" si="63">A87</f>
        <v>1500 Mt Baseline</v>
      </c>
      <c r="B120" s="7" t="str">
        <f t="shared" si="63"/>
        <v>1.5 Gt</v>
      </c>
      <c r="C120" s="11">
        <f t="shared" si="43"/>
        <v>4.830102347859988E-2</v>
      </c>
      <c r="D120" s="11">
        <f t="shared" ref="D120:D132" si="64">D87</f>
        <v>3.2111903006877052E-2</v>
      </c>
      <c r="E120" s="11"/>
      <c r="F120" s="11"/>
      <c r="G120" s="11"/>
      <c r="H120" s="11"/>
      <c r="I120" s="11">
        <f>C120</f>
        <v>4.830102347859988E-2</v>
      </c>
      <c r="J120" s="11"/>
    </row>
    <row r="121" spans="1:10" x14ac:dyDescent="0.25">
      <c r="A121" s="7" t="str">
        <f t="shared" ref="A121:B121" si="65">A88</f>
        <v>Innovation-DACHubs</v>
      </c>
      <c r="B121" s="7" t="str">
        <f t="shared" si="65"/>
        <v>1.5 Gt</v>
      </c>
      <c r="C121" s="11">
        <f t="shared" si="43"/>
        <v>5.3296609238066894E-2</v>
      </c>
      <c r="D121" s="11">
        <f t="shared" si="64"/>
        <v>3.0034551655996999E-2</v>
      </c>
      <c r="E121" s="11">
        <f>C121</f>
        <v>5.3296609238066894E-2</v>
      </c>
      <c r="F121" s="11"/>
      <c r="G121" s="11"/>
      <c r="H121" s="11"/>
      <c r="I121" s="11"/>
      <c r="J121" s="11"/>
    </row>
    <row r="122" spans="1:10" x14ac:dyDescent="0.25">
      <c r="A122" s="7" t="str">
        <f t="shared" ref="A122:B122" si="66">A89</f>
        <v>Innovation-maintain</v>
      </c>
      <c r="B122" s="7" t="str">
        <f t="shared" si="66"/>
        <v>1.5 Gt</v>
      </c>
      <c r="C122" s="11">
        <f t="shared" si="43"/>
        <v>4.5335644882663839E-2</v>
      </c>
      <c r="D122" s="11">
        <f t="shared" si="64"/>
        <v>1.661132846933655E-2</v>
      </c>
      <c r="E122" s="11">
        <f>C122</f>
        <v>4.5335644882663839E-2</v>
      </c>
      <c r="F122" s="11"/>
      <c r="G122" s="11"/>
      <c r="H122" s="11"/>
      <c r="I122" s="11"/>
      <c r="J122" s="11"/>
    </row>
    <row r="123" spans="1:10" x14ac:dyDescent="0.25">
      <c r="A123" s="7" t="str">
        <f t="shared" ref="A123:B123" si="67">A90</f>
        <v>Innovation-rhodium18b</v>
      </c>
      <c r="B123" s="7" t="str">
        <f t="shared" si="67"/>
        <v>1.5 Gt</v>
      </c>
      <c r="C123" s="11">
        <f t="shared" si="43"/>
        <v>4.4784412514509597E-2</v>
      </c>
      <c r="D123" s="11">
        <f t="shared" si="64"/>
        <v>-1.6392791573464072E-3</v>
      </c>
      <c r="E123" s="11">
        <f>C123</f>
        <v>4.4784412514509597E-2</v>
      </c>
      <c r="F123" s="11"/>
      <c r="G123" s="11"/>
      <c r="H123" s="11"/>
      <c r="I123" s="11"/>
      <c r="J123" s="11"/>
    </row>
    <row r="124" spans="1:10" x14ac:dyDescent="0.25">
      <c r="A124" s="7" t="str">
        <f t="shared" ref="A124:B124" si="68">A91</f>
        <v>Innovation-rhodium6b</v>
      </c>
      <c r="B124" s="7" t="str">
        <f t="shared" si="68"/>
        <v>1.5 Gt</v>
      </c>
      <c r="C124" s="11">
        <f t="shared" si="43"/>
        <v>4.5592785399058089E-2</v>
      </c>
      <c r="D124" s="11">
        <f t="shared" si="64"/>
        <v>2.5921629907545318E-2</v>
      </c>
      <c r="E124" s="11">
        <f>C124</f>
        <v>4.5592785399058089E-2</v>
      </c>
      <c r="F124" s="11"/>
      <c r="G124" s="11"/>
      <c r="H124" s="11"/>
      <c r="I124" s="11"/>
      <c r="J124" s="11"/>
    </row>
    <row r="125" spans="1:10" x14ac:dyDescent="0.25">
      <c r="A125" s="7" t="str">
        <f t="shared" ref="A125:B125" si="69">A92</f>
        <v>Innovation-triple</v>
      </c>
      <c r="B125" s="7" t="str">
        <f t="shared" si="69"/>
        <v>1.5 Gt</v>
      </c>
      <c r="C125" s="11">
        <f t="shared" si="43"/>
        <v>4.3713335257698827E-2</v>
      </c>
      <c r="D125" s="11">
        <f t="shared" si="64"/>
        <v>5.2812324074540395E-3</v>
      </c>
      <c r="E125" s="11">
        <f>C125</f>
        <v>4.3713335257698827E-2</v>
      </c>
      <c r="F125" s="11"/>
      <c r="G125" s="11"/>
      <c r="H125" s="11"/>
      <c r="I125" s="11"/>
      <c r="J125" s="11"/>
    </row>
    <row r="126" spans="1:10" x14ac:dyDescent="0.25">
      <c r="A126" s="7" t="str">
        <f t="shared" ref="A126:B126" si="70">A93</f>
        <v>Procure3B</v>
      </c>
      <c r="B126" s="7" t="str">
        <f t="shared" si="70"/>
        <v>1.5 Gt</v>
      </c>
      <c r="C126" s="11">
        <f t="shared" si="43"/>
        <v>5.8662341319144273E-2</v>
      </c>
      <c r="D126" s="11">
        <f t="shared" si="64"/>
        <v>1.1236011741936558E-2</v>
      </c>
      <c r="E126" s="11"/>
      <c r="F126" s="11"/>
      <c r="G126" s="11">
        <f>C126</f>
        <v>5.8662341319144273E-2</v>
      </c>
      <c r="H126" s="11"/>
      <c r="I126" s="11"/>
      <c r="J126" s="11"/>
    </row>
    <row r="127" spans="1:10" x14ac:dyDescent="0.25">
      <c r="A127" s="7" t="str">
        <f t="shared" ref="A127:B127" si="71">A94</f>
        <v>ProcureRhodium</v>
      </c>
      <c r="B127" s="7" t="str">
        <f t="shared" si="71"/>
        <v>1.5 Gt</v>
      </c>
      <c r="C127" s="11">
        <f t="shared" si="43"/>
        <v>0.17146419690437154</v>
      </c>
      <c r="D127" s="11">
        <f t="shared" si="64"/>
        <v>4.3829892274163118E-3</v>
      </c>
      <c r="E127" s="11"/>
      <c r="F127" s="11"/>
      <c r="G127" s="11">
        <f>C127</f>
        <v>0.17146419690437154</v>
      </c>
      <c r="H127" s="11"/>
      <c r="I127" s="11"/>
      <c r="J127" s="11"/>
    </row>
    <row r="128" spans="1:10" x14ac:dyDescent="0.25">
      <c r="A128" s="7" t="str">
        <f t="shared" ref="A128:B128" si="72">A95</f>
        <v>ProcureScaling</v>
      </c>
      <c r="B128" s="7" t="str">
        <f t="shared" si="72"/>
        <v>1.5 Gt</v>
      </c>
      <c r="C128" s="11">
        <f t="shared" si="43"/>
        <v>5.0354123932588202E-2</v>
      </c>
      <c r="D128" s="11">
        <f t="shared" si="64"/>
        <v>1.5607277067723579E-2</v>
      </c>
      <c r="E128" s="11"/>
      <c r="F128" s="11"/>
      <c r="G128" s="11">
        <f>C128</f>
        <v>5.0354123932588202E-2</v>
      </c>
      <c r="H128" s="11"/>
      <c r="I128" s="11"/>
      <c r="J128" s="11"/>
    </row>
    <row r="129" spans="1:10" x14ac:dyDescent="0.25">
      <c r="A129" s="7" t="str">
        <f t="shared" ref="A129:B129" si="73">A96</f>
        <v>2.4 Gt Baseline</v>
      </c>
      <c r="B129" s="7" t="str">
        <f t="shared" si="73"/>
        <v>2.4 Gt</v>
      </c>
      <c r="C129" s="11">
        <f t="shared" si="43"/>
        <v>6.0359049607894066E-2</v>
      </c>
      <c r="D129" s="11">
        <f t="shared" si="64"/>
        <v>-2.1957027168099885E-2</v>
      </c>
      <c r="E129" s="11"/>
      <c r="F129" s="11"/>
      <c r="G129" s="11"/>
      <c r="H129" s="11"/>
      <c r="I129" s="11">
        <f>C129</f>
        <v>6.0359049607894066E-2</v>
      </c>
      <c r="J129" s="11"/>
    </row>
    <row r="130" spans="1:10" x14ac:dyDescent="0.25">
      <c r="A130" s="7" t="str">
        <f t="shared" ref="A130:B130" si="74">A97</f>
        <v>4.1 Gt Baseline</v>
      </c>
      <c r="B130" s="7" t="str">
        <f t="shared" si="74"/>
        <v>4.1 Gt</v>
      </c>
      <c r="C130" s="11">
        <f t="shared" si="43"/>
        <v>8.7254683546111433E-2</v>
      </c>
      <c r="D130" s="11">
        <f t="shared" si="64"/>
        <v>0.30992141669265538</v>
      </c>
      <c r="E130" s="11"/>
      <c r="F130" s="11"/>
      <c r="G130" s="11"/>
      <c r="H130" s="11"/>
      <c r="I130" s="11">
        <f>C130</f>
        <v>8.7254683546111433E-2</v>
      </c>
      <c r="J130" s="11"/>
    </row>
    <row r="131" spans="1:10" x14ac:dyDescent="0.25">
      <c r="A131" s="7" t="str">
        <f t="shared" ref="A131:B131" si="75">A98</f>
        <v>45Q-2040-maintain-l</v>
      </c>
      <c r="B131" s="7" t="str">
        <f t="shared" si="75"/>
        <v>500 Mt</v>
      </c>
      <c r="C131" s="11">
        <f t="shared" si="43"/>
        <v>2.9431186683917199E-2</v>
      </c>
      <c r="D131" s="11">
        <f t="shared" si="64"/>
        <v>7.8199073013818232E-3</v>
      </c>
      <c r="E131" s="11"/>
      <c r="F131" s="11"/>
      <c r="G131" s="11"/>
      <c r="H131" s="11">
        <f>C131</f>
        <v>2.9431186683917199E-2</v>
      </c>
      <c r="I131" s="11"/>
      <c r="J131" s="11"/>
    </row>
    <row r="132" spans="1:10" x14ac:dyDescent="0.25">
      <c r="A132" s="7" t="str">
        <f t="shared" ref="A132:B132" si="76">A99</f>
        <v>procure-scaling-maintain-h</v>
      </c>
      <c r="B132" s="7" t="str">
        <f t="shared" si="76"/>
        <v>1.5 Gt</v>
      </c>
      <c r="C132" s="11">
        <f t="shared" si="43"/>
        <v>4.983300307605032E-2</v>
      </c>
      <c r="D132" s="11">
        <f t="shared" si="64"/>
        <v>3.9508683522927468E-2</v>
      </c>
      <c r="E132" s="11"/>
      <c r="F132" s="11"/>
      <c r="G132" s="11"/>
      <c r="H132" s="11">
        <f>C132</f>
        <v>4.983300307605032E-2</v>
      </c>
      <c r="I132" s="11"/>
      <c r="J132" s="11"/>
    </row>
  </sheetData>
  <autoFilter ref="A1:H30" xr:uid="{66EF8D6B-AAC7-4D47-8A22-E3B6AC50568B}">
    <sortState xmlns:xlrd2="http://schemas.microsoft.com/office/spreadsheetml/2017/richdata2" ref="A16:H28">
      <sortCondition ref="A1:A30"/>
    </sortState>
  </autoFilter>
  <phoneticPr fontId="3" type="noConversion"/>
  <conditionalFormatting sqref="D2:D32 F2:F32 H2:I32">
    <cfRule type="colorScale" priority="3">
      <colorScale>
        <cfvo type="min"/>
        <cfvo type="num" val="0"/>
        <cfvo type="max"/>
        <color rgb="FF00B050"/>
        <color theme="0"/>
        <color rgb="FFC00000"/>
      </colorScale>
    </cfRule>
  </conditionalFormatting>
  <conditionalFormatting sqref="E41:Z41 E42:E45">
    <cfRule type="colorScale" priority="4">
      <colorScale>
        <cfvo type="min"/>
        <cfvo type="num" val="0"/>
        <cfvo type="max"/>
        <color rgb="FF00B050"/>
        <color theme="0"/>
        <color rgb="FFC00000"/>
      </colorScale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03C6B-D47C-4726-9D6A-E26E736B2F56}">
  <dimension ref="A1:AT35"/>
  <sheetViews>
    <sheetView tabSelected="1" workbookViewId="0">
      <selection activeCell="Q29" sqref="Q29"/>
    </sheetView>
  </sheetViews>
  <sheetFormatPr defaultRowHeight="15" x14ac:dyDescent="0.25"/>
  <cols>
    <col min="1" max="1" width="26.140625" bestFit="1" customWidth="1"/>
    <col min="2" max="2" width="8.5703125" bestFit="1" customWidth="1"/>
    <col min="3" max="3" width="9.42578125" hidden="1" customWidth="1"/>
    <col min="4" max="4" width="21" style="15" hidden="1" customWidth="1"/>
    <col min="5" max="5" width="14.140625" bestFit="1" customWidth="1"/>
    <col min="6" max="6" width="18.42578125" style="15" hidden="1" customWidth="1"/>
    <col min="8" max="8" width="0" style="15" hidden="1" customWidth="1"/>
    <col min="9" max="9" width="10.85546875" style="15" customWidth="1"/>
    <col min="11" max="11" width="0" hidden="1" customWidth="1"/>
  </cols>
  <sheetData>
    <row r="1" spans="1:46" x14ac:dyDescent="0.25">
      <c r="A1" t="s">
        <v>0</v>
      </c>
      <c r="B1" t="s">
        <v>28</v>
      </c>
      <c r="D1" s="15" t="s">
        <v>40</v>
      </c>
      <c r="E1" t="s">
        <v>90</v>
      </c>
      <c r="F1" s="15" t="s">
        <v>34</v>
      </c>
      <c r="G1" t="s">
        <v>91</v>
      </c>
      <c r="H1" s="15" t="s">
        <v>35</v>
      </c>
      <c r="I1" s="15" t="s">
        <v>92</v>
      </c>
      <c r="J1" t="s">
        <v>94</v>
      </c>
      <c r="K1" t="s">
        <v>41</v>
      </c>
    </row>
    <row r="2" spans="1:46" x14ac:dyDescent="0.25">
      <c r="A2" t="s">
        <v>27</v>
      </c>
      <c r="B2" t="s">
        <v>29</v>
      </c>
      <c r="D2" s="15">
        <v>4.9730839656855803</v>
      </c>
      <c r="E2" s="14"/>
      <c r="F2" s="15">
        <v>1.07999976827834</v>
      </c>
      <c r="G2" s="14"/>
      <c r="H2" s="15">
        <v>0.44036245439608102</v>
      </c>
      <c r="J2" s="14"/>
      <c r="K2">
        <v>0.789552850896448</v>
      </c>
    </row>
    <row r="3" spans="1:46" x14ac:dyDescent="0.25">
      <c r="A3" t="s">
        <v>1</v>
      </c>
      <c r="B3" t="s">
        <v>30</v>
      </c>
      <c r="C3">
        <v>0</v>
      </c>
      <c r="D3" s="15">
        <v>5.0718252254749698</v>
      </c>
      <c r="E3">
        <v>27.6213269143723</v>
      </c>
      <c r="F3" s="15">
        <v>1.10722548717476</v>
      </c>
      <c r="G3">
        <v>38.721957222405898</v>
      </c>
      <c r="H3" s="15">
        <v>0.45309060051576999</v>
      </c>
      <c r="I3" s="15">
        <v>43.944236486980699</v>
      </c>
      <c r="J3">
        <v>10.903288298281099</v>
      </c>
      <c r="K3">
        <v>0.79795728215863404</v>
      </c>
    </row>
    <row r="4" spans="1:46" x14ac:dyDescent="0.25">
      <c r="A4" t="s">
        <v>2</v>
      </c>
      <c r="B4" t="s">
        <v>30</v>
      </c>
      <c r="D4" s="15">
        <v>5.1320980384900201</v>
      </c>
      <c r="E4">
        <v>95.027857894321698</v>
      </c>
      <c r="F4" s="15">
        <v>1.11693365415379</v>
      </c>
      <c r="G4">
        <v>81.341564256248901</v>
      </c>
      <c r="H4" s="15">
        <v>0.45571974620314798</v>
      </c>
      <c r="I4" s="15">
        <v>66.213331230880897</v>
      </c>
      <c r="J4">
        <v>77.537456386603694</v>
      </c>
      <c r="K4">
        <v>0.80479714262603497</v>
      </c>
      <c r="O4" s="15"/>
      <c r="P4" s="15"/>
      <c r="Q4" s="15"/>
      <c r="R4" s="15"/>
      <c r="S4" s="15"/>
      <c r="T4" s="15"/>
      <c r="U4" s="15"/>
      <c r="W4" s="13"/>
      <c r="X4" s="13"/>
      <c r="Y4" s="13"/>
      <c r="Z4" s="13"/>
      <c r="AB4" s="13"/>
      <c r="AC4" s="13"/>
      <c r="AD4" s="15"/>
      <c r="AE4" s="15"/>
      <c r="AF4" s="15"/>
      <c r="AG4" s="15"/>
      <c r="AH4" s="15"/>
      <c r="AI4" s="13"/>
      <c r="AJ4" s="15"/>
      <c r="AK4" s="13"/>
      <c r="AL4" s="13"/>
      <c r="AN4" s="13"/>
      <c r="AO4" s="13"/>
      <c r="AP4" s="13"/>
      <c r="AQ4" s="13"/>
      <c r="AR4" s="13"/>
      <c r="AS4" s="15"/>
      <c r="AT4" s="13"/>
    </row>
    <row r="5" spans="1:46" x14ac:dyDescent="0.25">
      <c r="A5" t="s">
        <v>3</v>
      </c>
      <c r="B5" t="s">
        <v>30</v>
      </c>
      <c r="D5" s="15">
        <v>5.0642412818588598</v>
      </c>
      <c r="E5">
        <v>23.2656452481462</v>
      </c>
      <c r="F5" s="15">
        <v>1.10641859927185</v>
      </c>
      <c r="G5">
        <v>34.9056193109856</v>
      </c>
      <c r="H5" s="15">
        <v>0.45405916021112802</v>
      </c>
      <c r="I5" s="15">
        <v>47.160196832255302</v>
      </c>
      <c r="J5">
        <v>10.7774242857275</v>
      </c>
      <c r="K5">
        <v>0.79789188599007999</v>
      </c>
      <c r="P5" s="14"/>
      <c r="W5" s="12"/>
      <c r="X5" s="12"/>
      <c r="Y5" s="12"/>
      <c r="Z5" s="12"/>
      <c r="AB5" s="12"/>
      <c r="AC5" s="12"/>
      <c r="AI5" s="12"/>
      <c r="AK5" s="12"/>
      <c r="AL5" s="12"/>
      <c r="AN5" s="12"/>
      <c r="AO5" s="12"/>
      <c r="AP5" s="12"/>
      <c r="AQ5" s="12"/>
      <c r="AR5" s="12"/>
      <c r="AT5" s="12"/>
    </row>
    <row r="6" spans="1:46" x14ac:dyDescent="0.25">
      <c r="A6" t="s">
        <v>4</v>
      </c>
      <c r="B6" t="s">
        <v>30</v>
      </c>
      <c r="O6" s="15"/>
      <c r="P6" s="15"/>
      <c r="Q6" s="15"/>
      <c r="R6" s="15"/>
      <c r="S6" s="15"/>
      <c r="T6" s="15"/>
      <c r="U6" s="15"/>
      <c r="V6" s="15"/>
      <c r="W6" s="13"/>
      <c r="X6" s="13"/>
      <c r="Y6" s="13"/>
      <c r="Z6" s="13"/>
      <c r="AB6" s="13"/>
      <c r="AC6" s="13"/>
      <c r="AD6" s="15"/>
      <c r="AE6" s="15"/>
      <c r="AF6" s="15"/>
      <c r="AG6" s="15"/>
      <c r="AH6" s="15"/>
      <c r="AI6" s="13"/>
      <c r="AJ6" s="15"/>
      <c r="AK6" s="13"/>
      <c r="AL6" s="13"/>
      <c r="AM6" s="15"/>
      <c r="AN6" s="13"/>
      <c r="AO6" s="13"/>
      <c r="AP6" s="13"/>
      <c r="AQ6" s="13"/>
      <c r="AR6" s="13"/>
      <c r="AS6" s="15"/>
      <c r="AT6" s="13"/>
    </row>
    <row r="7" spans="1:46" x14ac:dyDescent="0.25">
      <c r="A7" t="s">
        <v>6</v>
      </c>
      <c r="B7" t="s">
        <v>30</v>
      </c>
      <c r="C7">
        <v>0</v>
      </c>
      <c r="D7" s="15">
        <v>5.0651494080027604</v>
      </c>
      <c r="E7">
        <v>20.740389676832901</v>
      </c>
      <c r="F7" s="15">
        <v>1.1039787764112901</v>
      </c>
      <c r="G7">
        <v>25.5345484743447</v>
      </c>
      <c r="H7" s="15">
        <v>0.452255957782705</v>
      </c>
      <c r="I7" s="15">
        <v>30.623022654211201</v>
      </c>
      <c r="J7">
        <v>12.6101540738449</v>
      </c>
      <c r="K7">
        <v>0.79975092624959898</v>
      </c>
      <c r="P7" s="14"/>
    </row>
    <row r="8" spans="1:46" x14ac:dyDescent="0.25">
      <c r="A8" t="s">
        <v>5</v>
      </c>
      <c r="B8" t="s">
        <v>30</v>
      </c>
      <c r="C8">
        <v>0</v>
      </c>
      <c r="D8">
        <v>5.0631788067440198</v>
      </c>
      <c r="E8">
        <v>21.4340104562195</v>
      </c>
      <c r="F8" s="15">
        <v>1.1020255007017501</v>
      </c>
      <c r="G8">
        <v>24.6661977907367</v>
      </c>
      <c r="H8" s="15">
        <v>0.44986187328295602</v>
      </c>
      <c r="I8" s="15">
        <v>25.579182243976302</v>
      </c>
      <c r="J8">
        <v>10.690108457101701</v>
      </c>
      <c r="K8">
        <v>0.79773916839968795</v>
      </c>
      <c r="O8" s="15"/>
      <c r="P8" s="15"/>
      <c r="Q8" s="15"/>
      <c r="R8" s="15"/>
      <c r="S8" s="15"/>
      <c r="T8" s="15"/>
      <c r="U8" s="15"/>
      <c r="V8" s="15"/>
      <c r="W8" s="13"/>
      <c r="X8" s="13"/>
      <c r="Y8" s="13"/>
      <c r="Z8" s="13"/>
      <c r="AB8" s="13"/>
      <c r="AC8" s="13"/>
      <c r="AD8" s="15"/>
      <c r="AE8" s="15"/>
      <c r="AF8" s="15"/>
      <c r="AG8" s="15"/>
      <c r="AH8" s="15"/>
      <c r="AI8" s="13"/>
      <c r="AJ8" s="15"/>
      <c r="AK8" s="13"/>
      <c r="AL8" s="13"/>
      <c r="AM8" s="15"/>
      <c r="AN8" s="13"/>
      <c r="AO8" s="13"/>
      <c r="AP8" s="13"/>
      <c r="AQ8" s="13"/>
      <c r="AR8" s="13"/>
      <c r="AS8" s="15"/>
      <c r="AT8" s="13"/>
    </row>
    <row r="9" spans="1:46" x14ac:dyDescent="0.25">
      <c r="A9" t="s">
        <v>8</v>
      </c>
      <c r="B9" t="s">
        <v>30</v>
      </c>
      <c r="C9">
        <v>0</v>
      </c>
      <c r="D9" s="13">
        <v>5.0717892080000002</v>
      </c>
      <c r="E9" s="12">
        <v>25.55107559</v>
      </c>
      <c r="F9" s="13">
        <v>1.1068180190000001</v>
      </c>
      <c r="G9">
        <v>32.946601970000003</v>
      </c>
      <c r="H9" s="13">
        <v>0.45191984499999999</v>
      </c>
      <c r="I9" s="13">
        <v>34.183176240000002</v>
      </c>
      <c r="J9">
        <v>6.5878222610000003</v>
      </c>
      <c r="K9">
        <v>0.79431296600000001</v>
      </c>
      <c r="O9" s="15"/>
      <c r="P9" s="15"/>
      <c r="Q9" s="15"/>
      <c r="R9" s="15"/>
      <c r="S9" s="15"/>
      <c r="T9" s="15"/>
      <c r="U9" s="15"/>
      <c r="V9" s="15"/>
      <c r="W9" s="13"/>
      <c r="X9" s="13"/>
      <c r="Y9" s="13"/>
      <c r="Z9" s="13"/>
      <c r="AB9" s="13"/>
      <c r="AC9" s="13"/>
      <c r="AD9" s="15"/>
      <c r="AE9" s="15"/>
      <c r="AF9" s="15"/>
      <c r="AG9" s="15"/>
      <c r="AH9" s="15"/>
      <c r="AI9" s="13"/>
      <c r="AJ9" s="15"/>
      <c r="AK9" s="13"/>
      <c r="AL9" s="13"/>
      <c r="AM9" s="15"/>
      <c r="AN9" s="13"/>
      <c r="AO9" s="13"/>
      <c r="AP9" s="13"/>
      <c r="AQ9" s="13"/>
      <c r="AR9" s="13"/>
      <c r="AS9" s="15"/>
      <c r="AT9" s="13"/>
    </row>
    <row r="10" spans="1:46" x14ac:dyDescent="0.25">
      <c r="A10" t="s">
        <v>7</v>
      </c>
      <c r="B10" t="s">
        <v>30</v>
      </c>
      <c r="C10">
        <v>0</v>
      </c>
      <c r="D10" s="13">
        <v>5.0654758229999999</v>
      </c>
      <c r="E10" s="12">
        <v>22.645549119999998</v>
      </c>
      <c r="F10" s="13">
        <v>1.1034140050000001</v>
      </c>
      <c r="G10">
        <v>27.13331105</v>
      </c>
      <c r="H10" s="13">
        <v>0.45035362499999998</v>
      </c>
      <c r="I10" s="13">
        <v>27.845083689999999</v>
      </c>
      <c r="J10">
        <v>9.0841009239999995</v>
      </c>
      <c r="K10">
        <v>0.79640503900000004</v>
      </c>
      <c r="P10" s="14"/>
    </row>
    <row r="11" spans="1:46" x14ac:dyDescent="0.25">
      <c r="A11" t="s">
        <v>9</v>
      </c>
      <c r="B11" t="s">
        <v>30</v>
      </c>
      <c r="C11">
        <v>0</v>
      </c>
      <c r="D11" s="13">
        <v>5.0644695789999998</v>
      </c>
      <c r="E11" s="12">
        <v>22.761987189999999</v>
      </c>
      <c r="F11" s="13">
        <v>1.1031711500000001</v>
      </c>
      <c r="G11">
        <v>27.269937800000001</v>
      </c>
      <c r="H11" s="13">
        <v>0.45034164900000001</v>
      </c>
      <c r="I11" s="13">
        <v>28.329187040000001</v>
      </c>
      <c r="J11">
        <v>8.5063978210000002</v>
      </c>
      <c r="K11">
        <v>0.79583269000000001</v>
      </c>
    </row>
    <row r="12" spans="1:46" x14ac:dyDescent="0.25">
      <c r="A12" t="s">
        <v>77</v>
      </c>
      <c r="B12" t="s">
        <v>30</v>
      </c>
      <c r="C12">
        <v>0</v>
      </c>
      <c r="D12" s="13">
        <v>5.0645889620000002</v>
      </c>
      <c r="E12" s="12">
        <v>20.58495898</v>
      </c>
      <c r="F12" s="13">
        <v>1.1015991060000001</v>
      </c>
      <c r="G12">
        <v>22.899921719999998</v>
      </c>
      <c r="H12" s="13">
        <v>0.44981676999999998</v>
      </c>
      <c r="I12" s="13">
        <v>24.134127639999999</v>
      </c>
      <c r="J12">
        <v>13.13710908</v>
      </c>
      <c r="K12">
        <v>0.80018215500000001</v>
      </c>
    </row>
    <row r="13" spans="1:46" x14ac:dyDescent="0.25">
      <c r="A13" t="s">
        <v>10</v>
      </c>
      <c r="B13" t="s">
        <v>30</v>
      </c>
      <c r="C13">
        <v>0</v>
      </c>
      <c r="D13">
        <v>5.0805945083972404</v>
      </c>
      <c r="E13">
        <v>26.462965375843101</v>
      </c>
      <c r="F13">
        <v>1.11220076960314</v>
      </c>
      <c r="G13">
        <v>38.516546691544299</v>
      </c>
      <c r="H13">
        <v>0.456646404935448</v>
      </c>
      <c r="I13">
        <v>48.6695660201867</v>
      </c>
      <c r="J13">
        <v>9.2006200346008296</v>
      </c>
      <c r="K13">
        <v>0.79650024563104205</v>
      </c>
    </row>
    <row r="14" spans="1:46" x14ac:dyDescent="0.25">
      <c r="A14" t="s">
        <v>11</v>
      </c>
      <c r="B14" t="s">
        <v>30</v>
      </c>
      <c r="C14">
        <v>0</v>
      </c>
      <c r="D14" s="13">
        <v>5.286561506</v>
      </c>
      <c r="E14" s="12">
        <v>96.268212980000001</v>
      </c>
      <c r="F14" s="13">
        <v>1.1998078539999999</v>
      </c>
      <c r="G14">
        <v>236.62134520000001</v>
      </c>
      <c r="H14" s="13">
        <v>0.510427517</v>
      </c>
      <c r="I14" s="13">
        <v>515.18468129999997</v>
      </c>
      <c r="J14">
        <v>1.9261438340000001</v>
      </c>
      <c r="K14">
        <v>0.79093702099999996</v>
      </c>
    </row>
    <row r="15" spans="1:46" x14ac:dyDescent="0.25">
      <c r="A15" t="s">
        <v>12</v>
      </c>
      <c r="B15" t="s">
        <v>30</v>
      </c>
      <c r="C15">
        <v>0</v>
      </c>
      <c r="D15" s="13">
        <v>5.0709044319999999</v>
      </c>
      <c r="E15" s="12">
        <v>23.4763971</v>
      </c>
      <c r="F15" s="13">
        <v>1.106159723</v>
      </c>
      <c r="G15">
        <v>29.835672110000001</v>
      </c>
      <c r="H15" s="13">
        <v>0.45247248099999998</v>
      </c>
      <c r="I15" s="13">
        <v>33.564098899999998</v>
      </c>
      <c r="J15">
        <v>10.19934523</v>
      </c>
      <c r="K15">
        <v>0.79736206600000004</v>
      </c>
    </row>
    <row r="16" spans="1:46" x14ac:dyDescent="0.25">
      <c r="A16" t="s">
        <v>1</v>
      </c>
      <c r="B16" t="s">
        <v>32</v>
      </c>
      <c r="C16">
        <v>0</v>
      </c>
      <c r="D16" s="15">
        <v>5.1811747714499097</v>
      </c>
      <c r="E16">
        <v>20.445962807488002</v>
      </c>
      <c r="F16" s="15">
        <v>1.1344925503854499</v>
      </c>
      <c r="G16">
        <v>33.296985967255303</v>
      </c>
      <c r="H16" s="15">
        <v>0.46492193565777301</v>
      </c>
      <c r="I16" s="15">
        <v>45.482460902694598</v>
      </c>
      <c r="J16">
        <v>4.2929028443568198</v>
      </c>
      <c r="K16">
        <v>0.80197587970054995</v>
      </c>
    </row>
    <row r="17" spans="1:11" x14ac:dyDescent="0.25">
      <c r="A17" t="s">
        <v>2</v>
      </c>
      <c r="B17" t="s">
        <v>32</v>
      </c>
      <c r="C17">
        <v>0</v>
      </c>
      <c r="D17" s="15">
        <v>5.2414073348661097</v>
      </c>
      <c r="E17">
        <v>62.001488876347999</v>
      </c>
      <c r="F17" s="15">
        <v>1.14596942451646</v>
      </c>
      <c r="G17">
        <v>73.808838074483504</v>
      </c>
      <c r="H17" s="15">
        <v>0.468332151856236</v>
      </c>
      <c r="I17" s="15">
        <v>75.181945791756903</v>
      </c>
      <c r="J17">
        <v>9.0041609658021802</v>
      </c>
      <c r="K17">
        <v>0.79733908932737696</v>
      </c>
    </row>
    <row r="18" spans="1:11" x14ac:dyDescent="0.25">
      <c r="A18" t="s">
        <v>3</v>
      </c>
      <c r="B18" t="s">
        <v>32</v>
      </c>
      <c r="C18">
        <v>0</v>
      </c>
      <c r="D18" s="15">
        <v>5.1754846755394803</v>
      </c>
      <c r="E18">
        <v>18.358116920014702</v>
      </c>
      <c r="F18" s="15">
        <v>1.1343808780025699</v>
      </c>
      <c r="G18">
        <v>29.945423567779098</v>
      </c>
      <c r="H18" s="15">
        <v>0.46670096287577201</v>
      </c>
      <c r="I18" s="15">
        <v>44.9719994818999</v>
      </c>
      <c r="J18">
        <v>4.5299326625634597</v>
      </c>
      <c r="K18">
        <v>0.80271254928786895</v>
      </c>
    </row>
    <row r="19" spans="1:11" x14ac:dyDescent="0.25">
      <c r="A19" t="s">
        <v>4</v>
      </c>
      <c r="B19" t="s">
        <v>32</v>
      </c>
    </row>
    <row r="20" spans="1:11" x14ac:dyDescent="0.25">
      <c r="A20" t="s">
        <v>78</v>
      </c>
      <c r="B20" t="s">
        <v>32</v>
      </c>
      <c r="C20">
        <v>0</v>
      </c>
      <c r="D20" s="15">
        <v>5.2054763144523601</v>
      </c>
      <c r="E20">
        <v>19.569169104060201</v>
      </c>
      <c r="F20" s="15">
        <v>1.1315450470849799</v>
      </c>
      <c r="G20">
        <v>24.7795344738106</v>
      </c>
      <c r="H20" s="15">
        <v>0.46163241164495999</v>
      </c>
      <c r="I20" s="15">
        <v>29.445243255130102</v>
      </c>
      <c r="J20">
        <v>8.4504572715756492</v>
      </c>
      <c r="K20">
        <v>0.81490689546323802</v>
      </c>
    </row>
    <row r="21" spans="1:11" x14ac:dyDescent="0.25">
      <c r="A21" t="s">
        <v>6</v>
      </c>
      <c r="B21" t="s">
        <v>32</v>
      </c>
      <c r="C21">
        <v>0</v>
      </c>
      <c r="D21" s="13">
        <v>5.2021279229999999</v>
      </c>
      <c r="E21" s="12">
        <v>19.347934510000002</v>
      </c>
      <c r="F21" s="13">
        <v>1.1332403150000001</v>
      </c>
      <c r="G21">
        <v>25.7031423</v>
      </c>
      <c r="H21" s="13">
        <v>0.46383227999999999</v>
      </c>
      <c r="I21" s="13">
        <v>32.714646649999999</v>
      </c>
      <c r="J21">
        <v>7.9367565070000001</v>
      </c>
      <c r="K21">
        <v>0.81326671699999997</v>
      </c>
    </row>
    <row r="22" spans="1:11" x14ac:dyDescent="0.25">
      <c r="A22" t="s">
        <v>5</v>
      </c>
      <c r="B22" t="s">
        <v>32</v>
      </c>
      <c r="C22">
        <v>0</v>
      </c>
      <c r="D22" s="15">
        <v>5.1720279541023402</v>
      </c>
      <c r="E22">
        <v>17.426437752642599</v>
      </c>
      <c r="F22" s="15">
        <v>1.1272007430390301</v>
      </c>
      <c r="G22">
        <v>23.678534872133099</v>
      </c>
      <c r="H22" s="15">
        <v>0.46032657024823997</v>
      </c>
      <c r="I22" s="15">
        <v>28.918131262142602</v>
      </c>
      <c r="J22">
        <v>4.5221188649834598</v>
      </c>
      <c r="K22">
        <v>0.80266837264658997</v>
      </c>
    </row>
    <row r="23" spans="1:11" x14ac:dyDescent="0.25">
      <c r="A23" t="s">
        <v>8</v>
      </c>
      <c r="B23" t="s">
        <v>32</v>
      </c>
      <c r="C23">
        <v>0</v>
      </c>
      <c r="D23" s="13">
        <v>5.1380938110000001</v>
      </c>
      <c r="E23" s="12">
        <v>15.27203439</v>
      </c>
      <c r="F23" s="13">
        <v>1.1249029639999999</v>
      </c>
      <c r="G23">
        <v>24.125784410000001</v>
      </c>
      <c r="H23" s="13">
        <v>0.46008382799999997</v>
      </c>
      <c r="I23" s="13">
        <v>30.949524270000001</v>
      </c>
      <c r="J23">
        <v>-0.46285562499999999</v>
      </c>
      <c r="K23">
        <v>0.78825855300000003</v>
      </c>
    </row>
    <row r="24" spans="1:11" x14ac:dyDescent="0.25">
      <c r="A24" t="s">
        <v>7</v>
      </c>
      <c r="B24" t="s">
        <v>32</v>
      </c>
      <c r="C24">
        <v>0</v>
      </c>
      <c r="D24" s="13">
        <v>5.1823334040000004</v>
      </c>
      <c r="E24" s="12">
        <v>18.711380139999999</v>
      </c>
      <c r="F24" s="13">
        <v>1.1285106090000001</v>
      </c>
      <c r="G24">
        <v>24.987148120000001</v>
      </c>
      <c r="H24" s="13">
        <v>0.46043980499999998</v>
      </c>
      <c r="I24" s="13">
        <v>29.987806639999999</v>
      </c>
      <c r="J24">
        <v>7.1441239029999997</v>
      </c>
      <c r="K24">
        <v>0.81001934799999997</v>
      </c>
    </row>
    <row r="25" spans="1:11" x14ac:dyDescent="0.25">
      <c r="A25" t="s">
        <v>9</v>
      </c>
      <c r="B25" t="s">
        <v>32</v>
      </c>
      <c r="C25">
        <v>0</v>
      </c>
      <c r="D25">
        <v>5.1482869367792903</v>
      </c>
      <c r="E25">
        <v>15.835044158128801</v>
      </c>
      <c r="F25" s="15">
        <v>1.1244094454515099</v>
      </c>
      <c r="G25">
        <v>23.1174271692107</v>
      </c>
      <c r="H25" s="15">
        <v>0.45961216642442498</v>
      </c>
      <c r="I25" s="15">
        <v>29.111208619908201</v>
      </c>
      <c r="J25">
        <v>1.4728076194878099</v>
      </c>
      <c r="K25">
        <v>0.79372266328449603</v>
      </c>
    </row>
    <row r="26" spans="1:11" x14ac:dyDescent="0.25">
      <c r="A26" t="s">
        <v>10</v>
      </c>
      <c r="B26" t="s">
        <v>32</v>
      </c>
      <c r="C26">
        <v>0</v>
      </c>
      <c r="D26" s="13">
        <v>5.1755467060000004</v>
      </c>
      <c r="E26" s="12">
        <v>18.116868790000002</v>
      </c>
      <c r="F26" s="13">
        <v>1.1348238129999999</v>
      </c>
      <c r="G26">
        <v>28.633791110000001</v>
      </c>
      <c r="H26" s="13">
        <v>0.46619514699999998</v>
      </c>
      <c r="I26" s="13">
        <v>40.0745121</v>
      </c>
      <c r="J26">
        <v>3.0910263379999998</v>
      </c>
      <c r="K26">
        <v>0.79842427599999999</v>
      </c>
    </row>
    <row r="27" spans="1:11" x14ac:dyDescent="0.25">
      <c r="A27" t="s">
        <v>11</v>
      </c>
      <c r="B27" t="s">
        <v>32</v>
      </c>
      <c r="C27">
        <v>0</v>
      </c>
      <c r="D27" s="13">
        <v>5.3051976759999997</v>
      </c>
      <c r="E27" s="12">
        <v>33.128009290000001</v>
      </c>
      <c r="F27" s="13">
        <v>1.2083411369999999</v>
      </c>
      <c r="G27">
        <v>81.360565600000001</v>
      </c>
      <c r="H27" s="13">
        <v>0.51586884899999996</v>
      </c>
      <c r="I27" s="13">
        <v>164.08104309999999</v>
      </c>
      <c r="J27">
        <v>1.304060145</v>
      </c>
      <c r="K27">
        <v>0.79301345300000003</v>
      </c>
    </row>
    <row r="28" spans="1:11" x14ac:dyDescent="0.25">
      <c r="A28" t="s">
        <v>12</v>
      </c>
      <c r="B28" t="s">
        <v>32</v>
      </c>
      <c r="C28">
        <v>0</v>
      </c>
      <c r="D28" s="13">
        <v>5.1756637650000004</v>
      </c>
      <c r="E28" s="12">
        <v>17.85055715</v>
      </c>
      <c r="F28" s="13">
        <v>1.130386648</v>
      </c>
      <c r="G28">
        <v>25.60012553</v>
      </c>
      <c r="H28" s="13">
        <v>0.46253652000000001</v>
      </c>
      <c r="I28" s="13">
        <v>32.824176229999999</v>
      </c>
      <c r="J28">
        <v>4.2508096210000001</v>
      </c>
      <c r="K28">
        <v>0.80187562099999998</v>
      </c>
    </row>
    <row r="29" spans="1:11" x14ac:dyDescent="0.25">
      <c r="A29" t="s">
        <v>86</v>
      </c>
      <c r="B29" t="s">
        <v>30</v>
      </c>
      <c r="D29" s="15">
        <v>5.0725826731804204</v>
      </c>
      <c r="E29">
        <v>29.823509196133301</v>
      </c>
      <c r="F29" s="15">
        <v>1.1081362508291801</v>
      </c>
      <c r="G29">
        <v>43.116454250674302</v>
      </c>
      <c r="H29" s="15">
        <v>0.45332284366550502</v>
      </c>
      <c r="I29" s="15">
        <v>48.172775998924898</v>
      </c>
      <c r="J29">
        <v>8.4505067564480001</v>
      </c>
      <c r="K29">
        <v>0.77221661699999999</v>
      </c>
    </row>
    <row r="30" spans="1:11" x14ac:dyDescent="0.25">
      <c r="A30" t="s">
        <v>87</v>
      </c>
      <c r="B30" t="s">
        <v>32</v>
      </c>
      <c r="C30">
        <v>0</v>
      </c>
      <c r="D30" s="13">
        <v>5.1996172930000002</v>
      </c>
      <c r="E30" s="12">
        <v>20.97024313</v>
      </c>
      <c r="F30" s="13">
        <v>1.1320706599999999</v>
      </c>
      <c r="G30">
        <v>27.82413468</v>
      </c>
      <c r="H30" s="13">
        <v>0.462307038</v>
      </c>
      <c r="I30" s="13">
        <v>34.255471919999998</v>
      </c>
      <c r="J30">
        <v>11.37092958</v>
      </c>
      <c r="K30">
        <v>1.034252189</v>
      </c>
    </row>
    <row r="31" spans="1:11" x14ac:dyDescent="0.25">
      <c r="K31">
        <v>0.79572708115977397</v>
      </c>
    </row>
    <row r="32" spans="1:11" x14ac:dyDescent="0.25">
      <c r="K32">
        <v>0.82074704499999995</v>
      </c>
    </row>
    <row r="34" spans="1:10" x14ac:dyDescent="0.25">
      <c r="A34" t="s">
        <v>25</v>
      </c>
      <c r="B34" t="s">
        <v>31</v>
      </c>
      <c r="C34">
        <v>0</v>
      </c>
      <c r="D34" s="13">
        <v>5.1707489390000001</v>
      </c>
      <c r="E34" s="12">
        <v>10.3553224</v>
      </c>
      <c r="F34" s="13">
        <v>1.13540489</v>
      </c>
      <c r="G34">
        <v>17.558327760000001</v>
      </c>
      <c r="H34" s="13">
        <v>0.46694231400000002</v>
      </c>
      <c r="I34" s="13">
        <v>25.800721169999999</v>
      </c>
      <c r="J34">
        <v>-3.299558598</v>
      </c>
    </row>
    <row r="35" spans="1:10" x14ac:dyDescent="0.25">
      <c r="A35" t="s">
        <v>26</v>
      </c>
      <c r="B35" t="s">
        <v>33</v>
      </c>
      <c r="C35">
        <v>0</v>
      </c>
      <c r="D35" s="13">
        <v>5.4085868460000004</v>
      </c>
      <c r="E35" s="12">
        <v>12.77316897</v>
      </c>
      <c r="F35" s="13">
        <v>1.1700898660000001</v>
      </c>
      <c r="G35">
        <v>17.155655410000001</v>
      </c>
      <c r="H35" s="13">
        <v>0.478786141</v>
      </c>
      <c r="I35" s="13">
        <v>24.32157226</v>
      </c>
      <c r="J35">
        <v>23.65954266</v>
      </c>
    </row>
  </sheetData>
  <conditionalFormatting sqref="D5:D12 D14:D16 D18:D30 D34:D35 D3 H5:I12 H14:I16 H18:I30 H34:I35 H3:I3 F5:F12 F14:F16 F18:F30 F34:F35 F3">
    <cfRule type="colorScale" priority="40">
      <colorScale>
        <cfvo type="min"/>
        <cfvo type="num" val="0"/>
        <cfvo type="max"/>
        <color rgb="FF00B050"/>
        <color theme="0"/>
        <color rgb="FFC00000"/>
      </colorScale>
    </cfRule>
  </conditionalFormatting>
  <conditionalFormatting sqref="E5:E12 E14:E16 E18:E30 E34:E35 E3">
    <cfRule type="colorScale" priority="46">
      <colorScale>
        <cfvo type="min"/>
        <cfvo type="num" val="0"/>
        <cfvo type="max"/>
        <color rgb="FF00B050"/>
        <color theme="0"/>
        <color rgb="FFC00000"/>
      </colorScale>
    </cfRule>
  </conditionalFormatting>
  <conditionalFormatting sqref="S4:Z4 AB4:AD4 AF4:AT4 Q4 S8:Z9 AB8:AD9 AF8:AT9 Q8:Q9 S6:Z6 AB6:AD6 AF6:AT6 Q6">
    <cfRule type="colorScale" priority="1">
      <colorScale>
        <cfvo type="min"/>
        <cfvo type="num" val="0"/>
        <cfvo type="max"/>
        <color rgb="FF00B050"/>
        <color theme="0"/>
        <color rgb="FFC00000"/>
      </colorScale>
    </cfRule>
  </conditionalFormatting>
  <conditionalFormatting sqref="S5:Z5 AB5:AD5 AF5:AT5 Q5">
    <cfRule type="colorScale" priority="2">
      <colorScale>
        <cfvo type="min"/>
        <cfvo type="num" val="0"/>
        <cfvo type="max"/>
        <color rgb="FF00B050"/>
        <color theme="0"/>
        <color rgb="FFC00000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Low</vt:lpstr>
      <vt:lpstr>High</vt:lpstr>
      <vt:lpstr>Plotting Marginal CostsBenefits</vt:lpstr>
      <vt:lpstr>Marginal C emissions</vt:lpstr>
      <vt:lpstr>Net-Zero Mandate</vt:lpstr>
      <vt:lpstr>CDR Cost Reduction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Preuss</dc:creator>
  <cp:lastModifiedBy>Nathan Preuss</cp:lastModifiedBy>
  <dcterms:created xsi:type="dcterms:W3CDTF">2025-10-29T16:38:10Z</dcterms:created>
  <dcterms:modified xsi:type="dcterms:W3CDTF">2026-09-17T15:41:53Z</dcterms:modified>
</cp:coreProperties>
</file>