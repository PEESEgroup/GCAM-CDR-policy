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AF783875-8691-4EAE-81AD-46777039A70E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5" l="1"/>
  <c r="D81" i="5"/>
  <c r="C82" i="5"/>
  <c r="J82" i="5" s="1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K89" i="5" s="1"/>
  <c r="D89" i="5"/>
  <c r="C90" i="5"/>
  <c r="K90" i="5" s="1"/>
  <c r="D90" i="5"/>
  <c r="C91" i="5"/>
  <c r="D91" i="5"/>
  <c r="C92" i="5"/>
  <c r="L92" i="5" s="1"/>
  <c r="D92" i="5"/>
  <c r="D80" i="5"/>
  <c r="C80" i="5"/>
  <c r="J80" i="5" s="1"/>
  <c r="C68" i="5"/>
  <c r="F68" i="5" s="1"/>
  <c r="D68" i="5"/>
  <c r="C69" i="5"/>
  <c r="D69" i="5"/>
  <c r="C70" i="5"/>
  <c r="D70" i="5"/>
  <c r="C71" i="5"/>
  <c r="D71" i="5"/>
  <c r="C72" i="5"/>
  <c r="D72" i="5"/>
  <c r="C73" i="5"/>
  <c r="D73" i="5"/>
  <c r="C74" i="5"/>
  <c r="E74" i="5" s="1"/>
  <c r="D74" i="5"/>
  <c r="C75" i="5"/>
  <c r="E75" i="5" s="1"/>
  <c r="D75" i="5"/>
  <c r="C76" i="5"/>
  <c r="D76" i="5"/>
  <c r="C77" i="5"/>
  <c r="G77" i="5" s="1"/>
  <c r="D77" i="5"/>
  <c r="C78" i="5"/>
  <c r="G78" i="5" s="1"/>
  <c r="D78" i="5"/>
  <c r="C79" i="5"/>
  <c r="D79" i="5"/>
  <c r="D67" i="5"/>
  <c r="C67" i="5"/>
  <c r="F67" i="5" s="1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C46" i="5"/>
  <c r="D46" i="5"/>
  <c r="C47" i="5"/>
  <c r="J47" i="5" s="1"/>
  <c r="D47" i="5"/>
  <c r="C48" i="5"/>
  <c r="D48" i="5"/>
  <c r="C49" i="5"/>
  <c r="D49" i="5"/>
  <c r="C50" i="5"/>
  <c r="I50" i="5" s="1"/>
  <c r="D50" i="5"/>
  <c r="C51" i="5"/>
  <c r="I51" i="5" s="1"/>
  <c r="D51" i="5"/>
  <c r="C52" i="5"/>
  <c r="I52" i="5" s="1"/>
  <c r="D52" i="5"/>
  <c r="C53" i="5"/>
  <c r="I53" i="5" s="1"/>
  <c r="D53" i="5"/>
  <c r="C54" i="5"/>
  <c r="K54" i="5" s="1"/>
  <c r="D54" i="5"/>
  <c r="C55" i="5"/>
  <c r="K55" i="5" s="1"/>
  <c r="D55" i="5"/>
  <c r="C56" i="5"/>
  <c r="D56" i="5"/>
  <c r="C57" i="5"/>
  <c r="L57" i="5" s="1"/>
  <c r="D57" i="5"/>
  <c r="D45" i="5"/>
  <c r="C45" i="5"/>
  <c r="C33" i="5"/>
  <c r="F33" i="5" s="1"/>
  <c r="D33" i="5"/>
  <c r="C34" i="5"/>
  <c r="F34" i="5" s="1"/>
  <c r="D34" i="5"/>
  <c r="C35" i="5"/>
  <c r="F35" i="5" s="1"/>
  <c r="D35" i="5"/>
  <c r="C36" i="5"/>
  <c r="E36" i="5" s="1"/>
  <c r="D36" i="5"/>
  <c r="C37" i="5"/>
  <c r="E37" i="5" s="1"/>
  <c r="D37" i="5"/>
  <c r="C38" i="5"/>
  <c r="E38" i="5" s="1"/>
  <c r="D38" i="5"/>
  <c r="C39" i="5"/>
  <c r="E39" i="5" s="1"/>
  <c r="D39" i="5"/>
  <c r="C40" i="5"/>
  <c r="E40" i="5" s="1"/>
  <c r="D40" i="5"/>
  <c r="C41" i="5"/>
  <c r="G41" i="5" s="1"/>
  <c r="D41" i="5"/>
  <c r="C42" i="5"/>
  <c r="D42" i="5"/>
  <c r="C43" i="5"/>
  <c r="G43" i="5" s="1"/>
  <c r="D43" i="5"/>
  <c r="C44" i="5"/>
  <c r="H44" i="5" s="1"/>
  <c r="D44" i="5"/>
  <c r="D32" i="5"/>
  <c r="C32" i="5"/>
  <c r="F32" i="5" s="1"/>
  <c r="A46" i="5"/>
  <c r="A51" i="5"/>
  <c r="A52" i="5"/>
  <c r="A53" i="5"/>
  <c r="A54" i="5"/>
  <c r="A55" i="5"/>
  <c r="A56" i="5"/>
  <c r="A57" i="5"/>
  <c r="A32" i="5"/>
  <c r="A67" i="5" s="1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D15" i="5"/>
  <c r="C15" i="5"/>
  <c r="A16" i="5"/>
  <c r="A17" i="5"/>
  <c r="A47" i="5" s="1"/>
  <c r="A18" i="5"/>
  <c r="A48" i="5" s="1"/>
  <c r="A19" i="5"/>
  <c r="A49" i="5" s="1"/>
  <c r="A20" i="5"/>
  <c r="A50" i="5" s="1"/>
  <c r="A21" i="5"/>
  <c r="A22" i="5"/>
  <c r="A23" i="5"/>
  <c r="A24" i="5"/>
  <c r="A25" i="5"/>
  <c r="A26" i="5"/>
  <c r="A27" i="5"/>
  <c r="A15" i="5"/>
  <c r="A45" i="5" s="1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A3" i="5"/>
  <c r="A33" i="5" s="1"/>
  <c r="A4" i="5"/>
  <c r="A34" i="5" s="1"/>
  <c r="A5" i="5"/>
  <c r="A35" i="5" s="1"/>
  <c r="A6" i="5"/>
  <c r="A36" i="5" s="1"/>
  <c r="A7" i="5"/>
  <c r="A37" i="5" s="1"/>
  <c r="A8" i="5"/>
  <c r="A38" i="5" s="1"/>
  <c r="A9" i="5"/>
  <c r="A39" i="5" s="1"/>
  <c r="A10" i="5"/>
  <c r="A40" i="5" s="1"/>
  <c r="A11" i="5"/>
  <c r="A41" i="5" s="1"/>
  <c r="A12" i="5"/>
  <c r="A42" i="5" s="1"/>
  <c r="A13" i="5"/>
  <c r="A43" i="5" s="1"/>
  <c r="A14" i="5"/>
  <c r="A44" i="5" s="1"/>
  <c r="A2" i="5"/>
  <c r="D2" i="5"/>
  <c r="C2" i="5"/>
  <c r="F2" i="5" s="1"/>
  <c r="I88" i="5"/>
  <c r="I87" i="5"/>
  <c r="I86" i="5"/>
  <c r="I85" i="5"/>
  <c r="I84" i="5"/>
  <c r="H79" i="5"/>
  <c r="G76" i="5"/>
  <c r="E73" i="5"/>
  <c r="E72" i="5"/>
  <c r="E71" i="5"/>
  <c r="F70" i="5"/>
  <c r="K91" i="5"/>
  <c r="J83" i="5"/>
  <c r="J81" i="5"/>
  <c r="F69" i="5"/>
  <c r="A66" i="5"/>
  <c r="Q2" i="3"/>
  <c r="P2" i="3"/>
  <c r="N2" i="3"/>
  <c r="O2" i="3"/>
  <c r="O7" i="3"/>
  <c r="O6" i="3"/>
  <c r="M2" i="3"/>
  <c r="K56" i="5"/>
  <c r="I49" i="5"/>
  <c r="J48" i="5"/>
  <c r="J46" i="5"/>
  <c r="J45" i="5"/>
  <c r="G42" i="5"/>
  <c r="A31" i="5"/>
  <c r="E8" i="6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0" i="2"/>
  <c r="J30" i="2"/>
  <c r="G30" i="2"/>
  <c r="F30" i="2"/>
  <c r="C30" i="2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M28" i="2" l="1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K25" i="5"/>
  <c r="K26" i="5"/>
  <c r="K24" i="5"/>
  <c r="L27" i="5"/>
  <c r="J18" i="5"/>
  <c r="J17" i="5"/>
  <c r="J16" i="5"/>
  <c r="J15" i="5"/>
  <c r="I20" i="5"/>
  <c r="I21" i="5"/>
  <c r="I22" i="5"/>
  <c r="I23" i="5"/>
  <c r="I19" i="5"/>
  <c r="E10" i="5"/>
  <c r="E6" i="5"/>
  <c r="F3" i="5"/>
  <c r="F4" i="5"/>
  <c r="F5" i="5"/>
  <c r="E7" i="5"/>
  <c r="E8" i="5"/>
  <c r="E9" i="5"/>
  <c r="G11" i="5"/>
  <c r="G12" i="5"/>
  <c r="G13" i="5"/>
  <c r="H14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</calcChain>
</file>

<file path=xl/sharedStrings.xml><?xml version="1.0" encoding="utf-8"?>
<sst xmlns="http://schemas.openxmlformats.org/spreadsheetml/2006/main" count="412" uniqueCount="91">
  <si>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</si>
  <si>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</si>
  <si>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</si>
  <si>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</si>
  <si>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</si>
  <si>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</si>
  <si>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</si>
  <si>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</si>
  <si>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</si>
  <si>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</si>
  <si>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</si>
  <si>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</si>
  <si>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</si>
  <si>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</si>
  <si>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</si>
  <si>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</si>
  <si>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</si>
  <si>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</si>
  <si>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</si>
  <si>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</si>
  <si>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</si>
  <si>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</si>
  <si>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</si>
  <si>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</si>
  <si>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</si>
  <si>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</si>
  <si>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</si>
  <si>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</si>
  <si>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</si>
  <si>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</si>
  <si>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</si>
  <si>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</si>
  <si>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</si>
  <si>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</si>
  <si>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</si>
  <si>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</si>
  <si>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</si>
  <si>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</si>
  <si>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</si>
  <si>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</si>
  <si>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</si>
  <si>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</si>
  <si>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</si>
  <si>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</si>
  <si>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</si>
  <si>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</si>
  <si>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</si>
  <si>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</si>
  <si>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</si>
  <si>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</si>
  <si>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</si>
  <si>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</si>
  <si>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</si>
  <si>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</si>
  <si>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</si>
  <si>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</si>
  <si>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</si>
  <si>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</si>
  <si>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</si>
  <si>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</si>
  <si>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</si>
  <si>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</si>
  <si>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</si>
  <si>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</si>
  <si>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</si>
  <si>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</si>
  <si>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</si>
  <si>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</si>
  <si>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</si>
  <si>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</si>
  <si>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</si>
  <si>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</si>
  <si>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</si>
  <si>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</si>
  <si>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</si>
  <si>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</si>
  <si>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</si>
  <si>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</si>
  <si>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Innovation - 1.5 Gt</t>
  </si>
  <si>
    <t>Subsidy - 1.5 Gt</t>
  </si>
  <si>
    <t>Procurement - 1.5 Gt</t>
  </si>
  <si>
    <t>Optimal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</si>
  <si>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</si>
  <si>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</si>
  <si>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</si>
  <si>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</si>
  <si>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</si>
  <si>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</si>
  <si>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</si>
  <si>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</si>
  <si>
    <t>Benefits have sign changed compared to Supplementary Tables 19-30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</si>
</sst>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CostsBenefits'!$E$2:$E$27</c:f>
              <c:numCache>
                <c:formatCode>General</c:formatCode>
                <c:ptCount val="26"/>
                <c:pt idx="4" formatCode="&quot;$&quot;#,##0.00_);[Red]\(&quot;$&quot;#,##0.00\)">
                  <c:v>0.41248126069827401</c:v>
                </c:pt>
                <c:pt idx="5" formatCode="&quot;$&quot;#,##0.00_);[Red]\(&quot;$&quot;#,##0.00\)">
                  <c:v>5.0253693987003301</c:v>
                </c:pt>
                <c:pt idx="6" formatCode="&quot;$&quot;#,##0.00_);[Red]\(&quot;$&quot;#,##0.00\)">
                  <c:v>12.921435586799699</c:v>
                </c:pt>
                <c:pt idx="7" formatCode="&quot;$&quot;#,##0.00_);[Red]\(&quot;$&quot;#,##0.00\)">
                  <c:v>8.0272493380455501</c:v>
                </c:pt>
                <c:pt idx="8" formatCode="&quot;$&quot;#,##0.00_);[Red]\(&quot;$&quot;#,##0.00\)">
                  <c:v>9.3501536406274504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CostsBenefits'!$F$2:$F$27</c:f>
              <c:numCache>
                <c:formatCode>"$"#,##0.00_);[Red]\("$"#,##0.00\)</c:formatCode>
                <c:ptCount val="26"/>
                <c:pt idx="0">
                  <c:v>24.009774422884199</c:v>
                </c:pt>
                <c:pt idx="1">
                  <c:v>48.914657028755293</c:v>
                </c:pt>
                <c:pt idx="2">
                  <c:v>18.6341071918974</c:v>
                </c:pt>
                <c:pt idx="3">
                  <c:v>107.357135510147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CostsBenefits'!$G$2:$G$27</c:f>
              <c:numCache>
                <c:formatCode>General</c:formatCode>
                <c:ptCount val="26"/>
                <c:pt idx="9" formatCode="&quot;$&quot;#,##0.00_);[Red]\(&quot;$&quot;#,##0.00\)">
                  <c:v>10.7175437780061</c:v>
                </c:pt>
                <c:pt idx="10" formatCode="&quot;$&quot;#,##0.00_);[Red]\(&quot;$&quot;#,##0.00\)">
                  <c:v>43.6877465457071</c:v>
                </c:pt>
                <c:pt idx="11" formatCode="&quot;$&quot;#,##0.00_);[Red]\(&quot;$&quot;#,##0.00\)">
                  <c:v>6.6404507534377402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CostsBenefits'!$H$2:$H$27</c:f>
              <c:numCache>
                <c:formatCode>General</c:formatCode>
                <c:ptCount val="26"/>
                <c:pt idx="12" formatCode="&quot;$&quot;#,##0.00_);[Red]\(&quot;$&quot;#,##0.00\)">
                  <c:v>29.063628096181301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CostsBenefits'!$I$2:$I$27</c:f>
              <c:numCache>
                <c:formatCode>General</c:formatCode>
                <c:ptCount val="26"/>
                <c:pt idx="17" formatCode="&quot;$&quot;#,##0.00_);[Red]\(&quot;$&quot;#,##0.00\)">
                  <c:v>0.8791931619102249</c:v>
                </c:pt>
                <c:pt idx="18" formatCode="&quot;$&quot;#,##0.00_);[Red]\(&quot;$&quot;#,##0.00\)">
                  <c:v>8.6747509489999999</c:v>
                </c:pt>
                <c:pt idx="19" formatCode="&quot;$&quot;#,##0.00_);[Red]\(&quot;$&quot;#,##0.00\)">
                  <c:v>21.894339179999999</c:v>
                </c:pt>
                <c:pt idx="20" formatCode="&quot;$&quot;#,##0.00_);[Red]\(&quot;$&quot;#,##0.00\)">
                  <c:v>13.872357640000001</c:v>
                </c:pt>
                <c:pt idx="21" formatCode="&quot;$&quot;#,##0.00_);[Red]\(&quot;$&quot;#,##0.00\)">
                  <c:v>15.910768729999999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CostsBenefits'!$J$2:$J$27</c:f>
              <c:numCache>
                <c:formatCode>General</c:formatCode>
                <c:ptCount val="26"/>
                <c:pt idx="13" formatCode="&quot;$&quot;#,##0.00_);[Red]\(&quot;$&quot;#,##0.00\)">
                  <c:v>44.358724472512797</c:v>
                </c:pt>
                <c:pt idx="14" formatCode="&quot;$&quot;#,##0.00_);[Red]\(&quot;$&quot;#,##0.00\)">
                  <c:v>118.63645174144401</c:v>
                </c:pt>
                <c:pt idx="15" formatCode="&quot;$&quot;#,##0.00_);[Red]\(&quot;$&quot;#,##0.00\)">
                  <c:v>26.414789086624101</c:v>
                </c:pt>
                <c:pt idx="16" formatCode="&quot;$&quot;#,##0.00_);[Red]\(&quot;$&quot;#,##0.00\)">
                  <c:v>244.02110904411501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CostsBenefits'!$K$2:$K$27</c:f>
              <c:numCache>
                <c:formatCode>General</c:formatCode>
                <c:ptCount val="26"/>
                <c:pt idx="22" formatCode="&quot;$&quot;#,##0.00_);[Red]\(&quot;$&quot;#,##0.00\)">
                  <c:v>16.549278579999999</c:v>
                </c:pt>
                <c:pt idx="23" formatCode="&quot;$&quot;#,##0.00_);[Red]\(&quot;$&quot;#,##0.00\)">
                  <c:v>50.271576977978299</c:v>
                </c:pt>
                <c:pt idx="24" formatCode="&quot;$&quot;#,##0.00_);[Red]\(&quot;$&quot;#,##0.00\)">
                  <c:v>11.192743119999999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-11.664787219482399</c:v>
                </c:pt>
              </c:numCache>
            </c:numRef>
          </c:xVal>
          <c:yVal>
            <c:numRef>
              <c:f>'Plotting Marginal CostsBenefits'!$L$2:$L$27</c:f>
              <c:numCache>
                <c:formatCode>General</c:formatCode>
                <c:ptCount val="26"/>
                <c:pt idx="25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CostsBenefits'!$E$32:$E$57</c:f>
              <c:numCache>
                <c:formatCode>General</c:formatCode>
                <c:ptCount val="26"/>
                <c:pt idx="4" formatCode="&quot;$&quot;#,##0.00_);[Red]\(&quot;$&quot;#,##0.00\)">
                  <c:v>0.62911242305952997</c:v>
                </c:pt>
                <c:pt idx="5" formatCode="&quot;$&quot;#,##0.00_);[Red]\(&quot;$&quot;#,##0.00\)">
                  <c:v>24.1876785360786</c:v>
                </c:pt>
                <c:pt idx="6" formatCode="&quot;$&quot;#,##0.00_);[Red]\(&quot;$&quot;#,##0.00\)">
                  <c:v>58.217953069988795</c:v>
                </c:pt>
                <c:pt idx="7" formatCode="&quot;$&quot;#,##0.00_);[Red]\(&quot;$&quot;#,##0.00\)">
                  <c:v>36.532335702793603</c:v>
                </c:pt>
                <c:pt idx="8" formatCode="&quot;$&quot;#,##0.00_);[Red]\(&quot;$&quot;#,##0.00\)">
                  <c:v>43.040120277630102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CostsBenefits'!$F$32:$F$57</c:f>
              <c:numCache>
                <c:formatCode>"$"#,##0.00_);[Red]\("$"#,##0.00\)</c:formatCode>
                <c:ptCount val="26"/>
                <c:pt idx="0">
                  <c:v>87.041623714157296</c:v>
                </c:pt>
                <c:pt idx="1">
                  <c:v>277.18941464709002</c:v>
                </c:pt>
                <c:pt idx="2">
                  <c:v>52.7127567252818</c:v>
                </c:pt>
                <c:pt idx="3">
                  <c:v>568.35747058677691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CostsBenefits'!$G$32:$G$57</c:f>
              <c:numCache>
                <c:formatCode>General</c:formatCode>
                <c:ptCount val="26"/>
                <c:pt idx="9" formatCode="&quot;$&quot;#,##0.00_);[Red]\(&quot;$&quot;#,##0.00\)">
                  <c:v>38.255645925858296</c:v>
                </c:pt>
                <c:pt idx="10" formatCode="&quot;$&quot;#,##0.00_);[Red]\(&quot;$&quot;#,##0.00\)">
                  <c:v>118.894246448717</c:v>
                </c:pt>
                <c:pt idx="11" formatCode="&quot;$&quot;#,##0.00_);[Red]\(&quot;$&quot;#,##0.00\)">
                  <c:v>27.8477754083363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CostsBenefits'!$H$32:$H$57</c:f>
              <c:numCache>
                <c:formatCode>General</c:formatCode>
                <c:ptCount val="26"/>
                <c:pt idx="12" formatCode="&quot;$&quot;#,##0.00_);[Red]\(&quot;$&quot;#,##0.00\)">
                  <c:v>110.89849631853801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CostsBenefits'!$I$32:$I$57</c:f>
              <c:numCache>
                <c:formatCode>General</c:formatCode>
                <c:ptCount val="26"/>
                <c:pt idx="17" formatCode="&quot;$&quot;#,##0.00_);[Red]\(&quot;$&quot;#,##0.00\)">
                  <c:v>3.7271947617020902</c:v>
                </c:pt>
                <c:pt idx="18" formatCode="&quot;$&quot;#,##0.00_);[Red]\(&quot;$&quot;#,##0.00\)">
                  <c:v>45.921597500000004</c:v>
                </c:pt>
                <c:pt idx="19" formatCode="&quot;$&quot;#,##0.00_);[Red]\(&quot;$&quot;#,##0.00\)">
                  <c:v>107.0726366</c:v>
                </c:pt>
                <c:pt idx="20" formatCode="&quot;$&quot;#,##0.00_);[Red]\(&quot;$&quot;#,##0.00\)">
                  <c:v>69.242862210000013</c:v>
                </c:pt>
                <c:pt idx="21" formatCode="&quot;$&quot;#,##0.00_);[Red]\(&quot;$&quot;#,##0.00\)">
                  <c:v>81.117731169999999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CostsBenefits'!$J$32:$J$57</c:f>
              <c:numCache>
                <c:formatCode>General</c:formatCode>
                <c:ptCount val="26"/>
                <c:pt idx="13" formatCode="&quot;$&quot;#,##0.00_);[Red]\(&quot;$&quot;#,##0.00\)">
                  <c:v>169.78338393730101</c:v>
                </c:pt>
                <c:pt idx="14" formatCode="&quot;$&quot;#,##0.00_);[Red]\(&quot;$&quot;#,##0.00\)">
                  <c:v>754.77402503940107</c:v>
                </c:pt>
                <c:pt idx="15" formatCode="&quot;$&quot;#,##0.00_);[Red]\(&quot;$&quot;#,##0.00\)">
                  <c:v>85.029801215989494</c:v>
                </c:pt>
                <c:pt idx="16" formatCode="&quot;$&quot;#,##0.00_);[Red]\(&quot;$&quot;#,##0.00\)">
                  <c:v>1464.9897871615401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CostsBenefits'!$K$32:$K$57</c:f>
              <c:numCache>
                <c:formatCode>General</c:formatCode>
                <c:ptCount val="26"/>
                <c:pt idx="22" formatCode="&quot;$&quot;#,##0.00_);[Red]\(&quot;$&quot;#,##0.00\)">
                  <c:v>70.006101200000003</c:v>
                </c:pt>
                <c:pt idx="23" formatCode="&quot;$&quot;#,##0.00_);[Red]\(&quot;$&quot;#,##0.00\)">
                  <c:v>185.02690859979998</c:v>
                </c:pt>
                <c:pt idx="24" formatCode="&quot;$&quot;#,##0.00_);[Red]\(&quot;$&quot;#,##0.00\)">
                  <c:v>52.677846719999998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-15.116457684976199</c:v>
                </c:pt>
              </c:numCache>
            </c:numRef>
          </c:xVal>
          <c:yVal>
            <c:numRef>
              <c:f>'Plotting Marginal CostsBenefits'!$L$32:$L$57</c:f>
              <c:numCache>
                <c:formatCode>General</c:formatCode>
                <c:ptCount val="26"/>
                <c:pt idx="25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CostsBenefits'!$E$67:$E$92</c:f>
              <c:numCache>
                <c:formatCode>General</c:formatCode>
                <c:ptCount val="26"/>
                <c:pt idx="4" formatCode="&quot;$&quot;#,##0.00_);[Red]\(&quot;$&quot;#,##0.00\)">
                  <c:v>0.33561574049935</c:v>
                </c:pt>
                <c:pt idx="5" formatCode="&quot;$&quot;#,##0.00_);[Red]\(&quot;$&quot;#,##0.00\)">
                  <c:v>2.03674772368365</c:v>
                </c:pt>
                <c:pt idx="6" formatCode="&quot;$&quot;#,##0.00_);[Red]\(&quot;$&quot;#,##0.00\)">
                  <c:v>5.3638813822450304</c:v>
                </c:pt>
                <c:pt idx="7" formatCode="&quot;$&quot;#,##0.00_);[Red]\(&quot;$&quot;#,##0.00\)">
                  <c:v>3.2927796969207503</c:v>
                </c:pt>
                <c:pt idx="8" formatCode="&quot;$&quot;#,##0.00_);[Red]\(&quot;$&quot;#,##0.00\)">
                  <c:v>3.94821129977616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CostsBenefits'!$F$67:$F$92</c:f>
              <c:numCache>
                <c:formatCode>"$"#,##0.00_);[Red]\("$"#,##0.00\)</c:formatCode>
                <c:ptCount val="26"/>
                <c:pt idx="0">
                  <c:v>10.209740402372299</c:v>
                </c:pt>
                <c:pt idx="1">
                  <c:v>15.9803982211468</c:v>
                </c:pt>
                <c:pt idx="2">
                  <c:v>10.131117210587</c:v>
                </c:pt>
                <c:pt idx="3">
                  <c:v>37.918655503970797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CostsBenefits'!$G$67:$G$92</c:f>
              <c:numCache>
                <c:formatCode>General</c:formatCode>
                <c:ptCount val="26"/>
                <c:pt idx="9" formatCode="&quot;$&quot;#,##0.00_);[Red]\(&quot;$&quot;#,##0.00\)">
                  <c:v>5.7158742587877693</c:v>
                </c:pt>
                <c:pt idx="10" formatCode="&quot;$&quot;#,##0.00_);[Red]\(&quot;$&quot;#,##0.00\)">
                  <c:v>25.574064566239599</c:v>
                </c:pt>
                <c:pt idx="11" formatCode="&quot;$&quot;#,##0.00_);[Red]\(&quot;$&quot;#,##0.00\)">
                  <c:v>3.0937558246702901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CostsBenefits'!$H$67:$H$92</c:f>
              <c:numCache>
                <c:formatCode>General</c:formatCode>
                <c:ptCount val="26"/>
                <c:pt idx="12" formatCode="&quot;$&quot;#,##0.00_);[Red]\(&quot;$&quot;#,##0.00\)">
                  <c:v>12.2700831571496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CostsBenefits'!$I$67:$I$92</c:f>
              <c:numCache>
                <c:formatCode>General</c:formatCode>
                <c:ptCount val="26"/>
                <c:pt idx="17" formatCode="&quot;$&quot;#,##0.00_);[Red]\(&quot;$&quot;#,##0.00\)">
                  <c:v>0.49459745807002703</c:v>
                </c:pt>
                <c:pt idx="18" formatCode="&quot;$&quot;#,##0.00_);[Red]\(&quot;$&quot;#,##0.00\)">
                  <c:v>3.1989574539999999</c:v>
                </c:pt>
                <c:pt idx="19" formatCode="&quot;$&quot;#,##0.00_);[Red]\(&quot;$&quot;#,##0.00\)">
                  <c:v>8.5145423079999993</c:v>
                </c:pt>
                <c:pt idx="20" formatCode="&quot;$&quot;#,##0.00_);[Red]\(&quot;$&quot;#,##0.00\)">
                  <c:v>5.2839158260000003</c:v>
                </c:pt>
                <c:pt idx="21" formatCode="&quot;$&quot;#,##0.00_);[Red]\(&quot;$&quot;#,##0.00\)">
                  <c:v>6.1108874349999995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CostsBenefits'!$J$67:$J$92</c:f>
              <c:numCache>
                <c:formatCode>General</c:formatCode>
                <c:ptCount val="26"/>
                <c:pt idx="13" formatCode="&quot;$&quot;#,##0.00_);[Red]\(&quot;$&quot;#,##0.00\)">
                  <c:v>18.237934782227903</c:v>
                </c:pt>
                <c:pt idx="14" formatCode="&quot;$&quot;#,##0.00_);[Red]\(&quot;$&quot;#,##0.00\)">
                  <c:v>35.032953427482198</c:v>
                </c:pt>
                <c:pt idx="15" formatCode="&quot;$&quot;#,##0.00_);[Red]\(&quot;$&quot;#,##0.00\)">
                  <c:v>13.6691705387663</c:v>
                </c:pt>
                <c:pt idx="16" formatCode="&quot;$&quot;#,##0.00_);[Red]\(&quot;$&quot;#,##0.00\)">
                  <c:v>77.084450851909907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CostsBenefits'!$K$67:$K$92</c:f>
              <c:numCache>
                <c:formatCode>General</c:formatCode>
                <c:ptCount val="26"/>
                <c:pt idx="22" formatCode="&quot;$&quot;#,##0.00_);[Red]\(&quot;$&quot;#,##0.00\)">
                  <c:v>7.7739790500000003</c:v>
                </c:pt>
                <c:pt idx="23" formatCode="&quot;$&quot;#,##0.00_);[Red]\(&quot;$&quot;#,##0.00\)">
                  <c:v>26.217887908184199</c:v>
                </c:pt>
                <c:pt idx="24" formatCode="&quot;$&quot;#,##0.00_);[Red]\(&quot;$&quot;#,##0.00\)">
                  <c:v>4.6815642999999998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-9.7877637750826789</c:v>
                </c:pt>
              </c:numCache>
            </c:numRef>
          </c:xVal>
          <c:yVal>
            <c:numRef>
              <c:f>'Plotting Marginal CostsBenefits'!$L$67:$L$92</c:f>
              <c:numCache>
                <c:formatCode>General</c:formatCode>
                <c:ptCount val="26"/>
                <c:pt idx="25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microsoft.com/office/2014/relationships/chartEx" Target="../charts/chartEx1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152400</xdr:colOff>
      <xdr:row>4</xdr:row>
      <xdr:rowOff>142875</xdr:rowOff>
    </xdr:from>
    <xdr:to>
      <xdr:col>15</xdr:col>
      <xdr:colOff>238125</xdr:colOff>
      <xdr:row>29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273051</xdr:colOff>
      <xdr:row>19</xdr:row>
      <xdr:rowOff>152400</xdr:rowOff>
    </xdr:from>
    <xdr:to>
      <xdr:col>11</xdr:col>
      <xdr:colOff>561975</xdr:colOff>
      <xdr:row>23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285750</xdr:colOff>
      <xdr:row>12</xdr:row>
      <xdr:rowOff>47625</xdr:rowOff>
    </xdr:from>
    <xdr:to>
      <xdr:col>12</xdr:col>
      <xdr:colOff>381000</xdr:colOff>
      <xdr:row>19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581025</xdr:colOff>
      <xdr:row>22</xdr:row>
      <xdr:rowOff>47625</xdr:rowOff>
    </xdr:from>
    <xdr:to>
      <xdr:col>15</xdr:col>
      <xdr:colOff>228600</xdr:colOff>
      <xdr:row>23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52</xdr:row>
      <xdr:rowOff>85724</xdr:rowOff>
    </xdr:from>
    <xdr:to>
      <xdr:col>15</xdr:col>
      <xdr:colOff>352425</xdr:colOff>
      <xdr:row>54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190500</xdr:colOff>
      <xdr:row>41</xdr:row>
      <xdr:rowOff>107156</xdr:rowOff>
    </xdr:from>
    <xdr:to>
      <xdr:col>17</xdr:col>
      <xdr:colOff>529828</xdr:colOff>
      <xdr:row>52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352425</xdr:colOff>
      <xdr:row>52</xdr:row>
      <xdr:rowOff>9525</xdr:rowOff>
    </xdr:from>
    <xdr:to>
      <xdr:col>20</xdr:col>
      <xdr:colOff>28575</xdr:colOff>
      <xdr:row>54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90</xdr:row>
      <xdr:rowOff>57150</xdr:rowOff>
    </xdr:from>
    <xdr:to>
      <xdr:col>12</xdr:col>
      <xdr:colOff>133350</xdr:colOff>
      <xdr:row>92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0</xdr:colOff>
      <xdr:row>34</xdr:row>
      <xdr:rowOff>0</xdr:rowOff>
    </xdr:from>
    <xdr:to>
      <xdr:col>21</xdr:col>
      <xdr:colOff>202955</xdr:colOff>
      <xdr:row>58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204107</xdr:colOff>
      <xdr:row>51</xdr:row>
      <xdr:rowOff>68036</xdr:rowOff>
    </xdr:from>
    <xdr:to>
      <xdr:col>16</xdr:col>
      <xdr:colOff>353786</xdr:colOff>
      <xdr:row>53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190500</xdr:colOff>
      <xdr:row>43</xdr:row>
      <xdr:rowOff>122464</xdr:rowOff>
    </xdr:from>
    <xdr:to>
      <xdr:col>18</xdr:col>
      <xdr:colOff>503464</xdr:colOff>
      <xdr:row>51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326571</xdr:colOff>
      <xdr:row>53</xdr:row>
      <xdr:rowOff>13607</xdr:rowOff>
    </xdr:from>
    <xdr:to>
      <xdr:col>21</xdr:col>
      <xdr:colOff>136071</xdr:colOff>
      <xdr:row>53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66</xdr:row>
      <xdr:rowOff>0</xdr:rowOff>
    </xdr:from>
    <xdr:to>
      <xdr:col>22</xdr:col>
      <xdr:colOff>202956</xdr:colOff>
      <xdr:row>90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97972</xdr:colOff>
      <xdr:row>85</xdr:row>
      <xdr:rowOff>54429</xdr:rowOff>
    </xdr:from>
    <xdr:to>
      <xdr:col>17</xdr:col>
      <xdr:colOff>557893</xdr:colOff>
      <xdr:row>87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122465</xdr:colOff>
      <xdr:row>75</xdr:row>
      <xdr:rowOff>0</xdr:rowOff>
    </xdr:from>
    <xdr:to>
      <xdr:col>18</xdr:col>
      <xdr:colOff>571500</xdr:colOff>
      <xdr:row>85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557893</xdr:colOff>
      <xdr:row>86</xdr:row>
      <xdr:rowOff>54429</xdr:rowOff>
    </xdr:from>
    <xdr:to>
      <xdr:col>22</xdr:col>
      <xdr:colOff>68036</xdr:colOff>
      <xdr:row>87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zoomScaleNormal="100" workbookViewId="0">
      <selection activeCell="H39" sqref="H39"/>
    </sheetView>
  </sheetViews>
  <sheetFormatPr defaultRowHeight="15" x14ac:dyDescent="0.25"/>
  <cols>
    <col min="1" max="1" width="22.28515625" bestFit="1" customWidth="1"/>
    <col min="2" max="2" width="14.28515625" customWidth="1"/>
    <col min="3" max="3" width="12.85546875" customWidth="1"/>
    <col min="4" max="4" width="20" style="5" customWidth="1"/>
    <col min="5" max="5" width="20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88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43</v>
      </c>
      <c r="B15" s="6">
        <v>-110898.496318538</v>
      </c>
      <c r="C15" s="6">
        <v>70029.473247727205</v>
      </c>
      <c r="D15" s="5">
        <v>-1.58359746511641</v>
      </c>
      <c r="E15" s="6">
        <v>-40869.023070811098</v>
      </c>
      <c r="F15" s="6">
        <v>-29063.628096181299</v>
      </c>
      <c r="G15" s="6">
        <v>30483.9856203167</v>
      </c>
      <c r="H15" s="5">
        <v>-0.95340643635559297</v>
      </c>
      <c r="I15" s="6">
        <v>1420.3575241353999</v>
      </c>
      <c r="J15" s="6">
        <v>-12270.0831571496</v>
      </c>
      <c r="K15" s="6">
        <v>18658.255307640298</v>
      </c>
      <c r="L15" s="5">
        <v>-0.65762221359063699</v>
      </c>
      <c r="M15" s="6">
        <v>6388.17215049064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44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B2-B$33</f>
        <v>-87041.623714157293</v>
      </c>
      <c r="C18" s="6">
        <f>C2-C$33</f>
        <v>55215.053146678598</v>
      </c>
      <c r="D18" s="5">
        <f>B18/C18</f>
        <v>-1.5764111189557586</v>
      </c>
      <c r="E18" s="6">
        <f>B18+C18</f>
        <v>-31826.570567478695</v>
      </c>
      <c r="F18" s="6">
        <f>F2-F$33</f>
        <v>-24009.774422884198</v>
      </c>
      <c r="G18" s="6">
        <f>G2-G$33</f>
        <v>19507.666627389299</v>
      </c>
      <c r="H18" s="5">
        <f>F18/G18</f>
        <v>-1.2307865867040098</v>
      </c>
      <c r="I18" s="6">
        <f>F18+G18</f>
        <v>-4502.1077954948996</v>
      </c>
      <c r="J18" s="6">
        <f>J2-J$33</f>
        <v>-10209.740402372299</v>
      </c>
      <c r="K18" s="6">
        <f>K2-K$33</f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>B3-B$33</f>
        <v>-277189.41464709002</v>
      </c>
      <c r="C19" s="6">
        <f>C3-C$33</f>
        <v>272173.78966586111</v>
      </c>
      <c r="D19" s="5">
        <f t="shared" ref="D19:D30" si="0">B19/C19</f>
        <v>-1.0184280234602547</v>
      </c>
      <c r="E19" s="6">
        <f t="shared" ref="E19:E30" si="1">B19+C19</f>
        <v>-5015.6249812289025</v>
      </c>
      <c r="F19" s="6">
        <f>F3-F$33</f>
        <v>-48914.657028755297</v>
      </c>
      <c r="G19" s="6">
        <f>G3-G$33</f>
        <v>49024.1061810541</v>
      </c>
      <c r="H19" s="5">
        <f t="shared" ref="H19:H30" si="2">F19/G19</f>
        <v>-0.99776744216621538</v>
      </c>
      <c r="I19" s="6">
        <f t="shared" ref="I19:I30" si="3">F19+G19</f>
        <v>109.4491522988028</v>
      </c>
      <c r="J19" s="6">
        <f>J3-J$33</f>
        <v>-15980.398221146799</v>
      </c>
      <c r="K19" s="6">
        <f>K3-K$33</f>
        <v>16568.117338946591</v>
      </c>
      <c r="L19" s="5">
        <f t="shared" ref="L19:L30" si="4">J19/K19</f>
        <v>-0.96452710312364554</v>
      </c>
      <c r="M19" s="6">
        <f t="shared" ref="M19:M30" si="5">J19+K19</f>
        <v>587.719117799792</v>
      </c>
      <c r="N19" t="s">
        <v>24</v>
      </c>
    </row>
    <row r="20" spans="1:14" x14ac:dyDescent="0.25">
      <c r="A20" t="s">
        <v>3</v>
      </c>
      <c r="B20" s="6">
        <f>B4-B$33</f>
        <v>-52712.756725281797</v>
      </c>
      <c r="C20" s="6">
        <f>C4-C$33</f>
        <v>60824.649079375005</v>
      </c>
      <c r="D20" s="5">
        <f t="shared" si="0"/>
        <v>-0.86663478578384656</v>
      </c>
      <c r="E20" s="6">
        <f t="shared" si="1"/>
        <v>8111.8923540932083</v>
      </c>
      <c r="F20" s="6">
        <f>F4-F$33</f>
        <v>-18634.107191897401</v>
      </c>
      <c r="G20" s="6">
        <f>G4-G$33</f>
        <v>30778.911794356602</v>
      </c>
      <c r="H20" s="5">
        <f t="shared" si="2"/>
        <v>-0.60541799906369709</v>
      </c>
      <c r="I20" s="6">
        <f t="shared" si="3"/>
        <v>12144.8046024592</v>
      </c>
      <c r="J20" s="6">
        <f>J4-J$33</f>
        <v>-10131.117210586999</v>
      </c>
      <c r="K20" s="6">
        <f>K4-K$33</f>
        <v>19137.170013317693</v>
      </c>
      <c r="L20" s="5">
        <f t="shared" si="4"/>
        <v>-0.52939474350369897</v>
      </c>
      <c r="M20" s="6">
        <f t="shared" si="5"/>
        <v>9006.0528027306937</v>
      </c>
      <c r="N20" t="s">
        <v>24</v>
      </c>
    </row>
    <row r="21" spans="1:14" x14ac:dyDescent="0.25">
      <c r="A21" t="s">
        <v>4</v>
      </c>
      <c r="B21" s="6">
        <f>B5-B$33</f>
        <v>-568357.47058677697</v>
      </c>
      <c r="C21" s="6">
        <f>C5-C$33</f>
        <v>630342.79779581109</v>
      </c>
      <c r="D21" s="5">
        <f t="shared" si="0"/>
        <v>-0.90166409860510022</v>
      </c>
      <c r="E21" s="6">
        <f t="shared" si="1"/>
        <v>61985.32720903412</v>
      </c>
      <c r="F21" s="6">
        <f>F5-F$33</f>
        <v>-107357.135510147</v>
      </c>
      <c r="G21" s="6">
        <f>G5-G$33</f>
        <v>123203.10413121541</v>
      </c>
      <c r="H21" s="5">
        <f t="shared" si="2"/>
        <v>-0.87138336543702721</v>
      </c>
      <c r="I21" s="6">
        <f t="shared" si="3"/>
        <v>15845.968621068416</v>
      </c>
      <c r="J21" s="6">
        <f>J5-J$33</f>
        <v>-37918.655503970796</v>
      </c>
      <c r="K21" s="6">
        <f>K5-K$33</f>
        <v>45651.924713912995</v>
      </c>
      <c r="L21" s="5">
        <f t="shared" si="4"/>
        <v>-0.83060365453583196</v>
      </c>
      <c r="M21" s="6">
        <f t="shared" si="5"/>
        <v>7733.2692099421984</v>
      </c>
      <c r="N21" t="s">
        <v>24</v>
      </c>
    </row>
    <row r="22" spans="1:14" x14ac:dyDescent="0.25">
      <c r="A22" t="s">
        <v>6</v>
      </c>
      <c r="B22" s="6">
        <f>B6-B$33</f>
        <v>-629.11242305952999</v>
      </c>
      <c r="C22" s="6">
        <f>C6-C$33</f>
        <v>4126.2415688571</v>
      </c>
      <c r="D22" s="5">
        <f t="shared" si="0"/>
        <v>-0.15246621230510835</v>
      </c>
      <c r="E22" s="6">
        <f t="shared" si="1"/>
        <v>3497.1291457975699</v>
      </c>
      <c r="F22" s="6">
        <f>F6-F$33</f>
        <v>-412.48126069827401</v>
      </c>
      <c r="G22" s="6">
        <f>G6-G$33</f>
        <v>3418.0807765760001</v>
      </c>
      <c r="H22" s="5">
        <f t="shared" si="2"/>
        <v>-0.1206762764429077</v>
      </c>
      <c r="I22" s="6">
        <f t="shared" si="3"/>
        <v>3005.5995158777259</v>
      </c>
      <c r="J22" s="6">
        <f>J6-J$33</f>
        <v>-335.61574049935001</v>
      </c>
      <c r="K22" s="6">
        <f>K6-K$33</f>
        <v>3011.92723547479</v>
      </c>
      <c r="L22" s="5">
        <f t="shared" si="4"/>
        <v>-0.11142890058778086</v>
      </c>
      <c r="M22" s="6">
        <f t="shared" si="5"/>
        <v>2676.3114949754399</v>
      </c>
      <c r="N22" t="s">
        <v>24</v>
      </c>
    </row>
    <row r="23" spans="1:14" x14ac:dyDescent="0.25">
      <c r="A23" t="s">
        <v>5</v>
      </c>
      <c r="B23" s="6">
        <f>B7-B$33</f>
        <v>-24187.678536078602</v>
      </c>
      <c r="C23" s="6">
        <f>C7-C$33</f>
        <v>2337.0840578976004</v>
      </c>
      <c r="D23" s="5">
        <f t="shared" si="0"/>
        <v>-10.349511586603954</v>
      </c>
      <c r="E23" s="6">
        <f t="shared" si="1"/>
        <v>-21850.594478181003</v>
      </c>
      <c r="F23" s="6">
        <f>F7-F$33</f>
        <v>-5025.3693987003298</v>
      </c>
      <c r="G23" s="6">
        <f>G7-G$33</f>
        <v>979.28706998899906</v>
      </c>
      <c r="H23" s="5">
        <f t="shared" si="2"/>
        <v>-5.1316611366642295</v>
      </c>
      <c r="I23" s="6">
        <f t="shared" si="3"/>
        <v>-4046.0823287113308</v>
      </c>
      <c r="J23" s="6">
        <f>J7-J$33</f>
        <v>-2036.7477236836501</v>
      </c>
      <c r="K23" s="6">
        <f>K7-K$33</f>
        <v>648.6834832782697</v>
      </c>
      <c r="L23" s="5">
        <f t="shared" si="4"/>
        <v>-3.1398174551793452</v>
      </c>
      <c r="M23" s="6">
        <f t="shared" si="5"/>
        <v>-1388.0642404053804</v>
      </c>
      <c r="N23" t="s">
        <v>24</v>
      </c>
    </row>
    <row r="24" spans="1:14" x14ac:dyDescent="0.25">
      <c r="A24" t="s">
        <v>8</v>
      </c>
      <c r="B24" s="6">
        <f>B8-B$33</f>
        <v>-58217.953069988798</v>
      </c>
      <c r="C24" s="6">
        <f>C8-C$33</f>
        <v>14708.132878070801</v>
      </c>
      <c r="D24" s="5">
        <f t="shared" si="0"/>
        <v>-3.9582150605118129</v>
      </c>
      <c r="E24" s="6">
        <f t="shared" si="1"/>
        <v>-43509.820191917999</v>
      </c>
      <c r="F24" s="6">
        <f>F8-F$33</f>
        <v>-12921.4355867997</v>
      </c>
      <c r="G24" s="6">
        <f>G8-G$33</f>
        <v>6299.1855513266</v>
      </c>
      <c r="H24" s="5">
        <f t="shared" si="2"/>
        <v>-2.0512867070693708</v>
      </c>
      <c r="I24" s="6">
        <f t="shared" si="3"/>
        <v>-6622.2500354731001</v>
      </c>
      <c r="J24" s="6">
        <f>J8-J$33</f>
        <v>-5363.8813822450302</v>
      </c>
      <c r="K24" s="6">
        <f>K8-K$33</f>
        <v>3509.5880533935906</v>
      </c>
      <c r="L24" s="5">
        <f t="shared" si="4"/>
        <v>-1.5283507068752509</v>
      </c>
      <c r="M24" s="6">
        <f t="shared" si="5"/>
        <v>-1854.2933288514396</v>
      </c>
      <c r="N24" t="s">
        <v>24</v>
      </c>
    </row>
    <row r="25" spans="1:14" x14ac:dyDescent="0.25">
      <c r="A25" t="s">
        <v>7</v>
      </c>
      <c r="B25" s="6">
        <f>B9-B$33</f>
        <v>-36532.3357027936</v>
      </c>
      <c r="C25" s="6">
        <f>C9-C$33</f>
        <v>4859.8610157378989</v>
      </c>
      <c r="D25" s="5">
        <f t="shared" si="0"/>
        <v>-7.5171564751521389</v>
      </c>
      <c r="E25" s="6">
        <f t="shared" si="1"/>
        <v>-31672.474687055699</v>
      </c>
      <c r="F25" s="6">
        <f>F9-F$33</f>
        <v>-8027.2493380455498</v>
      </c>
      <c r="G25" s="6">
        <f>G9-G$33</f>
        <v>2069.0140113137986</v>
      </c>
      <c r="H25" s="5">
        <f t="shared" si="2"/>
        <v>-3.8797462434526215</v>
      </c>
      <c r="I25" s="6">
        <f t="shared" si="3"/>
        <v>-5958.2353267317512</v>
      </c>
      <c r="J25" s="6">
        <f>J9-J$33</f>
        <v>-3292.7796969207502</v>
      </c>
      <c r="K25" s="6">
        <f>K9-K$33</f>
        <v>1145.6123160236912</v>
      </c>
      <c r="L25" s="5">
        <f t="shared" si="4"/>
        <v>-2.8742530530307739</v>
      </c>
      <c r="M25" s="6">
        <f t="shared" si="5"/>
        <v>-2147.167380897059</v>
      </c>
      <c r="N25" t="s">
        <v>24</v>
      </c>
    </row>
    <row r="26" spans="1:14" x14ac:dyDescent="0.25">
      <c r="A26" t="s">
        <v>9</v>
      </c>
      <c r="B26" s="6">
        <f>B10-B$33</f>
        <v>-43040.1202776301</v>
      </c>
      <c r="C26" s="6">
        <f>C10-C$33</f>
        <v>7071.4240773678011</v>
      </c>
      <c r="D26" s="5">
        <f t="shared" si="0"/>
        <v>-6.0864855235285136</v>
      </c>
      <c r="E26" s="6">
        <f t="shared" si="1"/>
        <v>-35968.696200262297</v>
      </c>
      <c r="F26" s="6">
        <f>F10-F$33</f>
        <v>-9350.1536406274499</v>
      </c>
      <c r="G26" s="6">
        <f>G10-G$33</f>
        <v>2982.7319463466993</v>
      </c>
      <c r="H26" s="5">
        <f t="shared" si="2"/>
        <v>-3.1347616241813738</v>
      </c>
      <c r="I26" s="6">
        <f t="shared" si="3"/>
        <v>-6367.4216942807507</v>
      </c>
      <c r="J26" s="6">
        <f>J10-J$33</f>
        <v>-3948.2112997761601</v>
      </c>
      <c r="K26" s="6">
        <f>K10-K$33</f>
        <v>1982.6901417550907</v>
      </c>
      <c r="L26" s="5">
        <f t="shared" si="4"/>
        <v>-1.9913405613048425</v>
      </c>
      <c r="M26" s="6">
        <f t="shared" si="5"/>
        <v>-1965.5211580210694</v>
      </c>
      <c r="N26" t="s">
        <v>24</v>
      </c>
    </row>
    <row r="27" spans="1:14" x14ac:dyDescent="0.25">
      <c r="A27" t="s">
        <v>10</v>
      </c>
      <c r="B27" s="6">
        <f>B12-B$33</f>
        <v>-38255.645925858298</v>
      </c>
      <c r="C27" s="6">
        <f>C12-C$33</f>
        <v>27844.316551196702</v>
      </c>
      <c r="D27" s="5">
        <f t="shared" si="0"/>
        <v>-1.3739121897827344</v>
      </c>
      <c r="E27" s="6">
        <f t="shared" si="1"/>
        <v>-10411.329374661596</v>
      </c>
      <c r="F27" s="6">
        <f>F12-F$33</f>
        <v>-10717.5437780061</v>
      </c>
      <c r="G27" s="6">
        <f>G12-G$33</f>
        <v>16321.083694048701</v>
      </c>
      <c r="H27" s="5">
        <f t="shared" si="2"/>
        <v>-0.65666863664905606</v>
      </c>
      <c r="I27" s="6">
        <f t="shared" si="3"/>
        <v>5603.5399160426005</v>
      </c>
      <c r="J27" s="6">
        <f>J12-J$33</f>
        <v>-5715.8742587877696</v>
      </c>
      <c r="K27" s="6">
        <f>K12-K$33</f>
        <v>11417.559116321592</v>
      </c>
      <c r="L27" s="5">
        <f t="shared" si="4"/>
        <v>-0.50062138505740961</v>
      </c>
      <c r="M27" s="6">
        <f t="shared" si="5"/>
        <v>5701.6848575338227</v>
      </c>
      <c r="N27" t="s">
        <v>24</v>
      </c>
    </row>
    <row r="28" spans="1:14" x14ac:dyDescent="0.25">
      <c r="A28" t="s">
        <v>11</v>
      </c>
      <c r="B28" s="6">
        <f>B13-B$33</f>
        <v>-118894.24644871699</v>
      </c>
      <c r="C28" s="6">
        <f>C13-C$33</f>
        <v>1176248.363798402</v>
      </c>
      <c r="D28" s="5">
        <f t="shared" si="0"/>
        <v>-0.10107920240992094</v>
      </c>
      <c r="E28" s="6">
        <f t="shared" si="1"/>
        <v>1057354.1173496849</v>
      </c>
      <c r="F28" s="6">
        <f>F13-F$33</f>
        <v>-43687.746545707101</v>
      </c>
      <c r="G28" s="6">
        <f>G13-G$33</f>
        <v>297386.80981420039</v>
      </c>
      <c r="H28" s="5">
        <f t="shared" si="2"/>
        <v>-0.1469054615199715</v>
      </c>
      <c r="I28" s="6">
        <f t="shared" si="3"/>
        <v>253699.06326849328</v>
      </c>
      <c r="J28" s="6">
        <f>J13-J$33</f>
        <v>-25574.064566239598</v>
      </c>
      <c r="K28" s="6">
        <f>K13-K$33</f>
        <v>138935.30596719577</v>
      </c>
      <c r="L28" s="5">
        <f t="shared" si="4"/>
        <v>-0.18407174755333916</v>
      </c>
      <c r="M28" s="6">
        <f t="shared" si="5"/>
        <v>113361.24140095618</v>
      </c>
      <c r="N28" t="s">
        <v>24</v>
      </c>
    </row>
    <row r="29" spans="1:14" x14ac:dyDescent="0.25">
      <c r="A29" t="s">
        <v>12</v>
      </c>
      <c r="B29" s="6">
        <f>B14-B$33</f>
        <v>-27847.7754083363</v>
      </c>
      <c r="C29" s="6">
        <f>C14-C$33</f>
        <v>11354.460030213499</v>
      </c>
      <c r="D29" s="5">
        <f t="shared" si="0"/>
        <v>-2.4525847406424552</v>
      </c>
      <c r="E29" s="6">
        <f t="shared" si="1"/>
        <v>-16493.315378122803</v>
      </c>
      <c r="F29" s="6">
        <f>F14-F$33</f>
        <v>-6640.4507534377399</v>
      </c>
      <c r="G29" s="6">
        <f>G14-G$33</f>
        <v>6356.3921801898996</v>
      </c>
      <c r="H29" s="5">
        <f t="shared" si="2"/>
        <v>-1.0446886480876882</v>
      </c>
      <c r="I29" s="6">
        <f t="shared" si="3"/>
        <v>-284.05857324784029</v>
      </c>
      <c r="J29" s="6">
        <f>J14-J$33</f>
        <v>-3093.7558246702902</v>
      </c>
      <c r="K29" s="6">
        <f>K14-K$33</f>
        <v>4312.2304298988911</v>
      </c>
      <c r="L29" s="5">
        <f t="shared" si="4"/>
        <v>-0.71743750130320139</v>
      </c>
      <c r="M29" s="6">
        <f t="shared" si="5"/>
        <v>1218.4746052286009</v>
      </c>
      <c r="N29" t="s">
        <v>24</v>
      </c>
    </row>
    <row r="30" spans="1:14" x14ac:dyDescent="0.25">
      <c r="A30" t="s">
        <v>43</v>
      </c>
      <c r="B30" s="6">
        <f>B15-B$33</f>
        <v>-110898.496318538</v>
      </c>
      <c r="C30" s="6">
        <f>C15-C$33</f>
        <v>56978.455524179306</v>
      </c>
      <c r="D30" s="5">
        <f t="shared" si="0"/>
        <v>-1.9463233128787996</v>
      </c>
      <c r="E30" s="6">
        <f t="shared" si="1"/>
        <v>-53920.040794358698</v>
      </c>
      <c r="F30" s="6">
        <f>F15-F$33</f>
        <v>-29063.628096181299</v>
      </c>
      <c r="G30" s="6">
        <f>G15-G$33</f>
        <v>20299.669874410101</v>
      </c>
      <c r="H30" s="5">
        <f t="shared" si="2"/>
        <v>-1.4317291008175015</v>
      </c>
      <c r="I30" s="6">
        <f t="shared" si="3"/>
        <v>-8763.9582217711977</v>
      </c>
      <c r="J30" s="6">
        <f>J15-J$33</f>
        <v>-12270.0831571496</v>
      </c>
      <c r="K30" s="6">
        <f>K15-K$33</f>
        <v>10039.370991663089</v>
      </c>
      <c r="L30" s="5">
        <f t="shared" si="4"/>
        <v>-1.2221964072588754</v>
      </c>
      <c r="M30" s="6">
        <f t="shared" si="5"/>
        <v>-2230.7121654865114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workbookViewId="0">
      <selection activeCell="F18" sqref="F18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>
        <v>-1464989.78716154</v>
      </c>
      <c r="C5" s="6">
        <v>1485429.39379307</v>
      </c>
      <c r="D5" s="5">
        <v>-0.98623993390938702</v>
      </c>
      <c r="E5" s="6">
        <v>20439.606631531598</v>
      </c>
      <c r="F5" s="6">
        <v>-244021.109044115</v>
      </c>
      <c r="G5" s="6">
        <v>269761.83991016098</v>
      </c>
      <c r="H5" s="5">
        <v>-0.90457979203204397</v>
      </c>
      <c r="I5" s="6">
        <v>25740.730866045898</v>
      </c>
      <c r="J5" s="6">
        <v>-77084.450851909904</v>
      </c>
      <c r="K5" s="6">
        <v>96376.642356775497</v>
      </c>
      <c r="L5" s="5">
        <v>-0.79982502987136495</v>
      </c>
      <c r="M5" s="6">
        <v>19292.191504865601</v>
      </c>
      <c r="N5" t="s">
        <v>24</v>
      </c>
    </row>
    <row r="6" spans="1:42" x14ac:dyDescent="0.25">
      <c r="A6" t="s">
        <v>89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43</v>
      </c>
      <c r="B15" s="6"/>
      <c r="C15" s="6"/>
      <c r="E15" s="6"/>
      <c r="F15" s="6"/>
      <c r="G15" s="6"/>
      <c r="I15" s="6"/>
      <c r="J15" s="6"/>
      <c r="K15" s="6"/>
      <c r="M15" s="6"/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44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B2-B$33</f>
        <v>-169783.383937301</v>
      </c>
      <c r="C18" s="6">
        <f>C2-C$33</f>
        <v>94455.205551250809</v>
      </c>
      <c r="D18" s="5">
        <f>B18/C18</f>
        <v>-1.7975016087935733</v>
      </c>
      <c r="E18" s="6">
        <f>B18+C18</f>
        <v>-75328.178386050189</v>
      </c>
      <c r="F18" s="6">
        <f>F2-F$33</f>
        <v>-44358.724472512797</v>
      </c>
      <c r="G18" s="6">
        <f>G2-G$33</f>
        <v>32373.7561194788</v>
      </c>
      <c r="H18" s="5">
        <f>F18/G18</f>
        <v>-1.3702062963840895</v>
      </c>
      <c r="I18" s="6">
        <f>F18+G18</f>
        <v>-11984.968353033997</v>
      </c>
      <c r="J18" s="6">
        <f>J2-J$33</f>
        <v>-18237.934782227901</v>
      </c>
      <c r="K18" s="6">
        <f>K2-K$33</f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>B3-B$33</f>
        <v>-754774.02503940102</v>
      </c>
      <c r="C19" s="6">
        <f>C3-C$33</f>
        <v>749149.81794569083</v>
      </c>
      <c r="D19" s="5">
        <f t="shared" ref="D19:D30" si="0">B19/C19</f>
        <v>-1.0075074530607679</v>
      </c>
      <c r="E19" s="6">
        <f t="shared" ref="E19:E30" si="1">B19+C19</f>
        <v>-5624.2070937101962</v>
      </c>
      <c r="F19" s="6">
        <f>F3-F$33</f>
        <v>-118636.45174144401</v>
      </c>
      <c r="G19" s="6">
        <f>G3-G$33</f>
        <v>118448.2573880096</v>
      </c>
      <c r="H19" s="5">
        <f t="shared" ref="H19:H30" si="2">F19/G19</f>
        <v>-1.0015888317615169</v>
      </c>
      <c r="I19" s="6">
        <f t="shared" ref="I19:I30" si="3">F19+G19</f>
        <v>-188.19435343440273</v>
      </c>
      <c r="J19" s="6">
        <f>J3-J$33</f>
        <v>-35032.9534274822</v>
      </c>
      <c r="K19" s="6">
        <f>K3-K$33</f>
        <v>35469.894501100818</v>
      </c>
      <c r="L19" s="5">
        <f t="shared" ref="L19:L30" si="4">J19/K19</f>
        <v>-0.98768135401121482</v>
      </c>
      <c r="M19" s="6">
        <f t="shared" ref="M19:M30" si="5">J19+K19</f>
        <v>436.94107361861825</v>
      </c>
      <c r="N19" t="s">
        <v>24</v>
      </c>
    </row>
    <row r="20" spans="1:14" x14ac:dyDescent="0.25">
      <c r="A20" t="s">
        <v>3</v>
      </c>
      <c r="B20" s="6">
        <f>B4-B$33</f>
        <v>-85029.801215989501</v>
      </c>
      <c r="C20" s="6">
        <f>C4-C$33</f>
        <v>87081.623661185804</v>
      </c>
      <c r="D20" s="5">
        <f t="shared" si="0"/>
        <v>-0.97643793995872807</v>
      </c>
      <c r="E20" s="6">
        <f t="shared" si="1"/>
        <v>2051.8224451963033</v>
      </c>
      <c r="F20" s="6">
        <f>F4-F$33</f>
        <v>-26414.7890866241</v>
      </c>
      <c r="G20" s="6">
        <f>G4-G$33</f>
        <v>43702.347237783397</v>
      </c>
      <c r="H20" s="5">
        <f t="shared" si="2"/>
        <v>-0.60442495097349991</v>
      </c>
      <c r="I20" s="6">
        <f t="shared" si="3"/>
        <v>17287.558151159297</v>
      </c>
      <c r="J20" s="6">
        <f>J4-J$33</f>
        <v>-13669.170538766301</v>
      </c>
      <c r="K20" s="6">
        <f>K4-K$33</f>
        <v>26983.396966656121</v>
      </c>
      <c r="L20" s="5">
        <f t="shared" si="4"/>
        <v>-0.50657708351759956</v>
      </c>
      <c r="M20" s="6">
        <f t="shared" si="5"/>
        <v>13314.22642788982</v>
      </c>
      <c r="N20" t="s">
        <v>24</v>
      </c>
    </row>
    <row r="21" spans="1:14" x14ac:dyDescent="0.25">
      <c r="A21" t="s">
        <v>4</v>
      </c>
      <c r="B21" s="6">
        <f>B5-B$33</f>
        <v>-1464989.78716154</v>
      </c>
      <c r="C21" s="6">
        <f>C5-C$33</f>
        <v>1470312.9361080937</v>
      </c>
      <c r="D21" s="5">
        <f t="shared" si="0"/>
        <v>-0.99637958096142165</v>
      </c>
      <c r="E21" s="6">
        <f t="shared" si="1"/>
        <v>5323.1489465537015</v>
      </c>
      <c r="F21" s="6">
        <f>F5-F$33</f>
        <v>-244021.109044115</v>
      </c>
      <c r="G21" s="6">
        <f>G5-G$33</f>
        <v>258097.0526906786</v>
      </c>
      <c r="H21" s="5">
        <f t="shared" si="2"/>
        <v>-0.94546259440074587</v>
      </c>
      <c r="I21" s="6">
        <f t="shared" si="3"/>
        <v>14075.943646563595</v>
      </c>
      <c r="J21" s="6">
        <f>J5-J$33</f>
        <v>-77084.450851909904</v>
      </c>
      <c r="K21" s="6">
        <f>K5-K$33</f>
        <v>86588.878581692814</v>
      </c>
      <c r="L21" s="5">
        <f t="shared" si="4"/>
        <v>-0.89023500609473882</v>
      </c>
      <c r="M21" s="6">
        <f t="shared" si="5"/>
        <v>9504.4277297829103</v>
      </c>
      <c r="N21" t="s">
        <v>24</v>
      </c>
    </row>
    <row r="22" spans="1:14" x14ac:dyDescent="0.25">
      <c r="A22" t="s">
        <v>6</v>
      </c>
      <c r="B22" s="6">
        <f>B7-B$33</f>
        <v>-3727.1947617020901</v>
      </c>
      <c r="C22" s="6">
        <f>C7-C$33</f>
        <v>4210.1375662191986</v>
      </c>
      <c r="D22" s="5">
        <f t="shared" si="0"/>
        <v>-0.88529049302519525</v>
      </c>
      <c r="E22" s="6">
        <f t="shared" si="1"/>
        <v>482.94280451710847</v>
      </c>
      <c r="F22" s="6">
        <f>F7-F$33</f>
        <v>-879.19316191022494</v>
      </c>
      <c r="G22" s="6">
        <f>G7-G$33</f>
        <v>3478.2184226562003</v>
      </c>
      <c r="H22" s="5">
        <f t="shared" si="2"/>
        <v>-0.25277111873808494</v>
      </c>
      <c r="I22" s="6">
        <f t="shared" si="3"/>
        <v>2599.0252607459752</v>
      </c>
      <c r="J22" s="6">
        <f>J7-J$33</f>
        <v>-494.59745807002702</v>
      </c>
      <c r="K22" s="6">
        <f>K7-K$33</f>
        <v>3059.4095348447208</v>
      </c>
      <c r="L22" s="5">
        <f t="shared" si="4"/>
        <v>-0.16166435138443475</v>
      </c>
      <c r="M22" s="6">
        <f t="shared" si="5"/>
        <v>2564.8120767746937</v>
      </c>
      <c r="N22" t="s">
        <v>24</v>
      </c>
    </row>
    <row r="23" spans="1:14" x14ac:dyDescent="0.25">
      <c r="A23" t="s">
        <v>5</v>
      </c>
      <c r="B23" s="6">
        <f>B8-B$33</f>
        <v>-45921.597500000003</v>
      </c>
      <c r="C23" s="6">
        <f>C8-C$33</f>
        <v>2325.9123850238011</v>
      </c>
      <c r="D23" s="5">
        <f t="shared" si="0"/>
        <v>-19.743476923585877</v>
      </c>
      <c r="E23" s="6">
        <f t="shared" si="1"/>
        <v>-43595.685114976201</v>
      </c>
      <c r="F23" s="6">
        <f>F8-F$33</f>
        <v>-8674.7509489999993</v>
      </c>
      <c r="G23" s="6">
        <f>G8-G$33</f>
        <v>971.27899051760141</v>
      </c>
      <c r="H23" s="5">
        <f t="shared" si="2"/>
        <v>-8.9312659222425506</v>
      </c>
      <c r="I23" s="6">
        <f t="shared" si="3"/>
        <v>-7703.4719584823979</v>
      </c>
      <c r="J23" s="6">
        <f>J8-J$33</f>
        <v>-3198.9574539999999</v>
      </c>
      <c r="K23" s="6">
        <f>K8-K$33</f>
        <v>642.36055491732077</v>
      </c>
      <c r="L23" s="5">
        <f t="shared" si="4"/>
        <v>-4.9800029430694774</v>
      </c>
      <c r="M23" s="6">
        <f t="shared" si="5"/>
        <v>-2556.5968990826791</v>
      </c>
      <c r="N23" t="s">
        <v>24</v>
      </c>
    </row>
    <row r="24" spans="1:14" x14ac:dyDescent="0.25">
      <c r="A24" t="s">
        <v>8</v>
      </c>
      <c r="B24" s="6">
        <f>B9-B$33</f>
        <v>-107072.6366</v>
      </c>
      <c r="C24" s="6">
        <f>C9-C$33</f>
        <v>14633.7175650238</v>
      </c>
      <c r="D24" s="5">
        <f t="shared" si="0"/>
        <v>-7.3168445491879259</v>
      </c>
      <c r="E24" s="6">
        <f t="shared" si="1"/>
        <v>-92438.919034976192</v>
      </c>
      <c r="F24" s="6">
        <f>F9-F$33</f>
        <v>-21894.339179999999</v>
      </c>
      <c r="G24" s="6">
        <f>G9-G$33</f>
        <v>6245.8449505176013</v>
      </c>
      <c r="H24" s="5">
        <f t="shared" si="2"/>
        <v>-3.5054247028955765</v>
      </c>
      <c r="I24" s="6">
        <f t="shared" si="3"/>
        <v>-15648.494229482398</v>
      </c>
      <c r="J24" s="6">
        <f>J9-J$33</f>
        <v>-8514.542308</v>
      </c>
      <c r="K24" s="6">
        <f>K9-K$33</f>
        <v>3467.4732449173207</v>
      </c>
      <c r="L24" s="5">
        <f t="shared" si="4"/>
        <v>-2.455546649272855</v>
      </c>
      <c r="M24" s="6">
        <f t="shared" si="5"/>
        <v>-5047.0690630826793</v>
      </c>
      <c r="N24" t="s">
        <v>24</v>
      </c>
    </row>
    <row r="25" spans="1:14" x14ac:dyDescent="0.25">
      <c r="A25" t="s">
        <v>7</v>
      </c>
      <c r="B25" s="6">
        <f>B10-B$33</f>
        <v>-69242.862210000007</v>
      </c>
      <c r="C25" s="6">
        <f>C10-C$33</f>
        <v>4826.4201050237989</v>
      </c>
      <c r="D25" s="5">
        <f t="shared" si="0"/>
        <v>-14.346629738659804</v>
      </c>
      <c r="E25" s="6">
        <f t="shared" si="1"/>
        <v>-64416.44210497621</v>
      </c>
      <c r="F25" s="6">
        <f>F10-F$33</f>
        <v>-13872.35764</v>
      </c>
      <c r="G25" s="6">
        <f>G10-G$33</f>
        <v>2045.0444705176014</v>
      </c>
      <c r="H25" s="5">
        <f t="shared" si="2"/>
        <v>-6.7834014565408944</v>
      </c>
      <c r="I25" s="6">
        <f t="shared" si="3"/>
        <v>-11827.313169482399</v>
      </c>
      <c r="J25" s="6">
        <f>J10-J$33</f>
        <v>-5283.9158260000004</v>
      </c>
      <c r="K25" s="6">
        <f>K10-K$33</f>
        <v>1126.6878249173205</v>
      </c>
      <c r="L25" s="5">
        <f t="shared" si="4"/>
        <v>-4.6897780460064427</v>
      </c>
      <c r="M25" s="6">
        <f t="shared" si="5"/>
        <v>-4157.2280010826798</v>
      </c>
      <c r="N25" t="s">
        <v>24</v>
      </c>
    </row>
    <row r="26" spans="1:14" x14ac:dyDescent="0.25">
      <c r="A26" t="s">
        <v>9</v>
      </c>
      <c r="B26" s="6">
        <f>B11-B$33</f>
        <v>-81117.731169999999</v>
      </c>
      <c r="C26" s="6">
        <f>C11-C$33</f>
        <v>7044.9094950238014</v>
      </c>
      <c r="D26" s="5">
        <f t="shared" si="0"/>
        <v>-11.514375199184293</v>
      </c>
      <c r="E26" s="6">
        <f t="shared" si="1"/>
        <v>-74072.821674976192</v>
      </c>
      <c r="F26" s="6">
        <f>F11-F$33</f>
        <v>-15910.76873</v>
      </c>
      <c r="G26" s="6">
        <f>G11-G$33</f>
        <v>2963.7267405176008</v>
      </c>
      <c r="H26" s="5">
        <f t="shared" si="2"/>
        <v>-5.3685005815418929</v>
      </c>
      <c r="I26" s="6">
        <f t="shared" si="3"/>
        <v>-12947.041989482399</v>
      </c>
      <c r="J26" s="6">
        <f>J11-J$33</f>
        <v>-6110.8874349999996</v>
      </c>
      <c r="K26" s="6">
        <f>K11-K$33</f>
        <v>1967.6849149173195</v>
      </c>
      <c r="L26" s="5">
        <f t="shared" si="4"/>
        <v>-3.1056229524719279</v>
      </c>
      <c r="M26" s="6">
        <f t="shared" si="5"/>
        <v>-4143.2025200826802</v>
      </c>
      <c r="N26" t="s">
        <v>24</v>
      </c>
    </row>
    <row r="27" spans="1:14" x14ac:dyDescent="0.25">
      <c r="A27" t="s">
        <v>10</v>
      </c>
      <c r="B27" s="6">
        <f>B12-B$33</f>
        <v>-70006.101200000005</v>
      </c>
      <c r="C27" s="6">
        <f>C12-C$33</f>
        <v>27911.243325023795</v>
      </c>
      <c r="D27" s="5">
        <f t="shared" si="0"/>
        <v>-2.5081684962860864</v>
      </c>
      <c r="E27" s="6">
        <f t="shared" si="1"/>
        <v>-42094.857874976209</v>
      </c>
      <c r="F27" s="6">
        <f>F12-F$33</f>
        <v>-16549.278579999998</v>
      </c>
      <c r="G27" s="6">
        <f>G12-G$33</f>
        <v>16349.5410105176</v>
      </c>
      <c r="H27" s="5">
        <f t="shared" si="2"/>
        <v>-1.0122167080625633</v>
      </c>
      <c r="I27" s="6">
        <f t="shared" si="3"/>
        <v>-199.73756948239861</v>
      </c>
      <c r="J27" s="6">
        <f>J12-J$33</f>
        <v>-7773.9790499999999</v>
      </c>
      <c r="K27" s="6">
        <f>K12-K$33</f>
        <v>11432.142664917319</v>
      </c>
      <c r="L27" s="5">
        <f t="shared" si="4"/>
        <v>-0.68001067497666889</v>
      </c>
      <c r="M27" s="6">
        <f t="shared" si="5"/>
        <v>3658.1636149173191</v>
      </c>
      <c r="N27" t="s">
        <v>24</v>
      </c>
    </row>
    <row r="28" spans="1:14" x14ac:dyDescent="0.25">
      <c r="A28" t="s">
        <v>11</v>
      </c>
      <c r="B28" s="6">
        <f>B13-B$33</f>
        <v>-185026.90859979999</v>
      </c>
      <c r="C28" s="6">
        <f>C13-C$33</f>
        <v>1207138.6077176137</v>
      </c>
      <c r="D28" s="5">
        <f t="shared" si="0"/>
        <v>-0.15327726858942731</v>
      </c>
      <c r="E28" s="6">
        <f t="shared" si="1"/>
        <v>1022111.6991178137</v>
      </c>
      <c r="F28" s="6">
        <f>F13-F$33</f>
        <v>-50271.5769779783</v>
      </c>
      <c r="G28" s="6">
        <f>G13-G$33</f>
        <v>302972.54611755058</v>
      </c>
      <c r="H28" s="5">
        <f t="shared" si="2"/>
        <v>-0.16592782950859641</v>
      </c>
      <c r="I28" s="6">
        <f t="shared" si="3"/>
        <v>252700.96913957229</v>
      </c>
      <c r="J28" s="6">
        <f>J13-J$33</f>
        <v>-26217.887908184199</v>
      </c>
      <c r="K28" s="6">
        <f>K13-K$33</f>
        <v>140555.13866259833</v>
      </c>
      <c r="L28" s="5">
        <f t="shared" si="4"/>
        <v>-0.18653098106302654</v>
      </c>
      <c r="M28" s="6">
        <f t="shared" si="5"/>
        <v>114337.25075441413</v>
      </c>
      <c r="N28" t="s">
        <v>24</v>
      </c>
    </row>
    <row r="29" spans="1:14" x14ac:dyDescent="0.25">
      <c r="A29" t="s">
        <v>12</v>
      </c>
      <c r="B29" s="6">
        <f>B14-B$33</f>
        <v>-52677.846720000001</v>
      </c>
      <c r="C29" s="6">
        <f>C14-C$33</f>
        <v>11419.991415023802</v>
      </c>
      <c r="D29" s="5">
        <f t="shared" si="0"/>
        <v>-4.6127746340245572</v>
      </c>
      <c r="E29" s="6">
        <f t="shared" si="1"/>
        <v>-41257.855304976198</v>
      </c>
      <c r="F29" s="6">
        <f>F14-F$33</f>
        <v>-11192.743119999999</v>
      </c>
      <c r="G29" s="6">
        <f>G14-G$33</f>
        <v>6387.5267705175993</v>
      </c>
      <c r="H29" s="5">
        <f t="shared" si="2"/>
        <v>-1.752281207127218</v>
      </c>
      <c r="I29" s="6">
        <f t="shared" si="3"/>
        <v>-4805.2163494823999</v>
      </c>
      <c r="J29" s="6">
        <f>J14-J$33</f>
        <v>-4681.5643</v>
      </c>
      <c r="K29" s="6">
        <f>K14-K$33</f>
        <v>4330.4415549173209</v>
      </c>
      <c r="L29" s="5">
        <f t="shared" si="4"/>
        <v>-1.0810824348117505</v>
      </c>
      <c r="M29" s="6">
        <f t="shared" si="5"/>
        <v>-351.1227450826791</v>
      </c>
      <c r="N29" t="s">
        <v>24</v>
      </c>
    </row>
    <row r="30" spans="1:14" x14ac:dyDescent="0.25">
      <c r="A30" t="s">
        <v>43</v>
      </c>
      <c r="B30" s="6">
        <f>B15-B$33</f>
        <v>0</v>
      </c>
      <c r="C30" s="6">
        <f>C15-C$33</f>
        <v>-15116.4576849762</v>
      </c>
      <c r="D30" s="5">
        <f t="shared" si="0"/>
        <v>0</v>
      </c>
      <c r="E30" s="6">
        <f t="shared" si="1"/>
        <v>-15116.4576849762</v>
      </c>
      <c r="F30" s="6">
        <f>F15-F$33</f>
        <v>0</v>
      </c>
      <c r="G30" s="6">
        <f>G15-G$33</f>
        <v>-11664.787219482399</v>
      </c>
      <c r="H30" s="5">
        <f t="shared" si="2"/>
        <v>0</v>
      </c>
      <c r="I30" s="6">
        <f t="shared" si="3"/>
        <v>-11664.787219482399</v>
      </c>
      <c r="J30" s="6">
        <f>J15-J$33</f>
        <v>0</v>
      </c>
      <c r="K30" s="6">
        <f>K15-K$33</f>
        <v>-9787.7637750826798</v>
      </c>
      <c r="L30" s="5">
        <f t="shared" si="4"/>
        <v>0</v>
      </c>
      <c r="M30" s="6">
        <f t="shared" si="5"/>
        <v>-9787.7637750826798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O132"/>
  <sheetViews>
    <sheetView tabSelected="1" zoomScale="70" zoomScaleNormal="70" workbookViewId="0">
      <selection activeCell="F83" sqref="F83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9.7109375" bestFit="1" customWidth="1"/>
    <col min="10" max="10" width="11.28515625" bestFit="1" customWidth="1"/>
    <col min="11" max="11" width="9.7109375" bestFit="1" customWidth="1"/>
    <col min="12" max="12" width="10.140625" bestFit="1" customWidth="1"/>
  </cols>
  <sheetData>
    <row r="1" spans="1:15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N1" s="7">
        <v>0.12</v>
      </c>
      <c r="O1" t="s">
        <v>90</v>
      </c>
    </row>
    <row r="2" spans="1:15" x14ac:dyDescent="0.25">
      <c r="A2" t="str">
        <f>Low!A18</f>
        <v>45Q-2040</v>
      </c>
      <c r="B2" t="s">
        <v>30</v>
      </c>
      <c r="C2" s="1">
        <f>-Low!F18/1000</f>
        <v>24.009774422884199</v>
      </c>
      <c r="D2" s="1">
        <f>Low!G18/1000</f>
        <v>19.507666627389298</v>
      </c>
      <c r="F2" s="1">
        <f>C2</f>
        <v>24.009774422884199</v>
      </c>
    </row>
    <row r="3" spans="1:15" x14ac:dyDescent="0.25">
      <c r="A3" t="str">
        <f>Low!A19</f>
        <v>45Q-2050</v>
      </c>
      <c r="B3" t="s">
        <v>30</v>
      </c>
      <c r="C3" s="1">
        <f>-Low!F19/1000</f>
        <v>48.914657028755293</v>
      </c>
      <c r="D3" s="1">
        <f>Low!G19/1000</f>
        <v>49.024106181054101</v>
      </c>
      <c r="F3" s="1">
        <f>C3</f>
        <v>48.914657028755293</v>
      </c>
    </row>
    <row r="4" spans="1:15" x14ac:dyDescent="0.25">
      <c r="A4" t="str">
        <f>Low!A20</f>
        <v>CDRIA-2035</v>
      </c>
      <c r="B4" t="s">
        <v>30</v>
      </c>
      <c r="C4" s="1">
        <f>-Low!F20/1000</f>
        <v>18.6341071918974</v>
      </c>
      <c r="D4" s="1">
        <f>Low!G20/1000</f>
        <v>30.778911794356603</v>
      </c>
      <c r="F4" s="1">
        <f>C4</f>
        <v>18.6341071918974</v>
      </c>
    </row>
    <row r="5" spans="1:15" x14ac:dyDescent="0.25">
      <c r="A5" t="str">
        <f>Low!A21</f>
        <v>CDRIA-2050</v>
      </c>
      <c r="B5" t="s">
        <v>30</v>
      </c>
      <c r="C5" s="1">
        <f>-Low!F21/1000</f>
        <v>107.357135510147</v>
      </c>
      <c r="D5" s="1">
        <f>Low!G21/1000</f>
        <v>123.20310413121541</v>
      </c>
      <c r="F5" s="1">
        <f>C5</f>
        <v>107.357135510147</v>
      </c>
    </row>
    <row r="6" spans="1:15" x14ac:dyDescent="0.25">
      <c r="A6" t="str">
        <f>Low!A22</f>
        <v>Innovation-DACHubs</v>
      </c>
      <c r="B6" t="s">
        <v>30</v>
      </c>
      <c r="C6" s="1">
        <f>-Low!F22/1000</f>
        <v>0.41248126069827401</v>
      </c>
      <c r="D6" s="1">
        <f>Low!G22/1000</f>
        <v>3.4180807765760002</v>
      </c>
      <c r="E6" s="1">
        <f>C6</f>
        <v>0.41248126069827401</v>
      </c>
    </row>
    <row r="7" spans="1:15" x14ac:dyDescent="0.25">
      <c r="A7" t="str">
        <f>Low!A23</f>
        <v>Innovation-maintain</v>
      </c>
      <c r="B7" t="s">
        <v>30</v>
      </c>
      <c r="C7" s="1">
        <f>-Low!F23/1000</f>
        <v>5.0253693987003301</v>
      </c>
      <c r="D7" s="1">
        <f>Low!G23/1000</f>
        <v>0.97928706998899906</v>
      </c>
      <c r="E7" s="1">
        <f>C7</f>
        <v>5.0253693987003301</v>
      </c>
    </row>
    <row r="8" spans="1:15" x14ac:dyDescent="0.25">
      <c r="A8" t="str">
        <f>Low!A24</f>
        <v>Innovation-rhodium18b</v>
      </c>
      <c r="B8" t="s">
        <v>30</v>
      </c>
      <c r="C8" s="1">
        <f>-Low!F24/1000</f>
        <v>12.921435586799699</v>
      </c>
      <c r="D8" s="1">
        <f>Low!G24/1000</f>
        <v>6.2991855513266</v>
      </c>
      <c r="E8" s="1">
        <f>C8</f>
        <v>12.921435586799699</v>
      </c>
    </row>
    <row r="9" spans="1:15" x14ac:dyDescent="0.25">
      <c r="A9" t="str">
        <f>Low!A25</f>
        <v>Innovation-rhodium6b</v>
      </c>
      <c r="B9" t="s">
        <v>30</v>
      </c>
      <c r="C9" s="1">
        <f>-Low!F25/1000</f>
        <v>8.0272493380455501</v>
      </c>
      <c r="D9" s="1">
        <f>Low!G25/1000</f>
        <v>2.0690140113137985</v>
      </c>
      <c r="E9" s="1">
        <f>C9</f>
        <v>8.0272493380455501</v>
      </c>
    </row>
    <row r="10" spans="1:15" x14ac:dyDescent="0.25">
      <c r="A10" t="str">
        <f>Low!A26</f>
        <v>Innovation-triple</v>
      </c>
      <c r="B10" t="s">
        <v>30</v>
      </c>
      <c r="C10" s="1">
        <f>-Low!F26/1000</f>
        <v>9.3501536406274504</v>
      </c>
      <c r="D10" s="1">
        <f>Low!G26/1000</f>
        <v>2.9827319463466995</v>
      </c>
      <c r="E10" s="1">
        <f>C10</f>
        <v>9.3501536406274504</v>
      </c>
    </row>
    <row r="11" spans="1:15" x14ac:dyDescent="0.25">
      <c r="A11" t="str">
        <f>Low!A27</f>
        <v>Procure3B</v>
      </c>
      <c r="B11" t="s">
        <v>30</v>
      </c>
      <c r="C11" s="1">
        <f>-Low!F27/1000</f>
        <v>10.7175437780061</v>
      </c>
      <c r="D11" s="1">
        <f>Low!G27/1000</f>
        <v>16.321083694048699</v>
      </c>
      <c r="G11" s="1">
        <f>C11</f>
        <v>10.7175437780061</v>
      </c>
    </row>
    <row r="12" spans="1:15" x14ac:dyDescent="0.25">
      <c r="A12" t="str">
        <f>Low!A28</f>
        <v>ProcureRhodium</v>
      </c>
      <c r="B12" t="s">
        <v>30</v>
      </c>
      <c r="C12" s="1">
        <f>-Low!F28/1000</f>
        <v>43.6877465457071</v>
      </c>
      <c r="D12" s="1">
        <f>Low!G28/1000</f>
        <v>297.38680981420038</v>
      </c>
      <c r="G12" s="1">
        <f>C12</f>
        <v>43.6877465457071</v>
      </c>
    </row>
    <row r="13" spans="1:15" x14ac:dyDescent="0.25">
      <c r="A13" t="str">
        <f>Low!A29</f>
        <v>ProcureScaling</v>
      </c>
      <c r="B13" t="s">
        <v>30</v>
      </c>
      <c r="C13" s="1">
        <f>-Low!F29/1000</f>
        <v>6.6404507534377402</v>
      </c>
      <c r="D13" s="1">
        <f>Low!G29/1000</f>
        <v>6.3563921801898999</v>
      </c>
      <c r="G13" s="1">
        <f>C13</f>
        <v>6.6404507534377402</v>
      </c>
    </row>
    <row r="14" spans="1:15" x14ac:dyDescent="0.25">
      <c r="A14" t="str">
        <f>Low!A30</f>
        <v>Optimal</v>
      </c>
      <c r="B14" t="s">
        <v>30</v>
      </c>
      <c r="C14" s="1">
        <f>-Low!F30/1000</f>
        <v>29.063628096181301</v>
      </c>
      <c r="D14" s="1">
        <f>Low!G30/1000</f>
        <v>20.2996698744101</v>
      </c>
      <c r="H14" s="1">
        <f>C14</f>
        <v>29.063628096181301</v>
      </c>
    </row>
    <row r="15" spans="1:15" x14ac:dyDescent="0.25">
      <c r="A15" t="str">
        <f>High!A18</f>
        <v>45Q-2040</v>
      </c>
      <c r="B15" t="s">
        <v>32</v>
      </c>
      <c r="C15" s="1">
        <f>-High!F18/1000</f>
        <v>44.358724472512797</v>
      </c>
      <c r="D15" s="1">
        <f>High!G18/1000</f>
        <v>32.373756119478799</v>
      </c>
      <c r="J15" s="1">
        <f>C15</f>
        <v>44.358724472512797</v>
      </c>
    </row>
    <row r="16" spans="1:15" x14ac:dyDescent="0.25">
      <c r="A16" t="str">
        <f>High!A19</f>
        <v>45Q-2050</v>
      </c>
      <c r="B16" t="s">
        <v>32</v>
      </c>
      <c r="C16" s="1">
        <f>-High!F19/1000</f>
        <v>118.63645174144401</v>
      </c>
      <c r="D16" s="1">
        <f>High!G19/1000</f>
        <v>118.44825738800961</v>
      </c>
      <c r="J16" s="1">
        <f>C16</f>
        <v>118.63645174144401</v>
      </c>
    </row>
    <row r="17" spans="1:14" x14ac:dyDescent="0.25">
      <c r="A17" t="str">
        <f>High!A20</f>
        <v>CDRIA-2035</v>
      </c>
      <c r="B17" t="s">
        <v>32</v>
      </c>
      <c r="C17" s="1">
        <f>-High!F20/1000</f>
        <v>26.414789086624101</v>
      </c>
      <c r="D17" s="1">
        <f>High!G20/1000</f>
        <v>43.7023472377834</v>
      </c>
      <c r="J17" s="1">
        <f>C17</f>
        <v>26.414789086624101</v>
      </c>
    </row>
    <row r="18" spans="1:14" x14ac:dyDescent="0.25">
      <c r="A18" t="str">
        <f>High!A21</f>
        <v>CDRIA-2050</v>
      </c>
      <c r="B18" t="s">
        <v>32</v>
      </c>
      <c r="C18" s="1">
        <f>-High!F21/1000</f>
        <v>244.02110904411501</v>
      </c>
      <c r="D18" s="1">
        <f>High!G21/1000</f>
        <v>258.09705269067859</v>
      </c>
      <c r="J18" s="1">
        <f>C18</f>
        <v>244.02110904411501</v>
      </c>
    </row>
    <row r="19" spans="1:14" x14ac:dyDescent="0.25">
      <c r="A19" t="str">
        <f>High!A22</f>
        <v>Innovation-DACHubs</v>
      </c>
      <c r="B19" t="s">
        <v>32</v>
      </c>
      <c r="C19" s="1">
        <f>-High!F22/1000</f>
        <v>0.8791931619102249</v>
      </c>
      <c r="D19" s="1">
        <f>High!G22/1000</f>
        <v>3.4782184226562003</v>
      </c>
      <c r="I19" s="1">
        <f>C19</f>
        <v>0.8791931619102249</v>
      </c>
    </row>
    <row r="20" spans="1:14" x14ac:dyDescent="0.25">
      <c r="A20" t="str">
        <f>High!A23</f>
        <v>Innovation-maintain</v>
      </c>
      <c r="B20" t="s">
        <v>32</v>
      </c>
      <c r="C20" s="1">
        <f>-High!F23/1000</f>
        <v>8.6747509489999999</v>
      </c>
      <c r="D20" s="1">
        <f>High!G23/1000</f>
        <v>0.97127899051760136</v>
      </c>
      <c r="I20" s="1">
        <f>C20</f>
        <v>8.6747509489999999</v>
      </c>
    </row>
    <row r="21" spans="1:14" x14ac:dyDescent="0.25">
      <c r="A21" t="str">
        <f>High!A24</f>
        <v>Innovation-rhodium18b</v>
      </c>
      <c r="B21" t="s">
        <v>32</v>
      </c>
      <c r="C21" s="1">
        <f>-High!F24/1000</f>
        <v>21.894339179999999</v>
      </c>
      <c r="D21" s="1">
        <f>High!G24/1000</f>
        <v>6.2458449505176015</v>
      </c>
      <c r="I21" s="1">
        <f>C21</f>
        <v>21.894339179999999</v>
      </c>
    </row>
    <row r="22" spans="1:14" x14ac:dyDescent="0.25">
      <c r="A22" t="str">
        <f>High!A25</f>
        <v>Innovation-rhodium6b</v>
      </c>
      <c r="B22" t="s">
        <v>32</v>
      </c>
      <c r="C22" s="1">
        <f>-High!F25/1000</f>
        <v>13.872357640000001</v>
      </c>
      <c r="D22" s="1">
        <f>High!G25/1000</f>
        <v>2.0450444705176016</v>
      </c>
      <c r="I22" s="1">
        <f>C22</f>
        <v>13.872357640000001</v>
      </c>
    </row>
    <row r="23" spans="1:14" x14ac:dyDescent="0.25">
      <c r="A23" t="str">
        <f>High!A26</f>
        <v>Innovation-triple</v>
      </c>
      <c r="B23" t="s">
        <v>32</v>
      </c>
      <c r="C23" s="1">
        <f>-High!F26/1000</f>
        <v>15.910768729999999</v>
      </c>
      <c r="D23" s="1">
        <f>High!G26/1000</f>
        <v>2.9637267405176009</v>
      </c>
      <c r="I23" s="1">
        <f>C23</f>
        <v>15.910768729999999</v>
      </c>
    </row>
    <row r="24" spans="1:14" x14ac:dyDescent="0.25">
      <c r="A24" t="str">
        <f>High!A27</f>
        <v>Procure3B</v>
      </c>
      <c r="B24" t="s">
        <v>32</v>
      </c>
      <c r="C24" s="1">
        <f>-High!F27/1000</f>
        <v>16.549278579999999</v>
      </c>
      <c r="D24" s="1">
        <f>High!G27/1000</f>
        <v>16.349541010517601</v>
      </c>
      <c r="K24" s="1">
        <f>C24</f>
        <v>16.549278579999999</v>
      </c>
    </row>
    <row r="25" spans="1:14" x14ac:dyDescent="0.25">
      <c r="A25" t="str">
        <f>High!A28</f>
        <v>ProcureRhodium</v>
      </c>
      <c r="B25" t="s">
        <v>32</v>
      </c>
      <c r="C25" s="1">
        <f>-High!F28/1000</f>
        <v>50.271576977978299</v>
      </c>
      <c r="D25" s="1">
        <f>High!G28/1000</f>
        <v>302.97254611755056</v>
      </c>
      <c r="K25" s="1">
        <f>C25</f>
        <v>50.271576977978299</v>
      </c>
    </row>
    <row r="26" spans="1:14" x14ac:dyDescent="0.25">
      <c r="A26" t="str">
        <f>High!A29</f>
        <v>ProcureScaling</v>
      </c>
      <c r="B26" t="s">
        <v>32</v>
      </c>
      <c r="C26" s="1">
        <f>-High!F29/1000</f>
        <v>11.192743119999999</v>
      </c>
      <c r="D26" s="1">
        <f>High!G29/1000</f>
        <v>6.3875267705175993</v>
      </c>
      <c r="K26" s="1">
        <f>C26</f>
        <v>11.192743119999999</v>
      </c>
    </row>
    <row r="27" spans="1:14" x14ac:dyDescent="0.25">
      <c r="A27" t="str">
        <f>High!A30</f>
        <v>Optimal</v>
      </c>
      <c r="B27" t="s">
        <v>32</v>
      </c>
      <c r="C27" s="1">
        <f>-High!F30/1000</f>
        <v>0</v>
      </c>
      <c r="D27" s="1">
        <f>High!G30/1000</f>
        <v>-11.664787219482399</v>
      </c>
      <c r="L27" s="1">
        <f>C27</f>
        <v>0</v>
      </c>
    </row>
    <row r="30" spans="1:14" x14ac:dyDescent="0.25">
      <c r="C30" s="1" t="s">
        <v>82</v>
      </c>
      <c r="D30" s="1"/>
    </row>
    <row r="31" spans="1:14" x14ac:dyDescent="0.25">
      <c r="A31" t="str">
        <f>Low!A32</f>
        <v>Low Baseline</v>
      </c>
      <c r="B31" t="s">
        <v>28</v>
      </c>
      <c r="C31" t="s">
        <v>36</v>
      </c>
      <c r="D31" t="s">
        <v>37</v>
      </c>
      <c r="E31" t="s">
        <v>74</v>
      </c>
      <c r="F31" t="s">
        <v>75</v>
      </c>
      <c r="G31" t="s">
        <v>76</v>
      </c>
      <c r="H31" t="s">
        <v>77</v>
      </c>
      <c r="I31" t="s">
        <v>78</v>
      </c>
      <c r="J31" t="s">
        <v>79</v>
      </c>
      <c r="K31" t="s">
        <v>80</v>
      </c>
      <c r="L31" t="s">
        <v>81</v>
      </c>
      <c r="N31" s="7">
        <v>0.02</v>
      </c>
    </row>
    <row r="32" spans="1:14" x14ac:dyDescent="0.25">
      <c r="A32" t="str">
        <f>A2</f>
        <v>45Q-2040</v>
      </c>
      <c r="B32" t="s">
        <v>30</v>
      </c>
      <c r="C32" s="1">
        <f>-Low!B18/1000</f>
        <v>87.041623714157296</v>
      </c>
      <c r="D32" s="1">
        <f>Low!C18/1000</f>
        <v>55.215053146678599</v>
      </c>
      <c r="F32" s="1">
        <f>C32</f>
        <v>87.041623714157296</v>
      </c>
    </row>
    <row r="33" spans="1:10" x14ac:dyDescent="0.25">
      <c r="A33" t="str">
        <f t="shared" ref="A33:A57" si="0">A3</f>
        <v>45Q-2050</v>
      </c>
      <c r="B33" t="s">
        <v>30</v>
      </c>
      <c r="C33" s="1">
        <f>-Low!B19/1000</f>
        <v>277.18941464709002</v>
      </c>
      <c r="D33" s="1">
        <f>Low!C19/1000</f>
        <v>272.17378966586114</v>
      </c>
      <c r="F33" s="1">
        <f>C33</f>
        <v>277.18941464709002</v>
      </c>
    </row>
    <row r="34" spans="1:10" x14ac:dyDescent="0.25">
      <c r="A34" t="str">
        <f t="shared" si="0"/>
        <v>CDRIA-2035</v>
      </c>
      <c r="B34" t="s">
        <v>30</v>
      </c>
      <c r="C34" s="1">
        <f>-Low!B20/1000</f>
        <v>52.7127567252818</v>
      </c>
      <c r="D34" s="1">
        <f>Low!C20/1000</f>
        <v>60.824649079375007</v>
      </c>
      <c r="F34" s="1">
        <f>C34</f>
        <v>52.7127567252818</v>
      </c>
    </row>
    <row r="35" spans="1:10" x14ac:dyDescent="0.25">
      <c r="A35" t="str">
        <f t="shared" si="0"/>
        <v>CDRIA-2050</v>
      </c>
      <c r="B35" t="s">
        <v>30</v>
      </c>
      <c r="C35" s="1">
        <f>-Low!B21/1000</f>
        <v>568.35747058677691</v>
      </c>
      <c r="D35" s="1">
        <f>Low!C21/1000</f>
        <v>630.34279779581107</v>
      </c>
      <c r="F35" s="1">
        <f>C35</f>
        <v>568.35747058677691</v>
      </c>
    </row>
    <row r="36" spans="1:10" x14ac:dyDescent="0.25">
      <c r="A36" t="str">
        <f t="shared" si="0"/>
        <v>Innovation-DACHubs</v>
      </c>
      <c r="B36" t="s">
        <v>30</v>
      </c>
      <c r="C36" s="1">
        <f>-Low!B22/1000</f>
        <v>0.62911242305952997</v>
      </c>
      <c r="D36" s="1">
        <f>Low!C22/1000</f>
        <v>4.1262415688571004</v>
      </c>
      <c r="E36" s="1">
        <f>C36</f>
        <v>0.62911242305952997</v>
      </c>
    </row>
    <row r="37" spans="1:10" x14ac:dyDescent="0.25">
      <c r="A37" t="str">
        <f t="shared" si="0"/>
        <v>Innovation-maintain</v>
      </c>
      <c r="B37" t="s">
        <v>30</v>
      </c>
      <c r="C37" s="1">
        <f>-Low!B23/1000</f>
        <v>24.1876785360786</v>
      </c>
      <c r="D37" s="1">
        <f>Low!C23/1000</f>
        <v>2.3370840578976004</v>
      </c>
      <c r="E37" s="1">
        <f>C37</f>
        <v>24.1876785360786</v>
      </c>
    </row>
    <row r="38" spans="1:10" x14ac:dyDescent="0.25">
      <c r="A38" t="str">
        <f t="shared" si="0"/>
        <v>Innovation-rhodium18b</v>
      </c>
      <c r="B38" t="s">
        <v>30</v>
      </c>
      <c r="C38" s="1">
        <f>-Low!B24/1000</f>
        <v>58.217953069988795</v>
      </c>
      <c r="D38" s="1">
        <f>Low!C24/1000</f>
        <v>14.708132878070801</v>
      </c>
      <c r="E38" s="1">
        <f>C38</f>
        <v>58.217953069988795</v>
      </c>
    </row>
    <row r="39" spans="1:10" x14ac:dyDescent="0.25">
      <c r="A39" t="str">
        <f t="shared" si="0"/>
        <v>Innovation-rhodium6b</v>
      </c>
      <c r="B39" t="s">
        <v>30</v>
      </c>
      <c r="C39" s="1">
        <f>-Low!B25/1000</f>
        <v>36.532335702793603</v>
      </c>
      <c r="D39" s="1">
        <f>Low!C25/1000</f>
        <v>4.8598610157378985</v>
      </c>
      <c r="E39" s="1">
        <f>C39</f>
        <v>36.532335702793603</v>
      </c>
    </row>
    <row r="40" spans="1:10" x14ac:dyDescent="0.25">
      <c r="A40" t="str">
        <f t="shared" si="0"/>
        <v>Innovation-triple</v>
      </c>
      <c r="B40" t="s">
        <v>30</v>
      </c>
      <c r="C40" s="1">
        <f>-Low!B26/1000</f>
        <v>43.040120277630102</v>
      </c>
      <c r="D40" s="1">
        <f>Low!C26/1000</f>
        <v>7.0714240773678014</v>
      </c>
      <c r="E40" s="1">
        <f>C40</f>
        <v>43.040120277630102</v>
      </c>
    </row>
    <row r="41" spans="1:10" x14ac:dyDescent="0.25">
      <c r="A41" t="str">
        <f t="shared" si="0"/>
        <v>Procure3B</v>
      </c>
      <c r="B41" t="s">
        <v>30</v>
      </c>
      <c r="C41" s="1">
        <f>-Low!B27/1000</f>
        <v>38.255645925858296</v>
      </c>
      <c r="D41" s="1">
        <f>Low!C27/1000</f>
        <v>27.844316551196702</v>
      </c>
      <c r="G41" s="1">
        <f>C41</f>
        <v>38.255645925858296</v>
      </c>
    </row>
    <row r="42" spans="1:10" x14ac:dyDescent="0.25">
      <c r="A42" t="str">
        <f t="shared" si="0"/>
        <v>ProcureRhodium</v>
      </c>
      <c r="B42" t="s">
        <v>30</v>
      </c>
      <c r="C42" s="1">
        <f>-Low!B28/1000</f>
        <v>118.894246448717</v>
      </c>
      <c r="D42" s="1">
        <f>Low!C28/1000</f>
        <v>1176.2483637984021</v>
      </c>
      <c r="G42" s="1">
        <f>C42</f>
        <v>118.894246448717</v>
      </c>
    </row>
    <row r="43" spans="1:10" x14ac:dyDescent="0.25">
      <c r="A43" t="str">
        <f t="shared" si="0"/>
        <v>ProcureScaling</v>
      </c>
      <c r="B43" t="s">
        <v>30</v>
      </c>
      <c r="C43" s="1">
        <f>-Low!B29/1000</f>
        <v>27.8477754083363</v>
      </c>
      <c r="D43" s="1">
        <f>Low!C29/1000</f>
        <v>11.354460030213499</v>
      </c>
      <c r="G43" s="1">
        <f>C43</f>
        <v>27.8477754083363</v>
      </c>
    </row>
    <row r="44" spans="1:10" x14ac:dyDescent="0.25">
      <c r="A44" t="str">
        <f t="shared" si="0"/>
        <v>Optimal</v>
      </c>
      <c r="B44" t="s">
        <v>30</v>
      </c>
      <c r="C44" s="1">
        <f>-Low!B30/1000</f>
        <v>110.89849631853801</v>
      </c>
      <c r="D44" s="1">
        <f>Low!C30/1000</f>
        <v>56.978455524179303</v>
      </c>
      <c r="H44" s="1">
        <f>C44</f>
        <v>110.89849631853801</v>
      </c>
    </row>
    <row r="45" spans="1:10" x14ac:dyDescent="0.25">
      <c r="A45" t="str">
        <f t="shared" si="0"/>
        <v>45Q-2040</v>
      </c>
      <c r="B45" t="s">
        <v>32</v>
      </c>
      <c r="C45" s="1">
        <f>-High!B18/1000</f>
        <v>169.78338393730101</v>
      </c>
      <c r="D45" s="1">
        <f>High!C18/1000</f>
        <v>94.455205551250813</v>
      </c>
      <c r="J45" s="1">
        <f>C45</f>
        <v>169.78338393730101</v>
      </c>
    </row>
    <row r="46" spans="1:10" x14ac:dyDescent="0.25">
      <c r="A46" t="str">
        <f t="shared" si="0"/>
        <v>45Q-2050</v>
      </c>
      <c r="B46" t="s">
        <v>32</v>
      </c>
      <c r="C46" s="1">
        <f>-High!B19/1000</f>
        <v>754.77402503940107</v>
      </c>
      <c r="D46" s="1">
        <f>High!C19/1000</f>
        <v>749.14981794569087</v>
      </c>
      <c r="J46" s="1">
        <f>C46</f>
        <v>754.77402503940107</v>
      </c>
    </row>
    <row r="47" spans="1:10" x14ac:dyDescent="0.25">
      <c r="A47" t="str">
        <f t="shared" si="0"/>
        <v>CDRIA-2035</v>
      </c>
      <c r="B47" t="s">
        <v>32</v>
      </c>
      <c r="C47" s="1">
        <f>-High!B20/1000</f>
        <v>85.029801215989494</v>
      </c>
      <c r="D47" s="1">
        <f>High!C20/1000</f>
        <v>87.081623661185802</v>
      </c>
      <c r="J47" s="1">
        <f>C47</f>
        <v>85.029801215989494</v>
      </c>
    </row>
    <row r="48" spans="1:10" x14ac:dyDescent="0.25">
      <c r="A48" t="str">
        <f t="shared" si="0"/>
        <v>CDRIA-2050</v>
      </c>
      <c r="B48" t="s">
        <v>32</v>
      </c>
      <c r="C48" s="1">
        <f>-High!B21/1000</f>
        <v>1464.9897871615401</v>
      </c>
      <c r="D48" s="1">
        <f>High!C21/1000</f>
        <v>1470.3129361080937</v>
      </c>
      <c r="J48" s="1">
        <f>C48</f>
        <v>1464.9897871615401</v>
      </c>
    </row>
    <row r="49" spans="1:12" x14ac:dyDescent="0.25">
      <c r="A49" t="str">
        <f t="shared" si="0"/>
        <v>Innovation-DACHubs</v>
      </c>
      <c r="B49" t="s">
        <v>32</v>
      </c>
      <c r="C49" s="1">
        <f>-High!B22/1000</f>
        <v>3.7271947617020902</v>
      </c>
      <c r="D49" s="1">
        <f>High!C22/1000</f>
        <v>4.2101375662191982</v>
      </c>
      <c r="I49" s="1">
        <f>C49</f>
        <v>3.7271947617020902</v>
      </c>
    </row>
    <row r="50" spans="1:12" x14ac:dyDescent="0.25">
      <c r="A50" t="str">
        <f t="shared" si="0"/>
        <v>Innovation-maintain</v>
      </c>
      <c r="B50" t="s">
        <v>32</v>
      </c>
      <c r="C50" s="1">
        <f>-High!B23/1000</f>
        <v>45.921597500000004</v>
      </c>
      <c r="D50" s="1">
        <f>High!C23/1000</f>
        <v>2.325912385023801</v>
      </c>
      <c r="I50" s="1">
        <f>C50</f>
        <v>45.921597500000004</v>
      </c>
    </row>
    <row r="51" spans="1:12" x14ac:dyDescent="0.25">
      <c r="A51" t="str">
        <f t="shared" si="0"/>
        <v>Innovation-rhodium18b</v>
      </c>
      <c r="B51" t="s">
        <v>32</v>
      </c>
      <c r="C51" s="1">
        <f>-High!B24/1000</f>
        <v>107.0726366</v>
      </c>
      <c r="D51" s="1">
        <f>High!C24/1000</f>
        <v>14.633717565023801</v>
      </c>
      <c r="I51" s="1">
        <f>C51</f>
        <v>107.0726366</v>
      </c>
    </row>
    <row r="52" spans="1:12" x14ac:dyDescent="0.25">
      <c r="A52" t="str">
        <f t="shared" si="0"/>
        <v>Innovation-rhodium6b</v>
      </c>
      <c r="B52" t="s">
        <v>32</v>
      </c>
      <c r="C52" s="1">
        <f>-High!B25/1000</f>
        <v>69.242862210000013</v>
      </c>
      <c r="D52" s="1">
        <f>High!C25/1000</f>
        <v>4.8264201050237991</v>
      </c>
      <c r="I52" s="1">
        <f>C52</f>
        <v>69.242862210000013</v>
      </c>
    </row>
    <row r="53" spans="1:12" x14ac:dyDescent="0.25">
      <c r="A53" t="str">
        <f t="shared" si="0"/>
        <v>Innovation-triple</v>
      </c>
      <c r="B53" t="s">
        <v>32</v>
      </c>
      <c r="C53" s="1">
        <f>-High!B26/1000</f>
        <v>81.117731169999999</v>
      </c>
      <c r="D53" s="1">
        <f>High!C26/1000</f>
        <v>7.0449094950238011</v>
      </c>
      <c r="I53" s="1">
        <f>C53</f>
        <v>81.117731169999999</v>
      </c>
    </row>
    <row r="54" spans="1:12" x14ac:dyDescent="0.25">
      <c r="A54" t="str">
        <f t="shared" si="0"/>
        <v>Procure3B</v>
      </c>
      <c r="B54" t="s">
        <v>32</v>
      </c>
      <c r="C54" s="1">
        <f>-High!B27/1000</f>
        <v>70.006101200000003</v>
      </c>
      <c r="D54" s="1">
        <f>High!C27/1000</f>
        <v>27.911243325023797</v>
      </c>
      <c r="K54" s="1">
        <f>C54</f>
        <v>70.006101200000003</v>
      </c>
    </row>
    <row r="55" spans="1:12" x14ac:dyDescent="0.25">
      <c r="A55" t="str">
        <f t="shared" si="0"/>
        <v>ProcureRhodium</v>
      </c>
      <c r="B55" t="s">
        <v>32</v>
      </c>
      <c r="C55" s="1">
        <f>-High!B28/1000</f>
        <v>185.02690859979998</v>
      </c>
      <c r="D55" s="1">
        <f>High!C28/1000</f>
        <v>1207.1386077176137</v>
      </c>
      <c r="K55" s="1">
        <f>C55</f>
        <v>185.02690859979998</v>
      </c>
    </row>
    <row r="56" spans="1:12" x14ac:dyDescent="0.25">
      <c r="A56" t="str">
        <f t="shared" si="0"/>
        <v>ProcureScaling</v>
      </c>
      <c r="B56" t="s">
        <v>32</v>
      </c>
      <c r="C56" s="1">
        <f>-High!B29/1000</f>
        <v>52.677846719999998</v>
      </c>
      <c r="D56" s="1">
        <f>High!C29/1000</f>
        <v>11.419991415023802</v>
      </c>
      <c r="K56" s="1">
        <f>C56</f>
        <v>52.677846719999998</v>
      </c>
    </row>
    <row r="57" spans="1:12" x14ac:dyDescent="0.25">
      <c r="A57" t="str">
        <f t="shared" si="0"/>
        <v>Optimal</v>
      </c>
      <c r="B57" t="s">
        <v>32</v>
      </c>
      <c r="C57" s="1">
        <f>-High!B30/1000</f>
        <v>0</v>
      </c>
      <c r="D57" s="1">
        <f>High!C30/1000</f>
        <v>-15.116457684976199</v>
      </c>
      <c r="L57" s="1">
        <f>C57</f>
        <v>0</v>
      </c>
    </row>
    <row r="58" spans="1:12" x14ac:dyDescent="0.25">
      <c r="C58" s="1"/>
    </row>
    <row r="59" spans="1:12" x14ac:dyDescent="0.25">
      <c r="C59" s="1"/>
    </row>
    <row r="60" spans="1:12" x14ac:dyDescent="0.25">
      <c r="C60" s="1"/>
    </row>
    <row r="61" spans="1:12" x14ac:dyDescent="0.25">
      <c r="C61" s="1"/>
    </row>
    <row r="62" spans="1:12" x14ac:dyDescent="0.25">
      <c r="C62" s="1"/>
    </row>
    <row r="63" spans="1:12" x14ac:dyDescent="0.25">
      <c r="C63" s="1"/>
    </row>
    <row r="64" spans="1:12" x14ac:dyDescent="0.25">
      <c r="C64" s="1"/>
    </row>
    <row r="65" spans="1:14" x14ac:dyDescent="0.25">
      <c r="C65" s="1"/>
    </row>
    <row r="66" spans="1:14" x14ac:dyDescent="0.25">
      <c r="A66">
        <f>Low!A69</f>
        <v>0</v>
      </c>
      <c r="B66" t="s">
        <v>28</v>
      </c>
      <c r="C66" t="s">
        <v>19</v>
      </c>
      <c r="D66" t="s">
        <v>20</v>
      </c>
      <c r="E66" t="s">
        <v>74</v>
      </c>
      <c r="F66" t="s">
        <v>75</v>
      </c>
      <c r="G66" t="s">
        <v>76</v>
      </c>
      <c r="H66" t="s">
        <v>77</v>
      </c>
      <c r="I66" t="s">
        <v>78</v>
      </c>
      <c r="J66" t="s">
        <v>79</v>
      </c>
      <c r="K66" t="s">
        <v>80</v>
      </c>
      <c r="L66" t="s">
        <v>81</v>
      </c>
      <c r="N66" s="7">
        <v>0.2</v>
      </c>
    </row>
    <row r="67" spans="1:14" x14ac:dyDescent="0.25">
      <c r="A67" t="str">
        <f>A32</f>
        <v>45Q-2040</v>
      </c>
      <c r="B67" t="s">
        <v>30</v>
      </c>
      <c r="C67" s="1">
        <f>-Low!J18/1000</f>
        <v>10.209740402372299</v>
      </c>
      <c r="D67" s="1">
        <f>Low!K18/1000</f>
        <v>9.476218021083989</v>
      </c>
      <c r="F67" s="1">
        <f>C67</f>
        <v>10.209740402372299</v>
      </c>
    </row>
    <row r="68" spans="1:14" x14ac:dyDescent="0.25">
      <c r="A68" t="str">
        <f t="shared" ref="A68:A92" si="1">A33</f>
        <v>45Q-2050</v>
      </c>
      <c r="B68" t="s">
        <v>30</v>
      </c>
      <c r="C68" s="1">
        <f>-Low!J19/1000</f>
        <v>15.9803982211468</v>
      </c>
      <c r="D68" s="1">
        <f>Low!K19/1000</f>
        <v>16.568117338946593</v>
      </c>
      <c r="F68" s="1">
        <f>C68</f>
        <v>15.9803982211468</v>
      </c>
    </row>
    <row r="69" spans="1:14" x14ac:dyDescent="0.25">
      <c r="A69" t="str">
        <f t="shared" si="1"/>
        <v>CDRIA-2035</v>
      </c>
      <c r="B69" t="s">
        <v>30</v>
      </c>
      <c r="C69" s="1">
        <f>-Low!J20/1000</f>
        <v>10.131117210587</v>
      </c>
      <c r="D69" s="1">
        <f>Low!K20/1000</f>
        <v>19.137170013317693</v>
      </c>
      <c r="F69" s="1">
        <f>C69</f>
        <v>10.131117210587</v>
      </c>
    </row>
    <row r="70" spans="1:14" x14ac:dyDescent="0.25">
      <c r="A70" t="str">
        <f t="shared" si="1"/>
        <v>CDRIA-2050</v>
      </c>
      <c r="B70" t="s">
        <v>30</v>
      </c>
      <c r="C70" s="1">
        <f>-Low!J21/1000</f>
        <v>37.918655503970797</v>
      </c>
      <c r="D70" s="1">
        <f>Low!K21/1000</f>
        <v>45.651924713912997</v>
      </c>
      <c r="F70" s="1">
        <f>C70</f>
        <v>37.918655503970797</v>
      </c>
    </row>
    <row r="71" spans="1:14" x14ac:dyDescent="0.25">
      <c r="A71" t="str">
        <f t="shared" si="1"/>
        <v>Innovation-DACHubs</v>
      </c>
      <c r="B71" t="s">
        <v>30</v>
      </c>
      <c r="C71" s="1">
        <f>-Low!J22/1000</f>
        <v>0.33561574049935</v>
      </c>
      <c r="D71" s="1">
        <f>Low!K22/1000</f>
        <v>3.0119272354747899</v>
      </c>
      <c r="E71" s="1">
        <f>C71</f>
        <v>0.33561574049935</v>
      </c>
    </row>
    <row r="72" spans="1:14" x14ac:dyDescent="0.25">
      <c r="A72" t="str">
        <f t="shared" si="1"/>
        <v>Innovation-maintain</v>
      </c>
      <c r="B72" t="s">
        <v>30</v>
      </c>
      <c r="C72" s="1">
        <f>-Low!J23/1000</f>
        <v>2.03674772368365</v>
      </c>
      <c r="D72" s="1">
        <f>Low!K23/1000</f>
        <v>0.64868348327826975</v>
      </c>
      <c r="E72" s="1">
        <f>C72</f>
        <v>2.03674772368365</v>
      </c>
    </row>
    <row r="73" spans="1:14" x14ac:dyDescent="0.25">
      <c r="A73" t="str">
        <f t="shared" si="1"/>
        <v>Innovation-rhodium18b</v>
      </c>
      <c r="B73" t="s">
        <v>30</v>
      </c>
      <c r="C73" s="1">
        <f>-Low!J24/1000</f>
        <v>5.3638813822450304</v>
      </c>
      <c r="D73" s="1">
        <f>Low!K24/1000</f>
        <v>3.5095880533935908</v>
      </c>
      <c r="E73" s="1">
        <f>C73</f>
        <v>5.3638813822450304</v>
      </c>
    </row>
    <row r="74" spans="1:14" x14ac:dyDescent="0.25">
      <c r="A74" t="str">
        <f t="shared" si="1"/>
        <v>Innovation-rhodium6b</v>
      </c>
      <c r="B74" t="s">
        <v>30</v>
      </c>
      <c r="C74" s="1">
        <f>-Low!J25/1000</f>
        <v>3.2927796969207503</v>
      </c>
      <c r="D74" s="1">
        <f>Low!K25/1000</f>
        <v>1.1456123160236911</v>
      </c>
      <c r="E74" s="1">
        <f>C74</f>
        <v>3.2927796969207503</v>
      </c>
    </row>
    <row r="75" spans="1:14" x14ac:dyDescent="0.25">
      <c r="A75" t="str">
        <f t="shared" si="1"/>
        <v>Innovation-triple</v>
      </c>
      <c r="B75" t="s">
        <v>30</v>
      </c>
      <c r="C75" s="1">
        <f>-Low!J26/1000</f>
        <v>3.94821129977616</v>
      </c>
      <c r="D75" s="1">
        <f>Low!K26/1000</f>
        <v>1.9826901417550908</v>
      </c>
      <c r="E75" s="1">
        <f>C75</f>
        <v>3.94821129977616</v>
      </c>
    </row>
    <row r="76" spans="1:14" x14ac:dyDescent="0.25">
      <c r="A76" t="str">
        <f t="shared" si="1"/>
        <v>Procure3B</v>
      </c>
      <c r="B76" t="s">
        <v>30</v>
      </c>
      <c r="C76" s="1">
        <f>-Low!J27/1000</f>
        <v>5.7158742587877693</v>
      </c>
      <c r="D76" s="1">
        <f>Low!K27/1000</f>
        <v>11.417559116321593</v>
      </c>
      <c r="G76" s="1">
        <f>C76</f>
        <v>5.7158742587877693</v>
      </c>
    </row>
    <row r="77" spans="1:14" x14ac:dyDescent="0.25">
      <c r="A77" t="str">
        <f t="shared" si="1"/>
        <v>ProcureRhodium</v>
      </c>
      <c r="B77" t="s">
        <v>30</v>
      </c>
      <c r="C77" s="1">
        <f>-Low!J28/1000</f>
        <v>25.574064566239599</v>
      </c>
      <c r="D77" s="1">
        <f>Low!K28/1000</f>
        <v>138.93530596719577</v>
      </c>
      <c r="G77" s="1">
        <f>C77</f>
        <v>25.574064566239599</v>
      </c>
    </row>
    <row r="78" spans="1:14" x14ac:dyDescent="0.25">
      <c r="A78" t="str">
        <f t="shared" si="1"/>
        <v>ProcureScaling</v>
      </c>
      <c r="B78" t="s">
        <v>30</v>
      </c>
      <c r="C78" s="1">
        <f>-Low!J29/1000</f>
        <v>3.0937558246702901</v>
      </c>
      <c r="D78" s="1">
        <f>Low!K29/1000</f>
        <v>4.3122304298988912</v>
      </c>
      <c r="G78" s="1">
        <f>C78</f>
        <v>3.0937558246702901</v>
      </c>
    </row>
    <row r="79" spans="1:14" x14ac:dyDescent="0.25">
      <c r="A79" t="str">
        <f t="shared" si="1"/>
        <v>Optimal</v>
      </c>
      <c r="B79" t="s">
        <v>30</v>
      </c>
      <c r="C79" s="1">
        <f>-Low!J30/1000</f>
        <v>12.2700831571496</v>
      </c>
      <c r="D79" s="1">
        <f>Low!K30/1000</f>
        <v>10.039370991663089</v>
      </c>
      <c r="H79" s="1">
        <f>C79</f>
        <v>12.2700831571496</v>
      </c>
    </row>
    <row r="80" spans="1:14" x14ac:dyDescent="0.25">
      <c r="A80" t="str">
        <f t="shared" si="1"/>
        <v>45Q-2040</v>
      </c>
      <c r="B80" t="s">
        <v>32</v>
      </c>
      <c r="C80" s="1">
        <f>-High!J18/1000</f>
        <v>18.237934782227903</v>
      </c>
      <c r="D80" s="1">
        <f>High!K18/1000</f>
        <v>15.35711737145612</v>
      </c>
      <c r="J80" s="1">
        <f>C80</f>
        <v>18.237934782227903</v>
      </c>
    </row>
    <row r="81" spans="1:12" x14ac:dyDescent="0.25">
      <c r="A81" t="str">
        <f t="shared" si="1"/>
        <v>45Q-2050</v>
      </c>
      <c r="B81" t="s">
        <v>32</v>
      </c>
      <c r="C81" s="1">
        <f>-High!J19/1000</f>
        <v>35.032953427482198</v>
      </c>
      <c r="D81" s="1">
        <f>High!K19/1000</f>
        <v>35.469894501100818</v>
      </c>
      <c r="J81" s="1">
        <f>C81</f>
        <v>35.032953427482198</v>
      </c>
    </row>
    <row r="82" spans="1:12" x14ac:dyDescent="0.25">
      <c r="A82" t="str">
        <f t="shared" si="1"/>
        <v>CDRIA-2035</v>
      </c>
      <c r="B82" t="s">
        <v>32</v>
      </c>
      <c r="C82" s="1">
        <f>-High!J20/1000</f>
        <v>13.6691705387663</v>
      </c>
      <c r="D82" s="1">
        <f>High!K20/1000</f>
        <v>26.98339696665612</v>
      </c>
      <c r="J82" s="1">
        <f>C82</f>
        <v>13.6691705387663</v>
      </c>
    </row>
    <row r="83" spans="1:12" x14ac:dyDescent="0.25">
      <c r="A83" t="str">
        <f t="shared" si="1"/>
        <v>CDRIA-2050</v>
      </c>
      <c r="B83" t="s">
        <v>32</v>
      </c>
      <c r="C83" s="1">
        <f>-High!J21/1000</f>
        <v>77.084450851909907</v>
      </c>
      <c r="D83" s="1">
        <f>High!K21/1000</f>
        <v>86.588878581692811</v>
      </c>
      <c r="J83" s="1">
        <f>C83</f>
        <v>77.084450851909907</v>
      </c>
    </row>
    <row r="84" spans="1:12" x14ac:dyDescent="0.25">
      <c r="A84" t="str">
        <f t="shared" si="1"/>
        <v>Innovation-DACHubs</v>
      </c>
      <c r="B84" t="s">
        <v>32</v>
      </c>
      <c r="C84" s="1">
        <f>-High!J22/1000</f>
        <v>0.49459745807002703</v>
      </c>
      <c r="D84" s="1">
        <f>High!K22/1000</f>
        <v>3.059409534844721</v>
      </c>
      <c r="I84" s="1">
        <f>C84</f>
        <v>0.49459745807002703</v>
      </c>
    </row>
    <row r="85" spans="1:12" x14ac:dyDescent="0.25">
      <c r="A85" t="str">
        <f t="shared" si="1"/>
        <v>Innovation-maintain</v>
      </c>
      <c r="B85" t="s">
        <v>32</v>
      </c>
      <c r="C85" s="1">
        <f>-High!J23/1000</f>
        <v>3.1989574539999999</v>
      </c>
      <c r="D85" s="1">
        <f>High!K23/1000</f>
        <v>0.6423605549173208</v>
      </c>
      <c r="I85" s="1">
        <f>C85</f>
        <v>3.1989574539999999</v>
      </c>
    </row>
    <row r="86" spans="1:12" x14ac:dyDescent="0.25">
      <c r="A86" t="str">
        <f t="shared" si="1"/>
        <v>Innovation-rhodium18b</v>
      </c>
      <c r="B86" t="s">
        <v>32</v>
      </c>
      <c r="C86" s="1">
        <f>-High!J24/1000</f>
        <v>8.5145423079999993</v>
      </c>
      <c r="D86" s="1">
        <f>High!K24/1000</f>
        <v>3.4674732449173207</v>
      </c>
      <c r="I86" s="1">
        <f>C86</f>
        <v>8.5145423079999993</v>
      </c>
    </row>
    <row r="87" spans="1:12" x14ac:dyDescent="0.25">
      <c r="A87" t="str">
        <f t="shared" si="1"/>
        <v>Innovation-rhodium6b</v>
      </c>
      <c r="B87" t="s">
        <v>32</v>
      </c>
      <c r="C87" s="1">
        <f>-High!J25/1000</f>
        <v>5.2839158260000003</v>
      </c>
      <c r="D87" s="1">
        <f>High!K25/1000</f>
        <v>1.1266878249173204</v>
      </c>
      <c r="I87" s="1">
        <f>C87</f>
        <v>5.2839158260000003</v>
      </c>
    </row>
    <row r="88" spans="1:12" x14ac:dyDescent="0.25">
      <c r="A88" t="str">
        <f t="shared" si="1"/>
        <v>Innovation-triple</v>
      </c>
      <c r="B88" t="s">
        <v>32</v>
      </c>
      <c r="C88" s="1">
        <f>-High!J26/1000</f>
        <v>6.1108874349999995</v>
      </c>
      <c r="D88" s="1">
        <f>High!K26/1000</f>
        <v>1.9676849149173194</v>
      </c>
      <c r="I88" s="1">
        <f>C88</f>
        <v>6.1108874349999995</v>
      </c>
    </row>
    <row r="89" spans="1:12" x14ac:dyDescent="0.25">
      <c r="A89" t="str">
        <f t="shared" si="1"/>
        <v>Procure3B</v>
      </c>
      <c r="B89" t="s">
        <v>32</v>
      </c>
      <c r="C89" s="1">
        <f>-High!J27/1000</f>
        <v>7.7739790500000003</v>
      </c>
      <c r="D89" s="1">
        <f>High!K27/1000</f>
        <v>11.432142664917318</v>
      </c>
      <c r="K89" s="1">
        <f>C89</f>
        <v>7.7739790500000003</v>
      </c>
    </row>
    <row r="90" spans="1:12" x14ac:dyDescent="0.25">
      <c r="A90" t="str">
        <f t="shared" si="1"/>
        <v>ProcureRhodium</v>
      </c>
      <c r="B90" t="s">
        <v>32</v>
      </c>
      <c r="C90" s="1">
        <f>-High!J28/1000</f>
        <v>26.217887908184199</v>
      </c>
      <c r="D90" s="1">
        <f>High!K28/1000</f>
        <v>140.55513866259832</v>
      </c>
      <c r="K90" s="1">
        <f>C90</f>
        <v>26.217887908184199</v>
      </c>
    </row>
    <row r="91" spans="1:12" x14ac:dyDescent="0.25">
      <c r="A91" t="str">
        <f t="shared" si="1"/>
        <v>ProcureScaling</v>
      </c>
      <c r="B91" t="s">
        <v>32</v>
      </c>
      <c r="C91" s="1">
        <f>-High!J29/1000</f>
        <v>4.6815642999999998</v>
      </c>
      <c r="D91" s="1">
        <f>High!K29/1000</f>
        <v>4.3304415549173205</v>
      </c>
      <c r="K91" s="1">
        <f>C91</f>
        <v>4.6815642999999998</v>
      </c>
    </row>
    <row r="92" spans="1:12" x14ac:dyDescent="0.25">
      <c r="A92" t="str">
        <f t="shared" si="1"/>
        <v>Optimal</v>
      </c>
      <c r="B92" t="s">
        <v>32</v>
      </c>
      <c r="C92" s="1">
        <f>-High!J30/1000</f>
        <v>0</v>
      </c>
      <c r="D92" s="1">
        <f>High!K30/1000</f>
        <v>-9.7877637750826789</v>
      </c>
      <c r="L92" s="1">
        <f>C92</f>
        <v>0</v>
      </c>
    </row>
    <row r="94" spans="1:12" x14ac:dyDescent="0.25">
      <c r="C94" s="1"/>
      <c r="D94" s="1"/>
    </row>
    <row r="95" spans="1:12" x14ac:dyDescent="0.25">
      <c r="C95" s="1"/>
      <c r="D95" s="1"/>
    </row>
    <row r="96" spans="1:12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workbookViewId="0">
      <selection activeCell="H9" sqref="H9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5" x14ac:dyDescent="0.25">
      <c r="A1" t="s">
        <v>0</v>
      </c>
      <c r="B1" t="s">
        <v>52</v>
      </c>
      <c r="C1" t="s">
        <v>60</v>
      </c>
      <c r="D1" t="s">
        <v>61</v>
      </c>
      <c r="E1" t="s">
        <v>63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62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52</v>
      </c>
      <c r="C6" t="s">
        <v>60</v>
      </c>
      <c r="D6" t="s">
        <v>61</v>
      </c>
      <c r="E6" t="s">
        <v>51</v>
      </c>
    </row>
    <row r="7" spans="1:5" x14ac:dyDescent="0.25">
      <c r="A7" t="s">
        <v>53</v>
      </c>
      <c r="B7" s="8">
        <v>44.88</v>
      </c>
      <c r="C7" s="8">
        <v>697.52</v>
      </c>
      <c r="D7" s="8">
        <f>C7*44/12</f>
        <v>2557.5733333333333</v>
      </c>
      <c r="E7" s="8" t="s">
        <v>62</v>
      </c>
    </row>
    <row r="8" spans="1:5" x14ac:dyDescent="0.25">
      <c r="A8" t="s">
        <v>54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56</v>
      </c>
      <c r="B9" s="8">
        <v>227.92</v>
      </c>
      <c r="C9" s="8">
        <v>723.71</v>
      </c>
      <c r="D9" s="8">
        <f t="shared" ref="D9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58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55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59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57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52</v>
      </c>
      <c r="C16" t="s">
        <v>60</v>
      </c>
      <c r="D16" t="s">
        <v>61</v>
      </c>
      <c r="E16" t="s">
        <v>51</v>
      </c>
    </row>
    <row r="17" spans="1:5" x14ac:dyDescent="0.25">
      <c r="A17" t="s">
        <v>53</v>
      </c>
      <c r="B17" s="8">
        <v>100</v>
      </c>
      <c r="C17" s="8">
        <v>-18.37</v>
      </c>
      <c r="D17" s="8">
        <f>C17*44/12</f>
        <v>-67.356666666666669</v>
      </c>
      <c r="E17" s="8" t="s">
        <v>62</v>
      </c>
    </row>
    <row r="18" spans="1:5" x14ac:dyDescent="0.25">
      <c r="A18" t="s">
        <v>54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55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56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57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21:E23" si="3">1-(D21-D20)/(B21-B20)</f>
        <v>0.11300674132028654</v>
      </c>
    </row>
    <row r="22" spans="1:5" x14ac:dyDescent="0.25">
      <c r="A22" t="s">
        <v>58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59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zoomScale="60" zoomScaleNormal="60" workbookViewId="0">
      <selection activeCell="T52" sqref="T5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65</v>
      </c>
      <c r="E1" t="s">
        <v>34</v>
      </c>
      <c r="F1" t="s">
        <v>64</v>
      </c>
      <c r="G1" t="s">
        <v>35</v>
      </c>
      <c r="H1" t="s">
        <v>66</v>
      </c>
      <c r="I1" t="s">
        <v>67</v>
      </c>
      <c r="J1" t="s">
        <v>41</v>
      </c>
      <c r="M1" t="s">
        <v>83</v>
      </c>
      <c r="N1" t="s">
        <v>87</v>
      </c>
      <c r="O1" t="s">
        <v>84</v>
      </c>
      <c r="P1" t="s">
        <v>85</v>
      </c>
      <c r="Q1" t="s">
        <v>86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42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42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68</v>
      </c>
      <c r="F31" t="s">
        <v>69</v>
      </c>
      <c r="G31" t="s">
        <v>70</v>
      </c>
      <c r="H31" t="s">
        <v>71</v>
      </c>
      <c r="I31" t="s">
        <v>72</v>
      </c>
      <c r="J31" t="s">
        <v>73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68</v>
      </c>
      <c r="F60" t="s">
        <v>69</v>
      </c>
      <c r="G60" t="s">
        <v>70</v>
      </c>
      <c r="H60" t="s">
        <v>71</v>
      </c>
      <c r="I60" t="s">
        <v>72</v>
      </c>
      <c r="J60" t="s">
        <v>73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68</v>
      </c>
      <c r="F89" t="s">
        <v>69</v>
      </c>
      <c r="G89" t="s">
        <v>70</v>
      </c>
      <c r="H89" t="s">
        <v>71</v>
      </c>
      <c r="I89" t="s">
        <v>72</v>
      </c>
      <c r="J89" t="s">
        <v>73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2026-07-10T13:17:47Z</dcterms:modified>
</cp:coreProperties>
</file>