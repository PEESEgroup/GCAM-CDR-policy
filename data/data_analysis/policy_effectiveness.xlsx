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5345F5C3-691B-42EC-9114-60FC3EA57057}" xr6:coauthVersionLast="47" xr6:coauthVersionMax="47" xr10:uidLastSave="{00000000-0000-0000-0000-000000000000}"/>
  <bookViews>
    <workbookView xWindow="-120" yWindow="-120" windowWidth="29040" windowHeight="17520" activeTab="1" xr2:uid="{5B094011-67C9-461D-BBBF-A6D3FE50B4AB}"/>
  </bookViews>
  <sheets>
    <sheet name="Low" sheetId="1" r:id="rId1"/>
    <sheet name="High" sheetId="2" r:id="rId2"/>
    <sheet name="Plotting Marginal CostsBenefits" sheetId="5" r:id="rId3"/>
    <sheet name="Marginal C emissions" sheetId="6" r:id="rId4"/>
    <sheet name="Net-Zero Mandate" sheetId="3" r:id="rId5"/>
  </sheets>
  <definedNames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4" i="5" l="1"/>
  <c r="J93" i="5"/>
  <c r="J92" i="5"/>
  <c r="J91" i="5"/>
  <c r="J90" i="5"/>
  <c r="N89" i="5"/>
  <c r="H84" i="5"/>
  <c r="G81" i="5"/>
  <c r="I80" i="5"/>
  <c r="E77" i="5"/>
  <c r="E76" i="5"/>
  <c r="E75" i="5"/>
  <c r="F74" i="5"/>
  <c r="M98" i="5"/>
  <c r="L97" i="5"/>
  <c r="L96" i="5"/>
  <c r="L95" i="5"/>
  <c r="K88" i="5"/>
  <c r="K87" i="5"/>
  <c r="K86" i="5"/>
  <c r="K85" i="5"/>
  <c r="G83" i="5"/>
  <c r="G82" i="5"/>
  <c r="E79" i="5"/>
  <c r="E78" i="5"/>
  <c r="F73" i="5"/>
  <c r="F72" i="5"/>
  <c r="F71" i="5"/>
  <c r="A70" i="5"/>
  <c r="Q2" i="3"/>
  <c r="P2" i="3"/>
  <c r="N2" i="3"/>
  <c r="O2" i="3"/>
  <c r="O7" i="3"/>
  <c r="O6" i="3"/>
  <c r="M2" i="3"/>
  <c r="M61" i="5"/>
  <c r="L60" i="5"/>
  <c r="L59" i="5"/>
  <c r="L58" i="5"/>
  <c r="J57" i="5"/>
  <c r="J56" i="5"/>
  <c r="J55" i="5"/>
  <c r="J54" i="5"/>
  <c r="J53" i="5"/>
  <c r="N52" i="5"/>
  <c r="K51" i="5"/>
  <c r="K50" i="5"/>
  <c r="K49" i="5"/>
  <c r="K48" i="5"/>
  <c r="H47" i="5"/>
  <c r="G46" i="5"/>
  <c r="G45" i="5"/>
  <c r="G44" i="5"/>
  <c r="I43" i="5"/>
  <c r="E42" i="5"/>
  <c r="E41" i="5"/>
  <c r="E40" i="5"/>
  <c r="E39" i="5"/>
  <c r="E38" i="5"/>
  <c r="F37" i="5"/>
  <c r="F36" i="5"/>
  <c r="F35" i="5"/>
  <c r="F34" i="5"/>
  <c r="A33" i="5"/>
  <c r="F2" i="5"/>
  <c r="E8" i="6"/>
  <c r="D8" i="6"/>
  <c r="E20" i="6"/>
  <c r="E19" i="6"/>
  <c r="E18" i="6"/>
  <c r="E23" i="6"/>
  <c r="E22" i="6"/>
  <c r="E21" i="6"/>
  <c r="E9" i="6"/>
  <c r="E10" i="6"/>
  <c r="E11" i="6"/>
  <c r="E12" i="6"/>
  <c r="E13" i="6"/>
  <c r="E3" i="6"/>
  <c r="D9" i="6"/>
  <c r="D10" i="6"/>
  <c r="D11" i="6"/>
  <c r="D12" i="6"/>
  <c r="D13" i="6"/>
  <c r="D23" i="6"/>
  <c r="D22" i="6"/>
  <c r="D21" i="6"/>
  <c r="D20" i="6"/>
  <c r="D19" i="6"/>
  <c r="D18" i="6"/>
  <c r="D17" i="6"/>
  <c r="D7" i="6"/>
  <c r="D2" i="6"/>
  <c r="C3" i="6"/>
  <c r="D3" i="6" s="1"/>
  <c r="C2" i="6"/>
  <c r="A87" i="3"/>
  <c r="B87" i="3"/>
  <c r="C87" i="3"/>
  <c r="D87" i="3"/>
  <c r="H87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90" i="3"/>
  <c r="A91" i="3"/>
  <c r="B91" i="3"/>
  <c r="C91" i="3"/>
  <c r="A92" i="3"/>
  <c r="B92" i="3"/>
  <c r="C92" i="3"/>
  <c r="F92" i="3" s="1"/>
  <c r="A93" i="3"/>
  <c r="B93" i="3"/>
  <c r="C93" i="3"/>
  <c r="A94" i="3"/>
  <c r="B94" i="3"/>
  <c r="C94" i="3"/>
  <c r="A95" i="3"/>
  <c r="B95" i="3"/>
  <c r="C95" i="3"/>
  <c r="E95" i="3" s="1"/>
  <c r="A96" i="3"/>
  <c r="B96" i="3"/>
  <c r="C96" i="3"/>
  <c r="A97" i="3"/>
  <c r="B97" i="3"/>
  <c r="C97" i="3"/>
  <c r="A98" i="3"/>
  <c r="B98" i="3"/>
  <c r="C98" i="3"/>
  <c r="I98" i="3" s="1"/>
  <c r="A99" i="3"/>
  <c r="B99" i="3"/>
  <c r="C99" i="3"/>
  <c r="G99" i="3" s="1"/>
  <c r="A100" i="3"/>
  <c r="B100" i="3"/>
  <c r="C100" i="3"/>
  <c r="G100" i="3" s="1"/>
  <c r="A101" i="3"/>
  <c r="B101" i="3"/>
  <c r="C101" i="3"/>
  <c r="A102" i="3"/>
  <c r="B102" i="3"/>
  <c r="C102" i="3"/>
  <c r="F102" i="3" s="1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G110" i="3" s="1"/>
  <c r="A111" i="3"/>
  <c r="B111" i="3"/>
  <c r="C111" i="3"/>
  <c r="A112" i="3"/>
  <c r="B112" i="3"/>
  <c r="C112" i="3"/>
  <c r="G112" i="3" s="1"/>
  <c r="A113" i="3"/>
  <c r="B113" i="3"/>
  <c r="C113" i="3"/>
  <c r="A114" i="3"/>
  <c r="B114" i="3"/>
  <c r="C114" i="3"/>
  <c r="A115" i="3"/>
  <c r="B115" i="3"/>
  <c r="C115" i="3"/>
  <c r="H115" i="3" s="1"/>
  <c r="A116" i="3"/>
  <c r="B116" i="3"/>
  <c r="C116" i="3"/>
  <c r="B90" i="3"/>
  <c r="A90" i="3"/>
  <c r="C90" i="3"/>
  <c r="I114" i="3"/>
  <c r="I113" i="3"/>
  <c r="G111" i="3"/>
  <c r="E109" i="3"/>
  <c r="E108" i="3"/>
  <c r="E107" i="3"/>
  <c r="E106" i="3"/>
  <c r="E105" i="3"/>
  <c r="I104" i="3"/>
  <c r="F103" i="3"/>
  <c r="G101" i="3"/>
  <c r="E97" i="3"/>
  <c r="E96" i="3"/>
  <c r="E94" i="3"/>
  <c r="E93" i="3"/>
  <c r="F91" i="3"/>
  <c r="C89" i="3"/>
  <c r="B89" i="3"/>
  <c r="H86" i="3"/>
  <c r="I85" i="3"/>
  <c r="I84" i="3"/>
  <c r="G83" i="3"/>
  <c r="G82" i="3"/>
  <c r="G81" i="3"/>
  <c r="E80" i="3"/>
  <c r="E79" i="3"/>
  <c r="E78" i="3"/>
  <c r="E77" i="3"/>
  <c r="E76" i="3"/>
  <c r="I75" i="3"/>
  <c r="F74" i="3"/>
  <c r="F73" i="3"/>
  <c r="G72" i="3"/>
  <c r="G71" i="3"/>
  <c r="G70" i="3"/>
  <c r="I69" i="3"/>
  <c r="E68" i="3"/>
  <c r="E67" i="3"/>
  <c r="E66" i="3"/>
  <c r="E65" i="3"/>
  <c r="E64" i="3"/>
  <c r="F63" i="3"/>
  <c r="F62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60" i="3"/>
  <c r="A62" i="3"/>
  <c r="B62" i="3"/>
  <c r="D62" i="3"/>
  <c r="A63" i="3"/>
  <c r="B63" i="3"/>
  <c r="D63" i="3"/>
  <c r="A64" i="3"/>
  <c r="B64" i="3"/>
  <c r="D64" i="3"/>
  <c r="A65" i="3"/>
  <c r="B65" i="3"/>
  <c r="D65" i="3"/>
  <c r="A66" i="3"/>
  <c r="B66" i="3"/>
  <c r="D66" i="3"/>
  <c r="A67" i="3"/>
  <c r="B67" i="3"/>
  <c r="D67" i="3"/>
  <c r="A68" i="3"/>
  <c r="B68" i="3"/>
  <c r="D68" i="3"/>
  <c r="A69" i="3"/>
  <c r="B69" i="3"/>
  <c r="D69" i="3"/>
  <c r="A70" i="3"/>
  <c r="B70" i="3"/>
  <c r="D70" i="3"/>
  <c r="A71" i="3"/>
  <c r="B71" i="3"/>
  <c r="D71" i="3"/>
  <c r="A72" i="3"/>
  <c r="B72" i="3"/>
  <c r="D72" i="3"/>
  <c r="A73" i="3"/>
  <c r="B73" i="3"/>
  <c r="D73" i="3"/>
  <c r="A74" i="3"/>
  <c r="B74" i="3"/>
  <c r="D74" i="3"/>
  <c r="A75" i="3"/>
  <c r="B75" i="3"/>
  <c r="D75" i="3"/>
  <c r="A76" i="3"/>
  <c r="B76" i="3"/>
  <c r="D76" i="3"/>
  <c r="A77" i="3"/>
  <c r="B77" i="3"/>
  <c r="D77" i="3"/>
  <c r="A78" i="3"/>
  <c r="B78" i="3"/>
  <c r="D78" i="3"/>
  <c r="A79" i="3"/>
  <c r="B79" i="3"/>
  <c r="D79" i="3"/>
  <c r="A80" i="3"/>
  <c r="B80" i="3"/>
  <c r="D80" i="3"/>
  <c r="A81" i="3"/>
  <c r="B81" i="3"/>
  <c r="D81" i="3"/>
  <c r="A82" i="3"/>
  <c r="B82" i="3"/>
  <c r="D82" i="3"/>
  <c r="A83" i="3"/>
  <c r="B83" i="3"/>
  <c r="D83" i="3"/>
  <c r="A84" i="3"/>
  <c r="B84" i="3"/>
  <c r="D84" i="3"/>
  <c r="A85" i="3"/>
  <c r="B85" i="3"/>
  <c r="D85" i="3"/>
  <c r="A86" i="3"/>
  <c r="B86" i="3"/>
  <c r="D86" i="3"/>
  <c r="H116" i="3" s="1"/>
  <c r="B60" i="3"/>
  <c r="B61" i="3"/>
  <c r="D61" i="3"/>
  <c r="A6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0" i="2"/>
  <c r="J30" i="2"/>
  <c r="G30" i="2"/>
  <c r="F30" i="2"/>
  <c r="C30" i="2"/>
  <c r="B30" i="2"/>
  <c r="E30" i="2" s="1"/>
  <c r="K29" i="2"/>
  <c r="J29" i="2"/>
  <c r="M29" i="2" s="1"/>
  <c r="G29" i="2"/>
  <c r="F29" i="2"/>
  <c r="I29" i="2" s="1"/>
  <c r="C29" i="2"/>
  <c r="B29" i="2"/>
  <c r="K28" i="2"/>
  <c r="J28" i="2"/>
  <c r="G28" i="2"/>
  <c r="F28" i="2"/>
  <c r="C28" i="2"/>
  <c r="B28" i="2"/>
  <c r="E28" i="2" s="1"/>
  <c r="K27" i="2"/>
  <c r="J27" i="2"/>
  <c r="M27" i="2" s="1"/>
  <c r="G27" i="2"/>
  <c r="F27" i="2"/>
  <c r="C27" i="2"/>
  <c r="B27" i="2"/>
  <c r="K26" i="2"/>
  <c r="J26" i="2"/>
  <c r="M26" i="2" s="1"/>
  <c r="G26" i="2"/>
  <c r="F26" i="2"/>
  <c r="C26" i="2"/>
  <c r="B26" i="2"/>
  <c r="K25" i="2"/>
  <c r="J25" i="2"/>
  <c r="G25" i="2"/>
  <c r="F25" i="2"/>
  <c r="C25" i="2"/>
  <c r="B25" i="2"/>
  <c r="K24" i="2"/>
  <c r="J24" i="2"/>
  <c r="M24" i="2" s="1"/>
  <c r="G24" i="2"/>
  <c r="F24" i="2"/>
  <c r="C24" i="2"/>
  <c r="B24" i="2"/>
  <c r="K23" i="2"/>
  <c r="J23" i="2"/>
  <c r="M23" i="2" s="1"/>
  <c r="G23" i="2"/>
  <c r="F23" i="2"/>
  <c r="C23" i="2"/>
  <c r="B23" i="2"/>
  <c r="E23" i="2" s="1"/>
  <c r="K22" i="2"/>
  <c r="J22" i="2"/>
  <c r="G22" i="2"/>
  <c r="F22" i="2"/>
  <c r="C22" i="2"/>
  <c r="B22" i="2"/>
  <c r="K21" i="2"/>
  <c r="J21" i="2"/>
  <c r="G21" i="2"/>
  <c r="F21" i="2"/>
  <c r="I21" i="2" s="1"/>
  <c r="C21" i="2"/>
  <c r="B21" i="2"/>
  <c r="E21" i="2" s="1"/>
  <c r="K20" i="2"/>
  <c r="J20" i="2"/>
  <c r="G20" i="2"/>
  <c r="F20" i="2"/>
  <c r="I20" i="2" s="1"/>
  <c r="C20" i="2"/>
  <c r="B20" i="2"/>
  <c r="K19" i="2"/>
  <c r="J19" i="2"/>
  <c r="M19" i="2" s="1"/>
  <c r="G19" i="2"/>
  <c r="F19" i="2"/>
  <c r="C19" i="2"/>
  <c r="B19" i="2"/>
  <c r="E19" i="2" s="1"/>
  <c r="K18" i="2"/>
  <c r="J18" i="2"/>
  <c r="M18" i="2" s="1"/>
  <c r="G18" i="2"/>
  <c r="F18" i="2"/>
  <c r="C18" i="2"/>
  <c r="B18" i="2"/>
  <c r="J19" i="1"/>
  <c r="K19" i="1"/>
  <c r="J20" i="1"/>
  <c r="K20" i="1"/>
  <c r="J21" i="1"/>
  <c r="K21" i="1"/>
  <c r="J22" i="1"/>
  <c r="K22" i="1"/>
  <c r="J23" i="1"/>
  <c r="K23" i="1"/>
  <c r="J24" i="1"/>
  <c r="L24" i="1" s="1"/>
  <c r="K24" i="1"/>
  <c r="J25" i="1"/>
  <c r="K25" i="1"/>
  <c r="J26" i="1"/>
  <c r="K26" i="1"/>
  <c r="M26" i="1" s="1"/>
  <c r="J27" i="1"/>
  <c r="K27" i="1"/>
  <c r="J28" i="1"/>
  <c r="K28" i="1"/>
  <c r="J29" i="1"/>
  <c r="K29" i="1"/>
  <c r="J30" i="1"/>
  <c r="K30" i="1"/>
  <c r="F19" i="1"/>
  <c r="G19" i="1"/>
  <c r="F20" i="1"/>
  <c r="G20" i="1"/>
  <c r="H20" i="1" s="1"/>
  <c r="F21" i="1"/>
  <c r="G21" i="1"/>
  <c r="F22" i="1"/>
  <c r="G22" i="1"/>
  <c r="F23" i="1"/>
  <c r="G23" i="1"/>
  <c r="I23" i="1" s="1"/>
  <c r="F24" i="1"/>
  <c r="G24" i="1"/>
  <c r="F25" i="1"/>
  <c r="G25" i="1"/>
  <c r="I25" i="1" s="1"/>
  <c r="F26" i="1"/>
  <c r="G26" i="1"/>
  <c r="I26" i="1" s="1"/>
  <c r="F27" i="1"/>
  <c r="G27" i="1"/>
  <c r="F28" i="1"/>
  <c r="G28" i="1"/>
  <c r="F29" i="1"/>
  <c r="G29" i="1"/>
  <c r="F30" i="1"/>
  <c r="G30" i="1"/>
  <c r="K18" i="1"/>
  <c r="J18" i="1"/>
  <c r="L18" i="1" s="1"/>
  <c r="G18" i="1"/>
  <c r="F18" i="1"/>
  <c r="I18" i="1" s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C18" i="1"/>
  <c r="B18" i="1"/>
  <c r="M28" i="2" l="1"/>
  <c r="E26" i="2"/>
  <c r="I23" i="2"/>
  <c r="I30" i="2"/>
  <c r="E22" i="2"/>
  <c r="I25" i="2"/>
  <c r="M20" i="2"/>
  <c r="M22" i="2"/>
  <c r="I19" i="2"/>
  <c r="E25" i="2"/>
  <c r="I28" i="2"/>
  <c r="M24" i="1"/>
  <c r="D23" i="1"/>
  <c r="I27" i="1"/>
  <c r="M29" i="1"/>
  <c r="E24" i="1"/>
  <c r="D29" i="1"/>
  <c r="D24" i="1"/>
  <c r="H26" i="1"/>
  <c r="E20" i="1"/>
  <c r="L28" i="1"/>
  <c r="D30" i="1"/>
  <c r="H19" i="1"/>
  <c r="M21" i="1"/>
  <c r="L20" i="1"/>
  <c r="H25" i="1"/>
  <c r="E23" i="1"/>
  <c r="D18" i="1"/>
  <c r="I28" i="1"/>
  <c r="M30" i="1"/>
  <c r="D28" i="1"/>
  <c r="D27" i="1"/>
  <c r="E27" i="1"/>
  <c r="D22" i="1"/>
  <c r="I19" i="1"/>
  <c r="E30" i="1"/>
  <c r="E19" i="1"/>
  <c r="L27" i="1"/>
  <c r="L30" i="1"/>
  <c r="E28" i="1"/>
  <c r="L25" i="1"/>
  <c r="E29" i="1"/>
  <c r="D20" i="1"/>
  <c r="I30" i="1"/>
  <c r="H21" i="1"/>
  <c r="I29" i="1"/>
  <c r="L21" i="1"/>
  <c r="M20" i="1"/>
  <c r="E22" i="1"/>
  <c r="L22" i="1"/>
  <c r="H27" i="1"/>
  <c r="L23" i="1"/>
  <c r="D19" i="1"/>
  <c r="M28" i="1"/>
  <c r="M19" i="1"/>
  <c r="I20" i="1"/>
  <c r="E21" i="1"/>
  <c r="H28" i="1"/>
  <c r="D21" i="1"/>
  <c r="L29" i="1"/>
  <c r="M27" i="1"/>
  <c r="E26" i="1"/>
  <c r="E25" i="1"/>
  <c r="D25" i="1"/>
  <c r="D26" i="1"/>
  <c r="H22" i="1"/>
  <c r="H23" i="1"/>
  <c r="I24" i="1"/>
  <c r="L26" i="1"/>
  <c r="M21" i="2"/>
  <c r="M30" i="2"/>
  <c r="M25" i="2"/>
  <c r="I18" i="2"/>
  <c r="I24" i="2"/>
  <c r="I22" i="2"/>
  <c r="I26" i="2"/>
  <c r="I27" i="2"/>
  <c r="E24" i="2"/>
  <c r="E20" i="2"/>
  <c r="E29" i="2"/>
  <c r="E18" i="2"/>
  <c r="E27" i="2"/>
  <c r="H18" i="2"/>
  <c r="D20" i="2"/>
  <c r="L21" i="2"/>
  <c r="H22" i="2"/>
  <c r="D24" i="2"/>
  <c r="L25" i="2"/>
  <c r="H27" i="2"/>
  <c r="D29" i="2"/>
  <c r="L30" i="2"/>
  <c r="L18" i="2"/>
  <c r="H20" i="2"/>
  <c r="L22" i="2"/>
  <c r="H24" i="2"/>
  <c r="D26" i="2"/>
  <c r="L27" i="2"/>
  <c r="H29" i="2"/>
  <c r="D19" i="2"/>
  <c r="L20" i="2"/>
  <c r="D23" i="2"/>
  <c r="L24" i="2"/>
  <c r="H26" i="2"/>
  <c r="D28" i="2"/>
  <c r="L29" i="2"/>
  <c r="H19" i="2"/>
  <c r="D21" i="2"/>
  <c r="H23" i="2"/>
  <c r="D25" i="2"/>
  <c r="L26" i="2"/>
  <c r="H28" i="2"/>
  <c r="D30" i="2"/>
  <c r="D18" i="2"/>
  <c r="L19" i="2"/>
  <c r="H21" i="2"/>
  <c r="D22" i="2"/>
  <c r="L23" i="2"/>
  <c r="H25" i="2"/>
  <c r="D27" i="2"/>
  <c r="L28" i="2"/>
  <c r="H30" i="2"/>
  <c r="M22" i="1"/>
  <c r="L19" i="1"/>
  <c r="M23" i="1"/>
  <c r="M25" i="1"/>
  <c r="H24" i="1"/>
  <c r="H29" i="1"/>
  <c r="H30" i="1"/>
  <c r="I21" i="1"/>
  <c r="I22" i="1"/>
  <c r="M18" i="1"/>
  <c r="H18" i="1"/>
  <c r="E18" i="1"/>
  <c r="L27" i="5"/>
  <c r="L28" i="5"/>
  <c r="L26" i="5"/>
  <c r="N20" i="5"/>
  <c r="M29" i="5"/>
  <c r="K19" i="5"/>
  <c r="K18" i="5"/>
  <c r="K17" i="5"/>
  <c r="K16" i="5"/>
  <c r="J22" i="5"/>
  <c r="J23" i="5"/>
  <c r="J24" i="5"/>
  <c r="J25" i="5"/>
  <c r="J21" i="5"/>
  <c r="E10" i="5"/>
  <c r="E6" i="5"/>
  <c r="F3" i="5"/>
  <c r="F4" i="5"/>
  <c r="F5" i="5"/>
  <c r="E7" i="5"/>
  <c r="E8" i="5"/>
  <c r="E9" i="5"/>
  <c r="I11" i="5"/>
  <c r="G12" i="5"/>
  <c r="G13" i="5"/>
  <c r="G14" i="5"/>
  <c r="H15" i="5"/>
  <c r="A1" i="5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D60" i="3" s="1"/>
  <c r="D89" i="3" s="1"/>
  <c r="B31" i="3"/>
</calcChain>
</file>

<file path=xl/sharedStrings.xml><?xml version="1.0" encoding="utf-8"?>
<sst xmlns="http://schemas.openxmlformats.org/spreadsheetml/2006/main" count="507" uniqueCount="92">
  <si>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</si>
  <si>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</si>
  <si>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</si>
  <si>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</si>
  <si>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</si>
  <si>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</si>
  <si>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</si>
  <si>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</si>
  <si>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</si>
  <si>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</si>
  <si>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</si>
  <si>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</si>
  <si>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</si>
  <si>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</si>
  <si>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</si>
  <si>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</si>
  <si>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</si>
  <si>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</si>
  <si>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</si>
  <si>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</si>
  <si>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</si>
  <si>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</si>
  <si>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</si>
  <si>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</si>
  <si>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</si>
  <si>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</si>
  <si>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</si>
  <si>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</si>
  <si>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</si>
  <si>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</si>
  <si>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</si>
  <si>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</si>
  <si>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</si>
  <si>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</si>
  <si>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</si>
  <si>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</si>
  <si>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</si>
  <si>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</si>
  <si>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</si>
  <si>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</si>
  <si>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</si>
  <si>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</si>
  <si>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CDRIA-Rhodium18b</t>
  </si>
  <si>
    <t>Optimal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</si>
  <si>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</si>
  <si>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</si>
  <si>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</si>
  <si>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</si>
  <si>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</si>
  <si>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</si>
  <si>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</si>
  <si>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Effectiveness of CDR</t>
  </si>
  <si>
    <t>CDR (Mt)</t>
  </si>
  <si>
    <t>nzn baseline</t>
  </si>
  <si>
    <t>low baseline</t>
  </si>
  <si>
    <t>rhodium100b low</t>
  </si>
  <si>
    <t>high baseline</t>
  </si>
  <si>
    <t>rhodium100b high</t>
  </si>
  <si>
    <t>excess</t>
  </si>
  <si>
    <t>4gt</t>
  </si>
  <si>
    <t>C emissions (Mt C)</t>
  </si>
  <si>
    <t>C emission (Mt CO2-eq)</t>
  </si>
  <si>
    <t>N/A</t>
  </si>
  <si>
    <t>Additionality of CDR</t>
  </si>
  <si>
    <t>12% discount rate</t>
  </si>
  <si>
    <t>2% discount rate</t>
  </si>
  <si>
    <t>20% discount rate</t>
  </si>
  <si>
    <t>As snapshot of CDR prices in 2050</t>
  </si>
  <si>
    <t>Innovation Scenarios</t>
  </si>
  <si>
    <t>Subsidy Scenarios</t>
  </si>
  <si>
    <t>Procurement Scenarios</t>
  </si>
  <si>
    <t>Optimal Scenarios</t>
  </si>
  <si>
    <t>Baseline Pathways</t>
  </si>
  <si>
    <t>Efficient Pathway</t>
  </si>
  <si>
    <t>Innovation - 500 Mt</t>
  </si>
  <si>
    <t>Subsidy - 500 Mt</t>
  </si>
  <si>
    <t>Procurement - 500 Mt</t>
  </si>
  <si>
    <t>Optimal - 500 Mt</t>
  </si>
  <si>
    <t>Baseline - 500 Mt</t>
  </si>
  <si>
    <t>Innovation - 1.5 Gt</t>
  </si>
  <si>
    <t>Subsidy - 1.5 Gt</t>
  </si>
  <si>
    <t>Procurement - 1.5 Gt</t>
  </si>
  <si>
    <t>Optimal - 1.5 Gt</t>
  </si>
  <si>
    <t>Baseline - 1.5 Gt</t>
  </si>
  <si>
    <t>Negative Benefits are Bad</t>
  </si>
  <si>
    <t>Median Under 12%</t>
  </si>
  <si>
    <t>CI</t>
  </si>
  <si>
    <t>Lower Range</t>
  </si>
  <si>
    <t>Upper Range</t>
  </si>
  <si>
    <t>Mean under 12%</t>
  </si>
  <si>
    <t>500 Mt Baseline</t>
  </si>
  <si>
    <t>1500 Mt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</si>
</sst>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102A"/>
      <color rgb="FF004E60"/>
      <color rgb="FF005041"/>
      <color rgb="FF3A1235"/>
      <color rgb="FF00809E"/>
      <color rgb="FF002B70"/>
      <color rgb="FF0047BB"/>
      <color rgb="FF00B5E2"/>
      <color rgb="FF75246C"/>
      <color rgb="FF00AE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CostsBenefits'!$E$2:$E$29</c:f>
              <c:numCache>
                <c:formatCode>General</c:formatCode>
                <c:ptCount val="28"/>
                <c:pt idx="4" formatCode="&quot;$&quot;#,##0.00_);[Red]\(&quot;$&quot;#,##0.00\)">
                  <c:v>5.7182312864800897</c:v>
                </c:pt>
                <c:pt idx="5" formatCode="&quot;$&quot;#,##0.00_);[Red]\(&quot;$&quot;#,##0.00\)">
                  <c:v>6.1003980291767999</c:v>
                </c:pt>
                <c:pt idx="6" formatCode="&quot;$&quot;#,##0.00_);[Red]\(&quot;$&quot;#,##0.00\)">
                  <c:v>20.9724031247715</c:v>
                </c:pt>
                <c:pt idx="7" formatCode="&quot;$&quot;#,##0.00_);[Red]\(&quot;$&quot;#,##0.00\)">
                  <c:v>9.1759801601351985</c:v>
                </c:pt>
                <c:pt idx="8" formatCode="&quot;$&quot;#,##0.00_);[Red]\(&quot;$&quot;#,##0.00\)">
                  <c:v>10.472884531638799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BEA-8473-035688DC5CE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CostsBenefits'!$F$2:$F$29</c:f>
              <c:numCache>
                <c:formatCode>"$"#,##0.00_);[Red]\("$"#,##0.00\)</c:formatCode>
                <c:ptCount val="28"/>
                <c:pt idx="0">
                  <c:v>11.644658803537901</c:v>
                </c:pt>
                <c:pt idx="1">
                  <c:v>30.8488092279228</c:v>
                </c:pt>
                <c:pt idx="2">
                  <c:v>48.889259790475499</c:v>
                </c:pt>
                <c:pt idx="3">
                  <c:v>124.837112954951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2-4BEA-8473-035688DC5CE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CostsBenefits'!$G$2:$G$29</c:f>
              <c:numCache>
                <c:formatCode>General</c:formatCode>
                <c:ptCount val="28"/>
                <c:pt idx="10" formatCode="&quot;$&quot;#,##0.00_);[Red]\(&quot;$&quot;#,##0.00\)">
                  <c:v>3.2085743248811902E-2</c:v>
                </c:pt>
                <c:pt idx="11" formatCode="&quot;$&quot;#,##0.00_);[Red]\(&quot;$&quot;#,##0.00\)">
                  <c:v>-4.4606170443716504</c:v>
                </c:pt>
                <c:pt idx="12" formatCode="&quot;$&quot;#,##0.00_);[Red]\(&quot;$&quot;#,##0.00\)">
                  <c:v>0.18416268361230301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2-4BEA-8473-035688DC5CE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CostsBenefits'!$H$2:$H$29</c:f>
              <c:numCache>
                <c:formatCode>General</c:formatCode>
                <c:ptCount val="28"/>
                <c:pt idx="13" formatCode="&quot;$&quot;#,##0.00_);[Red]\(&quot;$&quot;#,##0.00\)">
                  <c:v>55.3942403007933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2-4BEA-8473-035688DC5CEE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CostsBenefits'!$I$2:$I$29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F02-4BEA-8473-035688DC5CEE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CostsBenefits'!$J$2:$J$29</c:f>
              <c:numCache>
                <c:formatCode>General</c:formatCode>
                <c:ptCount val="28"/>
                <c:pt idx="19" formatCode="&quot;$&quot;#,##0.00_);[Red]\(&quot;$&quot;#,##0.00\)">
                  <c:v>14.041807010664401</c:v>
                </c:pt>
                <c:pt idx="20" formatCode="&quot;$&quot;#,##0.00_);[Red]\(&quot;$&quot;#,##0.00\)">
                  <c:v>12.795920628411601</c:v>
                </c:pt>
                <c:pt idx="21" formatCode="&quot;$&quot;#,##0.00_);[Red]\(&quot;$&quot;#,##0.00\)">
                  <c:v>38.626101035459101</c:v>
                </c:pt>
                <c:pt idx="22" formatCode="&quot;$&quot;#,##0.00_);[Red]\(&quot;$&quot;#,##0.00\)">
                  <c:v>17.986986790839499</c:v>
                </c:pt>
                <c:pt idx="23" formatCode="&quot;$&quot;#,##0.00_);[Red]\(&quot;$&quot;#,##0.00\)">
                  <c:v>20.252154009836197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2-4BEA-8473-035688DC5CEE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CostsBenefits'!$K$2:$K$29</c:f>
              <c:numCache>
                <c:formatCode>General</c:formatCode>
                <c:ptCount val="28"/>
                <c:pt idx="14" formatCode="&quot;$&quot;#,##0.00_);[Red]\(&quot;$&quot;#,##0.00\)">
                  <c:v>24.0124014868552</c:v>
                </c:pt>
                <c:pt idx="15" formatCode="&quot;$&quot;#,##0.00_);[Red]\(&quot;$&quot;#,##0.00\)">
                  <c:v>84.257525916830588</c:v>
                </c:pt>
                <c:pt idx="16" formatCode="&quot;$&quot;#,##0.00_);[Red]\(&quot;$&quot;#,##0.00\)">
                  <c:v>74.162147660175606</c:v>
                </c:pt>
                <c:pt idx="17" formatCode="&quot;$&quot;#,##0.00_);[Red]\(&quot;$&quot;#,##0.00\)">
                  <c:v>265.90276421105403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2-4BEA-8473-035688DC5CEE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CostsBenefits'!$L$2:$L$29</c:f>
              <c:numCache>
                <c:formatCode>General</c:formatCode>
                <c:ptCount val="28"/>
                <c:pt idx="24" formatCode="&quot;$&quot;#,##0.00_);[Red]\(&quot;$&quot;#,##0.00\)">
                  <c:v>2.5552191726661397</c:v>
                </c:pt>
                <c:pt idx="25" formatCode="&quot;$&quot;#,##0.00_);[Red]\(&quot;$&quot;#,##0.00\)">
                  <c:v>-5.1575221174354304</c:v>
                </c:pt>
                <c:pt idx="26" formatCode="&quot;$&quot;#,##0.00_);[Red]\(&quot;$&quot;#,##0.00\)">
                  <c:v>2.70791448460225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02-4BEA-8473-035688DC5CEE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CostsBenefits'!$M$2:$M$29</c:f>
              <c:numCache>
                <c:formatCode>General</c:formatCode>
                <c:ptCount val="28"/>
                <c:pt idx="27" formatCode="&quot;$&quot;#,##0.00_);[Red]\(&quot;$&quot;#,##0.00\)">
                  <c:v>100.07899781724501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F02-4BEA-8473-035688DC5CEE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CostsBenefits'!$N$2:$N$29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F02-4BEA-8473-035688DC5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256135921941052"/>
          <c:y val="0.15835430783364748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CostsBenefits'!$E$2:$E$29</c:f>
              <c:numCache>
                <c:formatCode>General</c:formatCode>
                <c:ptCount val="28"/>
                <c:pt idx="4" formatCode="&quot;$&quot;#,##0.00_);[Red]\(&quot;$&quot;#,##0.00\)">
                  <c:v>5.7182312864800897</c:v>
                </c:pt>
                <c:pt idx="5" formatCode="&quot;$&quot;#,##0.00_);[Red]\(&quot;$&quot;#,##0.00\)">
                  <c:v>6.1003980291767999</c:v>
                </c:pt>
                <c:pt idx="6" formatCode="&quot;$&quot;#,##0.00_);[Red]\(&quot;$&quot;#,##0.00\)">
                  <c:v>20.9724031247715</c:v>
                </c:pt>
                <c:pt idx="7" formatCode="&quot;$&quot;#,##0.00_);[Red]\(&quot;$&quot;#,##0.00\)">
                  <c:v>9.1759801601351985</c:v>
                </c:pt>
                <c:pt idx="8" formatCode="&quot;$&quot;#,##0.00_);[Red]\(&quot;$&quot;#,##0.00\)">
                  <c:v>10.472884531638799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26-449D-95C0-FE50AEB6EDA4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CostsBenefits'!$F$2:$F$29</c:f>
              <c:numCache>
                <c:formatCode>"$"#,##0.00_);[Red]\("$"#,##0.00\)</c:formatCode>
                <c:ptCount val="28"/>
                <c:pt idx="0">
                  <c:v>11.644658803537901</c:v>
                </c:pt>
                <c:pt idx="1">
                  <c:v>30.8488092279228</c:v>
                </c:pt>
                <c:pt idx="2">
                  <c:v>48.889259790475499</c:v>
                </c:pt>
                <c:pt idx="3">
                  <c:v>124.837112954951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26-449D-95C0-FE50AEB6EDA4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CostsBenefits'!$G$2:$G$29</c:f>
              <c:numCache>
                <c:formatCode>General</c:formatCode>
                <c:ptCount val="28"/>
                <c:pt idx="10" formatCode="&quot;$&quot;#,##0.00_);[Red]\(&quot;$&quot;#,##0.00\)">
                  <c:v>3.2085743248811902E-2</c:v>
                </c:pt>
                <c:pt idx="11" formatCode="&quot;$&quot;#,##0.00_);[Red]\(&quot;$&quot;#,##0.00\)">
                  <c:v>-4.4606170443716504</c:v>
                </c:pt>
                <c:pt idx="12" formatCode="&quot;$&quot;#,##0.00_);[Red]\(&quot;$&quot;#,##0.00\)">
                  <c:v>0.18416268361230301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26-449D-95C0-FE50AEB6EDA4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CostsBenefits'!$H$2:$H$29</c:f>
              <c:numCache>
                <c:formatCode>General</c:formatCode>
                <c:ptCount val="28"/>
                <c:pt idx="13" formatCode="&quot;$&quot;#,##0.00_);[Red]\(&quot;$&quot;#,##0.00\)">
                  <c:v>55.3942403007933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26-449D-95C0-FE50AEB6EDA4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CostsBenefits'!$I$2:$I$29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26-449D-95C0-FE50AEB6EDA4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CostsBenefits'!$J$2:$J$29</c:f>
              <c:numCache>
                <c:formatCode>General</c:formatCode>
                <c:ptCount val="28"/>
                <c:pt idx="19" formatCode="&quot;$&quot;#,##0.00_);[Red]\(&quot;$&quot;#,##0.00\)">
                  <c:v>14.041807010664401</c:v>
                </c:pt>
                <c:pt idx="20" formatCode="&quot;$&quot;#,##0.00_);[Red]\(&quot;$&quot;#,##0.00\)">
                  <c:v>12.795920628411601</c:v>
                </c:pt>
                <c:pt idx="21" formatCode="&quot;$&quot;#,##0.00_);[Red]\(&quot;$&quot;#,##0.00\)">
                  <c:v>38.626101035459101</c:v>
                </c:pt>
                <c:pt idx="22" formatCode="&quot;$&quot;#,##0.00_);[Red]\(&quot;$&quot;#,##0.00\)">
                  <c:v>17.986986790839499</c:v>
                </c:pt>
                <c:pt idx="23" formatCode="&quot;$&quot;#,##0.00_);[Red]\(&quot;$&quot;#,##0.00\)">
                  <c:v>20.252154009836197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26-449D-95C0-FE50AEB6EDA4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CostsBenefits'!$K$2:$K$29</c:f>
              <c:numCache>
                <c:formatCode>General</c:formatCode>
                <c:ptCount val="28"/>
                <c:pt idx="14" formatCode="&quot;$&quot;#,##0.00_);[Red]\(&quot;$&quot;#,##0.00\)">
                  <c:v>24.0124014868552</c:v>
                </c:pt>
                <c:pt idx="15" formatCode="&quot;$&quot;#,##0.00_);[Red]\(&quot;$&quot;#,##0.00\)">
                  <c:v>84.257525916830588</c:v>
                </c:pt>
                <c:pt idx="16" formatCode="&quot;$&quot;#,##0.00_);[Red]\(&quot;$&quot;#,##0.00\)">
                  <c:v>74.162147660175606</c:v>
                </c:pt>
                <c:pt idx="17" formatCode="&quot;$&quot;#,##0.00_);[Red]\(&quot;$&quot;#,##0.00\)">
                  <c:v>265.90276421105403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526-449D-95C0-FE50AEB6EDA4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CostsBenefits'!$L$2:$L$29</c:f>
              <c:numCache>
                <c:formatCode>General</c:formatCode>
                <c:ptCount val="28"/>
                <c:pt idx="24" formatCode="&quot;$&quot;#,##0.00_);[Red]\(&quot;$&quot;#,##0.00\)">
                  <c:v>2.5552191726661397</c:v>
                </c:pt>
                <c:pt idx="25" formatCode="&quot;$&quot;#,##0.00_);[Red]\(&quot;$&quot;#,##0.00\)">
                  <c:v>-5.1575221174354304</c:v>
                </c:pt>
                <c:pt idx="26" formatCode="&quot;$&quot;#,##0.00_);[Red]\(&quot;$&quot;#,##0.00\)">
                  <c:v>2.70791448460225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526-449D-95C0-FE50AEB6EDA4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CostsBenefits'!$M$2:$M$29</c:f>
              <c:numCache>
                <c:formatCode>General</c:formatCode>
                <c:ptCount val="28"/>
                <c:pt idx="27" formatCode="&quot;$&quot;#,##0.00_);[Red]\(&quot;$&quot;#,##0.00\)">
                  <c:v>100.07899781724501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526-449D-95C0-FE50AEB6EDA4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CostsBenefits'!$N$2:$N$29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526-449D-95C0-FE50AEB6E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657268053416094"/>
          <c:y val="3.5891588464031364E-2"/>
          <c:w val="0.68818205548579736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CostsBenefits'!$E$34:$E$61</c:f>
              <c:numCache>
                <c:formatCode>General</c:formatCode>
                <c:ptCount val="28"/>
                <c:pt idx="4" formatCode="&quot;$&quot;#,##0.00_);[Red]\(&quot;$&quot;#,##0.00\)">
                  <c:v>23.639052484741402</c:v>
                </c:pt>
                <c:pt idx="5" formatCode="&quot;$&quot;#,##0.00_);[Red]\(&quot;$&quot;#,##0.00\)">
                  <c:v>30.682746255407402</c:v>
                </c:pt>
                <c:pt idx="6" formatCode="&quot;$&quot;#,##0.00_);[Red]\(&quot;$&quot;#,##0.00\)">
                  <c:v>97.079650583780889</c:v>
                </c:pt>
                <c:pt idx="7" formatCode="&quot;$&quot;#,##0.00_);[Red]\(&quot;$&quot;#,##0.00\)">
                  <c:v>43.683158017839396</c:v>
                </c:pt>
                <c:pt idx="8" formatCode="&quot;$&quot;#,##0.00_);[Red]\(&quot;$&quot;#,##0.00\)">
                  <c:v>50.470555104885598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B-4289-9AA8-700F5A53814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CostsBenefits'!$F$34:$F$61</c:f>
              <c:numCache>
                <c:formatCode>"$"#,##0.00_);[Red]\("$"#,##0.00\)</c:formatCode>
                <c:ptCount val="28"/>
                <c:pt idx="0">
                  <c:v>40.991392169844005</c:v>
                </c:pt>
                <c:pt idx="1">
                  <c:v>190.30731757226701</c:v>
                </c:pt>
                <c:pt idx="2">
                  <c:v>112.322040618713</c:v>
                </c:pt>
                <c:pt idx="3">
                  <c:v>611.71112191152508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0B-4289-9AA8-700F5A53814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CostsBenefits'!$G$34:$G$61</c:f>
              <c:numCache>
                <c:formatCode>General</c:formatCode>
                <c:ptCount val="28"/>
                <c:pt idx="10" formatCode="&quot;$&quot;#,##0.00_);[Red]\(&quot;$&quot;#,##0.00\)">
                  <c:v>1.4045679010868701</c:v>
                </c:pt>
                <c:pt idx="11" formatCode="&quot;$&quot;#,##0.00_);[Red]\(&quot;$&quot;#,##0.00\)">
                  <c:v>-40.603419309400401</c:v>
                </c:pt>
                <c:pt idx="12" formatCode="&quot;$&quot;#,##0.00_);[Red]\(&quot;$&quot;#,##0.00\)">
                  <c:v>2.6267782954144598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0B-4289-9AA8-700F5A53814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CostsBenefits'!$H$34:$H$61</c:f>
              <c:numCache>
                <c:formatCode>General</c:formatCode>
                <c:ptCount val="28"/>
                <c:pt idx="13" formatCode="&quot;$&quot;#,##0.00_);[Red]\(&quot;$&quot;#,##0.00\)">
                  <c:v>177.56027976733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0B-4289-9AA8-700F5A538146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CostsBenefits'!$I$34:$I$61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0B-4289-9AA8-700F5A538146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CostsBenefits'!$J$34:$J$61</c:f>
              <c:numCache>
                <c:formatCode>General</c:formatCode>
                <c:ptCount val="28"/>
                <c:pt idx="19" formatCode="&quot;$&quot;#,##0.00_);[Red]\(&quot;$&quot;#,##0.00\)">
                  <c:v>81.711783899172602</c:v>
                </c:pt>
                <c:pt idx="20" formatCode="&quot;$&quot;#,##0.00_);[Red]\(&quot;$&quot;#,##0.00\)">
                  <c:v>74.78762320090479</c:v>
                </c:pt>
                <c:pt idx="21" formatCode="&quot;$&quot;#,##0.00_);[Red]\(&quot;$&quot;#,##0.00\)">
                  <c:v>201.38240255214799</c:v>
                </c:pt>
                <c:pt idx="22" formatCode="&quot;$&quot;#,##0.00_);[Red]\(&quot;$&quot;#,##0.00\)">
                  <c:v>98.338675448048605</c:v>
                </c:pt>
                <c:pt idx="23" formatCode="&quot;$&quot;#,##0.00_);[Red]\(&quot;$&quot;#,##0.00\)">
                  <c:v>112.560083841115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F0B-4289-9AA8-700F5A538146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CostsBenefits'!$K$34:$K$61</c:f>
              <c:numCache>
                <c:formatCode>General</c:formatCode>
                <c:ptCount val="28"/>
                <c:pt idx="14" formatCode="&quot;$&quot;#,##0.00_);[Red]\(&quot;$&quot;#,##0.00\)">
                  <c:v>94.8647314703082</c:v>
                </c:pt>
                <c:pt idx="15" formatCode="&quot;$&quot;#,##0.00_);[Red]\(&quot;$&quot;#,##0.00\)">
                  <c:v>573.81981405192494</c:v>
                </c:pt>
                <c:pt idx="16" formatCode="&quot;$&quot;#,##0.00_);[Red]\(&quot;$&quot;#,##0.00\)">
                  <c:v>189.54767770812401</c:v>
                </c:pt>
                <c:pt idx="17" formatCode="&quot;$&quot;#,##0.00_);[Red]\(&quot;$&quot;#,##0.00\)">
                  <c:v>1529.26070418628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F0B-4289-9AA8-700F5A538146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CostsBenefits'!$L$34:$L$61</c:f>
              <c:numCache>
                <c:formatCode>General</c:formatCode>
                <c:ptCount val="28"/>
                <c:pt idx="24" formatCode="&quot;$&quot;#,##0.00_);[Red]\(&quot;$&quot;#,##0.00\)">
                  <c:v>20.6128411262535</c:v>
                </c:pt>
                <c:pt idx="25" formatCode="&quot;$&quot;#,##0.00_);[Red]\(&quot;$&quot;#,##0.00\)">
                  <c:v>-33.750559282223406</c:v>
                </c:pt>
                <c:pt idx="26" formatCode="&quot;$&quot;#,##0.00_);[Red]\(&quot;$&quot;#,##0.00\)">
                  <c:v>22.101075343330997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0B-4289-9AA8-700F5A538146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CostsBenefits'!$M$34:$M$61</c:f>
              <c:numCache>
                <c:formatCode>General</c:formatCode>
                <c:ptCount val="28"/>
                <c:pt idx="27" formatCode="&quot;$&quot;#,##0.00_);[Red]\(&quot;$&quot;#,##0.00\)">
                  <c:v>343.06427648368401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F0B-4289-9AA8-700F5A538146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CostsBenefits'!$N$34:$N$61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F0B-4289-9AA8-700F5A53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6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583712073923281"/>
          <c:y val="9.361730826614241E-2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0728399405295"/>
          <c:y val="3.5891588464031364E-2"/>
          <c:w val="0.81587610049720338"/>
          <c:h val="0.88171813016332468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CostsBenefits'!$E$34:$E$61</c:f>
              <c:numCache>
                <c:formatCode>General</c:formatCode>
                <c:ptCount val="28"/>
                <c:pt idx="4" formatCode="&quot;$&quot;#,##0.00_);[Red]\(&quot;$&quot;#,##0.00\)">
                  <c:v>23.639052484741402</c:v>
                </c:pt>
                <c:pt idx="5" formatCode="&quot;$&quot;#,##0.00_);[Red]\(&quot;$&quot;#,##0.00\)">
                  <c:v>30.682746255407402</c:v>
                </c:pt>
                <c:pt idx="6" formatCode="&quot;$&quot;#,##0.00_);[Red]\(&quot;$&quot;#,##0.00\)">
                  <c:v>97.079650583780889</c:v>
                </c:pt>
                <c:pt idx="7" formatCode="&quot;$&quot;#,##0.00_);[Red]\(&quot;$&quot;#,##0.00\)">
                  <c:v>43.683158017839396</c:v>
                </c:pt>
                <c:pt idx="8" formatCode="&quot;$&quot;#,##0.00_);[Red]\(&quot;$&quot;#,##0.00\)">
                  <c:v>50.470555104885598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80-4B72-95A3-6A71B05277E2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CostsBenefits'!$F$34:$F$61</c:f>
              <c:numCache>
                <c:formatCode>"$"#,##0.00_);[Red]\("$"#,##0.00\)</c:formatCode>
                <c:ptCount val="28"/>
                <c:pt idx="0">
                  <c:v>40.991392169844005</c:v>
                </c:pt>
                <c:pt idx="1">
                  <c:v>190.30731757226701</c:v>
                </c:pt>
                <c:pt idx="2">
                  <c:v>112.322040618713</c:v>
                </c:pt>
                <c:pt idx="3">
                  <c:v>611.71112191152508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80-4B72-95A3-6A71B05277E2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CostsBenefits'!$G$34:$G$61</c:f>
              <c:numCache>
                <c:formatCode>General</c:formatCode>
                <c:ptCount val="28"/>
                <c:pt idx="10" formatCode="&quot;$&quot;#,##0.00_);[Red]\(&quot;$&quot;#,##0.00\)">
                  <c:v>1.4045679010868701</c:v>
                </c:pt>
                <c:pt idx="11" formatCode="&quot;$&quot;#,##0.00_);[Red]\(&quot;$&quot;#,##0.00\)">
                  <c:v>-40.603419309400401</c:v>
                </c:pt>
                <c:pt idx="12" formatCode="&quot;$&quot;#,##0.00_);[Red]\(&quot;$&quot;#,##0.00\)">
                  <c:v>2.6267782954144598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780-4B72-95A3-6A71B05277E2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CostsBenefits'!$H$34:$H$61</c:f>
              <c:numCache>
                <c:formatCode>General</c:formatCode>
                <c:ptCount val="28"/>
                <c:pt idx="13" formatCode="&quot;$&quot;#,##0.00_);[Red]\(&quot;$&quot;#,##0.00\)">
                  <c:v>177.56027976733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780-4B72-95A3-6A71B05277E2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CostsBenefits'!$I$34:$I$61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780-4B72-95A3-6A71B05277E2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CostsBenefits'!$J$34:$J$61</c:f>
              <c:numCache>
                <c:formatCode>General</c:formatCode>
                <c:ptCount val="28"/>
                <c:pt idx="19" formatCode="&quot;$&quot;#,##0.00_);[Red]\(&quot;$&quot;#,##0.00\)">
                  <c:v>81.711783899172602</c:v>
                </c:pt>
                <c:pt idx="20" formatCode="&quot;$&quot;#,##0.00_);[Red]\(&quot;$&quot;#,##0.00\)">
                  <c:v>74.78762320090479</c:v>
                </c:pt>
                <c:pt idx="21" formatCode="&quot;$&quot;#,##0.00_);[Red]\(&quot;$&quot;#,##0.00\)">
                  <c:v>201.38240255214799</c:v>
                </c:pt>
                <c:pt idx="22" formatCode="&quot;$&quot;#,##0.00_);[Red]\(&quot;$&quot;#,##0.00\)">
                  <c:v>98.338675448048605</c:v>
                </c:pt>
                <c:pt idx="23" formatCode="&quot;$&quot;#,##0.00_);[Red]\(&quot;$&quot;#,##0.00\)">
                  <c:v>112.560083841115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780-4B72-95A3-6A71B05277E2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CostsBenefits'!$K$34:$K$61</c:f>
              <c:numCache>
                <c:formatCode>General</c:formatCode>
                <c:ptCount val="28"/>
                <c:pt idx="14" formatCode="&quot;$&quot;#,##0.00_);[Red]\(&quot;$&quot;#,##0.00\)">
                  <c:v>94.8647314703082</c:v>
                </c:pt>
                <c:pt idx="15" formatCode="&quot;$&quot;#,##0.00_);[Red]\(&quot;$&quot;#,##0.00\)">
                  <c:v>573.81981405192494</c:v>
                </c:pt>
                <c:pt idx="16" formatCode="&quot;$&quot;#,##0.00_);[Red]\(&quot;$&quot;#,##0.00\)">
                  <c:v>189.54767770812401</c:v>
                </c:pt>
                <c:pt idx="17" formatCode="&quot;$&quot;#,##0.00_);[Red]\(&quot;$&quot;#,##0.00\)">
                  <c:v>1529.26070418628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780-4B72-95A3-6A71B05277E2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CostsBenefits'!$L$34:$L$61</c:f>
              <c:numCache>
                <c:formatCode>General</c:formatCode>
                <c:ptCount val="28"/>
                <c:pt idx="24" formatCode="&quot;$&quot;#,##0.00_);[Red]\(&quot;$&quot;#,##0.00\)">
                  <c:v>20.6128411262535</c:v>
                </c:pt>
                <c:pt idx="25" formatCode="&quot;$&quot;#,##0.00_);[Red]\(&quot;$&quot;#,##0.00\)">
                  <c:v>-33.750559282223406</c:v>
                </c:pt>
                <c:pt idx="26" formatCode="&quot;$&quot;#,##0.00_);[Red]\(&quot;$&quot;#,##0.00\)">
                  <c:v>22.101075343330997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780-4B72-95A3-6A71B05277E2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CostsBenefits'!$M$34:$M$61</c:f>
              <c:numCache>
                <c:formatCode>General</c:formatCode>
                <c:ptCount val="28"/>
                <c:pt idx="27" formatCode="&quot;$&quot;#,##0.00_);[Red]\(&quot;$&quot;#,##0.00\)">
                  <c:v>343.06427648368401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780-4B72-95A3-6A71B05277E2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CostsBenefits'!$N$34:$N$61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780-4B72-95A3-6A71B0527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5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>
          <a:lumMod val="9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38144138436951"/>
          <c:y val="3.5891588464031364E-2"/>
          <c:w val="0.72094032217626325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CostsBenefits'!$E$71:$E$98</c:f>
              <c:numCache>
                <c:formatCode>General</c:formatCode>
                <c:ptCount val="28"/>
                <c:pt idx="4" formatCode="&quot;$&quot;#,##0.00_);[Red]\(&quot;$&quot;#,##0.00\)">
                  <c:v>2.7903663637267599</c:v>
                </c:pt>
                <c:pt idx="5" formatCode="&quot;$&quot;#,##0.00_);[Red]\(&quot;$&quot;#,##0.00\)">
                  <c:v>2.3607973050558697</c:v>
                </c:pt>
                <c:pt idx="6" formatCode="&quot;$&quot;#,##0.00_);[Red]\(&quot;$&quot;#,##0.00\)">
                  <c:v>8.4064334333911788</c:v>
                </c:pt>
                <c:pt idx="7" formatCode="&quot;$&quot;#,##0.00_);[Red]\(&quot;$&quot;#,##0.00\)">
                  <c:v>3.6100129557775897</c:v>
                </c:pt>
                <c:pt idx="8" formatCode="&quot;$&quot;#,##0.00_);[Red]\(&quot;$&quot;#,##0.00\)">
                  <c:v>4.2134803805597603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5-4451-BD4A-48C7DB21EC8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CostsBenefits'!$F$71:$F$98</c:f>
              <c:numCache>
                <c:formatCode>"$"#,##0.00_);[Red]\("$"#,##0.00\)</c:formatCode>
                <c:ptCount val="28"/>
                <c:pt idx="0">
                  <c:v>5.0021063151110798</c:v>
                </c:pt>
                <c:pt idx="1">
                  <c:v>9.3940921605190795</c:v>
                </c:pt>
                <c:pt idx="2">
                  <c:v>28.941918173507901</c:v>
                </c:pt>
                <c:pt idx="3">
                  <c:v>49.513350620204001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5-4451-BD4A-48C7DB21EC8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CostsBenefits'!$G$71:$G$98</c:f>
              <c:numCache>
                <c:formatCode>General</c:formatCode>
                <c:ptCount val="28"/>
                <c:pt idx="10" formatCode="&quot;$&quot;#,##0.00_);[Red]\(&quot;$&quot;#,##0.00\)">
                  <c:v>0.22743782558660999</c:v>
                </c:pt>
                <c:pt idx="11" formatCode="&quot;$&quot;#,##0.00_);[Red]\(&quot;$&quot;#,##0.00\)">
                  <c:v>1.03107110519603</c:v>
                </c:pt>
                <c:pt idx="12" formatCode="&quot;$&quot;#,##0.00_);[Red]\(&quot;$&quot;#,##0.00\)">
                  <c:v>0.125237709722896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5-4451-BD4A-48C7DB21EC8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CostsBenefits'!$H$71:$H$98</c:f>
              <c:numCache>
                <c:formatCode>General</c:formatCode>
                <c:ptCount val="28"/>
                <c:pt idx="13" formatCode="&quot;$&quot;#,##0.00_);[Red]\(&quot;$&quot;#,##0.00\)">
                  <c:v>27.847218892906103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5-4451-BD4A-48C7DB21EC86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CostsBenefits'!$I$71:$I$98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F5-4451-BD4A-48C7DB21EC86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CostsBenefits'!$J$71:$J$98</c:f>
              <c:numCache>
                <c:formatCode>General</c:formatCode>
                <c:ptCount val="28"/>
                <c:pt idx="19" formatCode="&quot;$&quot;#,##0.00_);[Red]\(&quot;$&quot;#,##0.00\)">
                  <c:v>5.0673328268512492</c:v>
                </c:pt>
                <c:pt idx="20" formatCode="&quot;$&quot;#,##0.00_);[Red]\(&quot;$&quot;#,##0.00\)">
                  <c:v>4.2773243685469495</c:v>
                </c:pt>
                <c:pt idx="21" formatCode="&quot;$&quot;#,##0.00_);[Red]\(&quot;$&quot;#,##0.00\)">
                  <c:v>14.1048743016727</c:v>
                </c:pt>
                <c:pt idx="22" formatCode="&quot;$&quot;#,##0.00_);[Red]\(&quot;$&quot;#,##0.00\)">
                  <c:v>6.3020903447309804</c:v>
                </c:pt>
                <c:pt idx="23" formatCode="&quot;$&quot;#,##0.00_);[Red]\(&quot;$&quot;#,##0.00\)">
                  <c:v>7.1335598014398505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5-4451-BD4A-48C7DB21EC86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CostsBenefits'!$K$71:$K$98</c:f>
              <c:numCache>
                <c:formatCode>General</c:formatCode>
                <c:ptCount val="28"/>
                <c:pt idx="14" formatCode="&quot;$&quot;#,##0.00_);[Red]\(&quot;$&quot;#,##0.00\)">
                  <c:v>9.6861108143464012</c:v>
                </c:pt>
                <c:pt idx="15" formatCode="&quot;$&quot;#,##0.00_);[Red]\(&quot;$&quot;#,##0.00\)">
                  <c:v>23.2048464252616</c:v>
                </c:pt>
                <c:pt idx="16" formatCode="&quot;$&quot;#,##0.00_);[Red]\(&quot;$&quot;#,##0.00\)">
                  <c:v>41.535203838220703</c:v>
                </c:pt>
                <c:pt idx="17" formatCode="&quot;$&quot;#,##0.00_);[Red]\(&quot;$&quot;#,##0.00\)">
                  <c:v>90.741464406757501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F5-4451-BD4A-48C7DB21EC86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CostsBenefits'!$L$71:$L$98</c:f>
              <c:numCache>
                <c:formatCode>General</c:formatCode>
                <c:ptCount val="28"/>
                <c:pt idx="24" formatCode="&quot;$&quot;#,##0.00_);[Red]\(&quot;$&quot;#,##0.00\)">
                  <c:v>0.81700285092435609</c:v>
                </c:pt>
                <c:pt idx="25" formatCode="&quot;$&quot;#,##0.00_);[Red]\(&quot;$&quot;#,##0.00\)">
                  <c:v>0.354460813324316</c:v>
                </c:pt>
                <c:pt idx="26" formatCode="&quot;$&quot;#,##0.00_);[Red]\(&quot;$&quot;#,##0.00\)">
                  <c:v>0.69201167725153201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F5-4451-BD4A-48C7DB21EC86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CostsBenefits'!$M$71:$M$98</c:f>
              <c:numCache>
                <c:formatCode>General</c:formatCode>
                <c:ptCount val="28"/>
                <c:pt idx="27" formatCode="&quot;$&quot;#,##0.00_);[Red]\(&quot;$&quot;#,##0.00\)">
                  <c:v>49.751588765194498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5F5-4451-BD4A-48C7DB21EC86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CostsBenefits'!$N$71:$N$98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5F5-4451-BD4A-48C7DB21E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11294740827941"/>
          <c:y val="0.14341500024114631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829788046276341"/>
          <c:y val="1.6694774261572769E-2"/>
          <c:w val="0.8028524970053269"/>
          <c:h val="0.9281458515581776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CostsBenefits'!$E$71:$E$98</c:f>
              <c:numCache>
                <c:formatCode>General</c:formatCode>
                <c:ptCount val="28"/>
                <c:pt idx="4" formatCode="&quot;$&quot;#,##0.00_);[Red]\(&quot;$&quot;#,##0.00\)">
                  <c:v>2.7903663637267599</c:v>
                </c:pt>
                <c:pt idx="5" formatCode="&quot;$&quot;#,##0.00_);[Red]\(&quot;$&quot;#,##0.00\)">
                  <c:v>2.3607973050558697</c:v>
                </c:pt>
                <c:pt idx="6" formatCode="&quot;$&quot;#,##0.00_);[Red]\(&quot;$&quot;#,##0.00\)">
                  <c:v>8.4064334333911788</c:v>
                </c:pt>
                <c:pt idx="7" formatCode="&quot;$&quot;#,##0.00_);[Red]\(&quot;$&quot;#,##0.00\)">
                  <c:v>3.6100129557775897</c:v>
                </c:pt>
                <c:pt idx="8" formatCode="&quot;$&quot;#,##0.00_);[Red]\(&quot;$&quot;#,##0.00\)">
                  <c:v>4.2134803805597603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B8-4E5B-9826-91639B230F7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CostsBenefits'!$F$71:$F$98</c:f>
              <c:numCache>
                <c:formatCode>"$"#,##0.00_);[Red]\("$"#,##0.00\)</c:formatCode>
                <c:ptCount val="28"/>
                <c:pt idx="0">
                  <c:v>5.0021063151110798</c:v>
                </c:pt>
                <c:pt idx="1">
                  <c:v>9.3940921605190795</c:v>
                </c:pt>
                <c:pt idx="2">
                  <c:v>28.941918173507901</c:v>
                </c:pt>
                <c:pt idx="3">
                  <c:v>49.513350620204001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B8-4E5B-9826-91639B230F7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CostsBenefits'!$G$71:$G$98</c:f>
              <c:numCache>
                <c:formatCode>General</c:formatCode>
                <c:ptCount val="28"/>
                <c:pt idx="10" formatCode="&quot;$&quot;#,##0.00_);[Red]\(&quot;$&quot;#,##0.00\)">
                  <c:v>0.22743782558660999</c:v>
                </c:pt>
                <c:pt idx="11" formatCode="&quot;$&quot;#,##0.00_);[Red]\(&quot;$&quot;#,##0.00\)">
                  <c:v>1.03107110519603</c:v>
                </c:pt>
                <c:pt idx="12" formatCode="&quot;$&quot;#,##0.00_);[Red]\(&quot;$&quot;#,##0.00\)">
                  <c:v>0.125237709722896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B8-4E5B-9826-91639B230F7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CostsBenefits'!$H$71:$H$98</c:f>
              <c:numCache>
                <c:formatCode>General</c:formatCode>
                <c:ptCount val="28"/>
                <c:pt idx="13" formatCode="&quot;$&quot;#,##0.00_);[Red]\(&quot;$&quot;#,##0.00\)">
                  <c:v>27.847218892906103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B8-4E5B-9826-91639B230F7E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CostsBenefits'!$I$71:$I$98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B8-4E5B-9826-91639B230F7E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CostsBenefits'!$J$71:$J$98</c:f>
              <c:numCache>
                <c:formatCode>General</c:formatCode>
                <c:ptCount val="28"/>
                <c:pt idx="19" formatCode="&quot;$&quot;#,##0.00_);[Red]\(&quot;$&quot;#,##0.00\)">
                  <c:v>5.0673328268512492</c:v>
                </c:pt>
                <c:pt idx="20" formatCode="&quot;$&quot;#,##0.00_);[Red]\(&quot;$&quot;#,##0.00\)">
                  <c:v>4.2773243685469495</c:v>
                </c:pt>
                <c:pt idx="21" formatCode="&quot;$&quot;#,##0.00_);[Red]\(&quot;$&quot;#,##0.00\)">
                  <c:v>14.1048743016727</c:v>
                </c:pt>
                <c:pt idx="22" formatCode="&quot;$&quot;#,##0.00_);[Red]\(&quot;$&quot;#,##0.00\)">
                  <c:v>6.3020903447309804</c:v>
                </c:pt>
                <c:pt idx="23" formatCode="&quot;$&quot;#,##0.00_);[Red]\(&quot;$&quot;#,##0.00\)">
                  <c:v>7.1335598014398505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B8-4E5B-9826-91639B230F7E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CostsBenefits'!$K$71:$K$98</c:f>
              <c:numCache>
                <c:formatCode>General</c:formatCode>
                <c:ptCount val="28"/>
                <c:pt idx="14" formatCode="&quot;$&quot;#,##0.00_);[Red]\(&quot;$&quot;#,##0.00\)">
                  <c:v>9.6861108143464012</c:v>
                </c:pt>
                <c:pt idx="15" formatCode="&quot;$&quot;#,##0.00_);[Red]\(&quot;$&quot;#,##0.00\)">
                  <c:v>23.2048464252616</c:v>
                </c:pt>
                <c:pt idx="16" formatCode="&quot;$&quot;#,##0.00_);[Red]\(&quot;$&quot;#,##0.00\)">
                  <c:v>41.535203838220703</c:v>
                </c:pt>
                <c:pt idx="17" formatCode="&quot;$&quot;#,##0.00_);[Red]\(&quot;$&quot;#,##0.00\)">
                  <c:v>90.741464406757501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AB8-4E5B-9826-91639B230F7E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CostsBenefits'!$L$71:$L$98</c:f>
              <c:numCache>
                <c:formatCode>General</c:formatCode>
                <c:ptCount val="28"/>
                <c:pt idx="24" formatCode="&quot;$&quot;#,##0.00_);[Red]\(&quot;$&quot;#,##0.00\)">
                  <c:v>0.81700285092435609</c:v>
                </c:pt>
                <c:pt idx="25" formatCode="&quot;$&quot;#,##0.00_);[Red]\(&quot;$&quot;#,##0.00\)">
                  <c:v>0.354460813324316</c:v>
                </c:pt>
                <c:pt idx="26" formatCode="&quot;$&quot;#,##0.00_);[Red]\(&quot;$&quot;#,##0.00\)">
                  <c:v>0.69201167725153201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AB8-4E5B-9826-91639B230F7E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CostsBenefits'!$M$71:$M$98</c:f>
              <c:numCache>
                <c:formatCode>General</c:formatCode>
                <c:ptCount val="28"/>
                <c:pt idx="27" formatCode="&quot;$&quot;#,##0.00_);[Red]\(&quot;$&quot;#,##0.00\)">
                  <c:v>49.751588765194498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AB8-4E5B-9826-91639B230F7E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CostsBenefits'!$N$71:$N$98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AB8-4E5B-9826-91639B230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5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>
          <a:lumMod val="9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6-407F-94DA-4FE9742D9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0312921934495736"/>
          <c:y val="2.1410654902386739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69-4630-A422-526D25E52A1C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69-4630-A422-526D25E52A1C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69-4630-A422-526D25E52A1C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69-4630-A422-526D25E52A1C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69-4630-A422-526D25E52A1C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B69-4630-A422-526D25E5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"/>
          <c:min val="-6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3-4DD8-ABE7-3D78BE972182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3-4DD8-ABE7-3D78BE972182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3-4DD8-ABE7-3D78BE972182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3-4DD8-ABE7-3D78BE972182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3-4DD8-ABE7-3D78BE972182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3-4DD8-ABE7-3D78BE972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644283478551695E-2"/>
          <c:y val="3.5891588464031364E-2"/>
          <c:w val="0.88326466228266431"/>
          <c:h val="0.908949037355719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8-4728-8741-439E240FC25B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8-4728-8741-439E240FC25B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A8-4728-8741-439E240FC25B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8-4728-8741-439E240FC25B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A8-4728-8741-439E240FC25B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A8-4728-8741-439E240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F-4014-A1E1-C3D25F69425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2F-4014-A1E1-C3D25F69425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2F-4014-A1E1-C3D25F69425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2F-4014-A1E1-C3D25F69425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2F-4014-A1E1-C3D25F69425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2F-4014-A1E1-C3D25F694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081979924786658E-2"/>
          <c:y val="3.5891588464031364E-2"/>
          <c:w val="0.88782696583642939"/>
          <c:h val="0.899147322354576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8-4E1A-A795-4BF49B2488CA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8-4E1A-A795-4BF49B2488CA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F8-4E1A-A795-4BF49B2488CA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8-4E1A-A795-4BF49B2488CA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F8-4E1A-A795-4BF49B2488CA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8-4E1A-A795-4BF49B24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plotArea>
      <cx:plotAreaRegion>
        <cx:series layoutId="boxWhisker" uniqueId="{D7DDA11E-BB64-49A4-92FD-2B8AA1488A96}">
          <cx:tx>
            <cx:txData>
              <cx:f>_xlchart.v1.1</cx:f>
              <cx:v>2% discount rate</cx:v>
            </cx:txData>
          </cx:tx>
          <cx:spPr>
            <a:solidFill>
              <a:srgbClr val="0047BB"/>
            </a:solidFill>
            <a:ln>
              <a:solidFill>
                <a:srgbClr val="00102A"/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12% discount rate</cx:v>
            </cx:txData>
          </cx:tx>
          <cx:spPr>
            <a:solidFill>
              <a:srgbClr val="00B5E2"/>
            </a:solidFill>
            <a:ln>
              <a:solidFill>
                <a:srgbClr val="004E60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20% discount rate</cx:v>
            </cx:txData>
          </cx:tx>
          <cx:spPr>
            <a:solidFill>
              <a:srgbClr val="75246C"/>
            </a:solidFill>
            <a:ln>
              <a:solidFill>
                <a:srgbClr val="3A1235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As snapshot of CDR prices in 2050</cx:v>
            </cx:txData>
          </cx:tx>
          <cx:spPr>
            <a:solidFill>
              <a:srgbClr val="00AE8D"/>
            </a:solidFill>
            <a:ln>
              <a:solidFill>
                <a:srgbClr val="005041"/>
              </a:solidFill>
            </a:ln>
          </cx:spPr>
          <cx:dataId val="3"/>
          <cx:layoutPr>
            <cx:statistics quartileMethod="exclusive"/>
          </cx:layoutPr>
        </cx:series>
      </cx:plotAreaRegion>
      <cx:axis id="0">
        <cx:catScaling gapWidth="0.349999994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6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Supply in 2050</a:t>
                </a:r>
                <a:endParaRPr lang="en-US" sz="14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-5"/>
        <cx:title>
          <cx:tx>
            <cx:txData>
              <cx:v>NPV Ratio to Most Efficient Pathway (%)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5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5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NPV Ratio to Most Efficient Pathway (%)</a:t>
              </a:r>
            </a:p>
          </cx:txPr>
        </cx:title>
        <cx:majorGridlines>
          <cx:spPr>
            <a:ln>
              <a:noFill/>
            </a:ln>
          </cx:spPr>
        </cx:majorGridlines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1">
      <cx:spPr>
        <a:ln>
          <a:solidFill>
            <a:schemeClr val="bg2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200" b="0" i="0" u="none" strike="noStrike" baseline="0">
            <a:solidFill>
              <a:schemeClr val="tx1">
                <a:lumMod val="85000"/>
                <a:lumOff val="1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microsoft.com/office/2014/relationships/chartEx" Target="../charts/chartEx1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152400</xdr:colOff>
      <xdr:row>4</xdr:row>
      <xdr:rowOff>142875</xdr:rowOff>
    </xdr:from>
    <xdr:to>
      <xdr:col>17</xdr:col>
      <xdr:colOff>238125</xdr:colOff>
      <xdr:row>31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0213B-0A6F-407F-B98B-2CFEF4520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273051</xdr:colOff>
      <xdr:row>21</xdr:row>
      <xdr:rowOff>152400</xdr:rowOff>
    </xdr:from>
    <xdr:to>
      <xdr:col>12</xdr:col>
      <xdr:colOff>561975</xdr:colOff>
      <xdr:row>25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12183F5-6FCC-493B-8F23-6404C755CE5A}"/>
            </a:ext>
          </a:extLst>
        </xdr:cNvPr>
        <xdr:cNvSpPr/>
      </xdr:nvSpPr>
      <xdr:spPr>
        <a:xfrm>
          <a:off x="9864726" y="4152900"/>
          <a:ext cx="288924" cy="698500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285750</xdr:colOff>
      <xdr:row>13</xdr:row>
      <xdr:rowOff>47625</xdr:rowOff>
    </xdr:from>
    <xdr:to>
      <xdr:col>14</xdr:col>
      <xdr:colOff>381000</xdr:colOff>
      <xdr:row>21</xdr:row>
      <xdr:rowOff>152400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79FCDF6-E576-49A3-A8D8-01E70741D384}"/>
            </a:ext>
          </a:extLst>
        </xdr:cNvPr>
        <xdr:cNvCxnSpPr/>
      </xdr:nvCxnSpPr>
      <xdr:spPr>
        <a:xfrm flipV="1">
          <a:off x="9877425" y="2524125"/>
          <a:ext cx="1314450" cy="16287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581025</xdr:colOff>
      <xdr:row>24</xdr:row>
      <xdr:rowOff>47625</xdr:rowOff>
    </xdr:from>
    <xdr:to>
      <xdr:col>17</xdr:col>
      <xdr:colOff>228600</xdr:colOff>
      <xdr:row>25</xdr:row>
      <xdr:rowOff>85725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378C693-7BA7-49EE-8892-35B191A54B32}"/>
            </a:ext>
          </a:extLst>
        </xdr:cNvPr>
        <xdr:cNvCxnSpPr/>
      </xdr:nvCxnSpPr>
      <xdr:spPr>
        <a:xfrm flipV="1">
          <a:off x="10172700" y="4619625"/>
          <a:ext cx="2695575" cy="22860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200025</xdr:colOff>
      <xdr:row>56</xdr:row>
      <xdr:rowOff>85724</xdr:rowOff>
    </xdr:from>
    <xdr:to>
      <xdr:col>17</xdr:col>
      <xdr:colOff>352425</xdr:colOff>
      <xdr:row>58</xdr:row>
      <xdr:rowOff>88899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4BAEF0D-6E87-4702-BDFB-748D3DB48D27}"/>
            </a:ext>
          </a:extLst>
        </xdr:cNvPr>
        <xdr:cNvSpPr/>
      </xdr:nvSpPr>
      <xdr:spPr>
        <a:xfrm>
          <a:off x="12839700" y="10753724"/>
          <a:ext cx="152400" cy="38417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190500</xdr:colOff>
      <xdr:row>44</xdr:row>
      <xdr:rowOff>107156</xdr:rowOff>
    </xdr:from>
    <xdr:to>
      <xdr:col>19</xdr:col>
      <xdr:colOff>529828</xdr:colOff>
      <xdr:row>56</xdr:row>
      <xdr:rowOff>77391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9430A3B3-6D57-4A8A-B720-FAEBEBF8849D}"/>
            </a:ext>
          </a:extLst>
        </xdr:cNvPr>
        <xdr:cNvCxnSpPr/>
      </xdr:nvCxnSpPr>
      <xdr:spPr>
        <a:xfrm flipV="1">
          <a:off x="12823031" y="8489156"/>
          <a:ext cx="1553766" cy="225623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352425</xdr:colOff>
      <xdr:row>56</xdr:row>
      <xdr:rowOff>9525</xdr:rowOff>
    </xdr:from>
    <xdr:to>
      <xdr:col>22</xdr:col>
      <xdr:colOff>28575</xdr:colOff>
      <xdr:row>58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6FD42DC-7275-4956-83A1-5D19D8B8F4E3}"/>
            </a:ext>
          </a:extLst>
        </xdr:cNvPr>
        <xdr:cNvCxnSpPr/>
      </xdr:nvCxnSpPr>
      <xdr:spPr>
        <a:xfrm flipV="1">
          <a:off x="12992100" y="10677525"/>
          <a:ext cx="2724150" cy="46672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400050</xdr:colOff>
      <xdr:row>96</xdr:row>
      <xdr:rowOff>57150</xdr:rowOff>
    </xdr:from>
    <xdr:to>
      <xdr:col>14</xdr:col>
      <xdr:colOff>133350</xdr:colOff>
      <xdr:row>98</xdr:row>
      <xdr:rowOff>165100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81A950B-2894-4924-B123-2F1C5999A02B}"/>
            </a:ext>
          </a:extLst>
        </xdr:cNvPr>
        <xdr:cNvSpPr/>
      </xdr:nvSpPr>
      <xdr:spPr>
        <a:xfrm>
          <a:off x="10607675" y="11296650"/>
          <a:ext cx="336550" cy="48895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403224</xdr:colOff>
      <xdr:row>77</xdr:row>
      <xdr:rowOff>57150</xdr:rowOff>
    </xdr:from>
    <xdr:to>
      <xdr:col>14</xdr:col>
      <xdr:colOff>0</xdr:colOff>
      <xdr:row>95</xdr:row>
      <xdr:rowOff>9525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C6FE2FF0-62E4-4E72-B9BE-823A5DB4940B}"/>
            </a:ext>
          </a:extLst>
        </xdr:cNvPr>
        <xdr:cNvCxnSpPr/>
      </xdr:nvCxnSpPr>
      <xdr:spPr>
        <a:xfrm flipV="1">
          <a:off x="10610849" y="7677150"/>
          <a:ext cx="200026" cy="3381375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395657</xdr:colOff>
      <xdr:row>13</xdr:row>
      <xdr:rowOff>36635</xdr:rowOff>
    </xdr:from>
    <xdr:to>
      <xdr:col>17</xdr:col>
      <xdr:colOff>219809</xdr:colOff>
      <xdr:row>24</xdr:row>
      <xdr:rowOff>58616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44AF586F-1868-4FE9-BC65-1E77084420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36</xdr:row>
      <xdr:rowOff>0</xdr:rowOff>
    </xdr:from>
    <xdr:to>
      <xdr:col>23</xdr:col>
      <xdr:colOff>202955</xdr:colOff>
      <xdr:row>62</xdr:row>
      <xdr:rowOff>147638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D9B858B9-986A-44DA-9C6B-CED8E957C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517072</xdr:colOff>
      <xdr:row>46</xdr:row>
      <xdr:rowOff>95249</xdr:rowOff>
    </xdr:from>
    <xdr:to>
      <xdr:col>23</xdr:col>
      <xdr:colOff>163286</xdr:colOff>
      <xdr:row>57</xdr:row>
      <xdr:rowOff>11566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44048F74-9372-473E-BCFD-3BF4D3EC8E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204107</xdr:colOff>
      <xdr:row>55</xdr:row>
      <xdr:rowOff>68036</xdr:rowOff>
    </xdr:from>
    <xdr:to>
      <xdr:col>18</xdr:col>
      <xdr:colOff>353786</xdr:colOff>
      <xdr:row>57</xdr:row>
      <xdr:rowOff>122918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0316EAC-847A-415A-A25F-49BAC988ABCA}"/>
            </a:ext>
          </a:extLst>
        </xdr:cNvPr>
        <xdr:cNvSpPr/>
      </xdr:nvSpPr>
      <xdr:spPr>
        <a:xfrm>
          <a:off x="13811250" y="10545536"/>
          <a:ext cx="149679" cy="435882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190500</xdr:colOff>
      <xdr:row>46</xdr:row>
      <xdr:rowOff>122464</xdr:rowOff>
    </xdr:from>
    <xdr:to>
      <xdr:col>20</xdr:col>
      <xdr:colOff>503464</xdr:colOff>
      <xdr:row>55</xdr:row>
      <xdr:rowOff>81643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3E0D71B4-82F2-46F5-B6CE-69ED0EBA4D6F}"/>
            </a:ext>
          </a:extLst>
        </xdr:cNvPr>
        <xdr:cNvCxnSpPr/>
      </xdr:nvCxnSpPr>
      <xdr:spPr>
        <a:xfrm flipV="1">
          <a:off x="13797643" y="8885464"/>
          <a:ext cx="1537607" cy="1673679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326571</xdr:colOff>
      <xdr:row>57</xdr:row>
      <xdr:rowOff>13607</xdr:rowOff>
    </xdr:from>
    <xdr:to>
      <xdr:col>23</xdr:col>
      <xdr:colOff>136071</xdr:colOff>
      <xdr:row>57</xdr:row>
      <xdr:rowOff>136071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2AB2B8B4-34B9-4187-8768-E9F46156ED64}"/>
            </a:ext>
          </a:extLst>
        </xdr:cNvPr>
        <xdr:cNvCxnSpPr/>
      </xdr:nvCxnSpPr>
      <xdr:spPr>
        <a:xfrm flipV="1">
          <a:off x="13933714" y="10872107"/>
          <a:ext cx="2871107" cy="122464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70</xdr:row>
      <xdr:rowOff>0</xdr:rowOff>
    </xdr:from>
    <xdr:to>
      <xdr:col>24</xdr:col>
      <xdr:colOff>202956</xdr:colOff>
      <xdr:row>96</xdr:row>
      <xdr:rowOff>147638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2B376FE9-EAA7-43C3-BBA5-989DEEB73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571500</xdr:colOff>
      <xdr:row>78</xdr:row>
      <xdr:rowOff>190499</xdr:rowOff>
    </xdr:from>
    <xdr:to>
      <xdr:col>24</xdr:col>
      <xdr:colOff>81643</xdr:colOff>
      <xdr:row>92</xdr:row>
      <xdr:rowOff>38780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C43E9C5A-B9F8-4243-8646-5BB6B53B0F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97972</xdr:colOff>
      <xdr:row>91</xdr:row>
      <xdr:rowOff>54429</xdr:rowOff>
    </xdr:from>
    <xdr:to>
      <xdr:col>19</xdr:col>
      <xdr:colOff>557893</xdr:colOff>
      <xdr:row>93</xdr:row>
      <xdr:rowOff>152854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349856-FA0F-4B8D-A0C4-93BA4D382DE3}"/>
            </a:ext>
          </a:extLst>
        </xdr:cNvPr>
        <xdr:cNvSpPr/>
      </xdr:nvSpPr>
      <xdr:spPr>
        <a:xfrm>
          <a:off x="14317436" y="17389929"/>
          <a:ext cx="459921" cy="47942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19</xdr:col>
      <xdr:colOff>122465</xdr:colOff>
      <xdr:row>79</xdr:row>
      <xdr:rowOff>13607</xdr:rowOff>
    </xdr:from>
    <xdr:to>
      <xdr:col>20</xdr:col>
      <xdr:colOff>571500</xdr:colOff>
      <xdr:row>91</xdr:row>
      <xdr:rowOff>54429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E1CAFB71-88DE-499B-A2D2-379C567FFBAB}"/>
            </a:ext>
          </a:extLst>
        </xdr:cNvPr>
        <xdr:cNvCxnSpPr/>
      </xdr:nvCxnSpPr>
      <xdr:spPr>
        <a:xfrm flipV="1">
          <a:off x="14341929" y="15063107"/>
          <a:ext cx="1061357" cy="2326822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557893</xdr:colOff>
      <xdr:row>92</xdr:row>
      <xdr:rowOff>54429</xdr:rowOff>
    </xdr:from>
    <xdr:to>
      <xdr:col>24</xdr:col>
      <xdr:colOff>68036</xdr:colOff>
      <xdr:row>93</xdr:row>
      <xdr:rowOff>149679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5857976B-07D0-4BA5-A2DD-7CF8EDC10C28}"/>
            </a:ext>
          </a:extLst>
        </xdr:cNvPr>
        <xdr:cNvCxnSpPr/>
      </xdr:nvCxnSpPr>
      <xdr:spPr>
        <a:xfrm flipV="1">
          <a:off x="14777357" y="17580429"/>
          <a:ext cx="2571750" cy="28575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495300</xdr:colOff>
      <xdr:row>20</xdr:row>
      <xdr:rowOff>47094</xdr:rowOff>
    </xdr:from>
    <xdr:to>
      <xdr:col>28</xdr:col>
      <xdr:colOff>582083</xdr:colOff>
      <xdr:row>47</xdr:row>
      <xdr:rowOff>42333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83575" y="3857094"/>
              <a:ext cx="5573183" cy="51387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476250</xdr:colOff>
      <xdr:row>41</xdr:row>
      <xdr:rowOff>10583</xdr:rowOff>
    </xdr:from>
    <xdr:to>
      <xdr:col>18</xdr:col>
      <xdr:colOff>31751</xdr:colOff>
      <xdr:row>54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A4F01B-9784-46C6-810D-201E64F0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179917</xdr:colOff>
      <xdr:row>40</xdr:row>
      <xdr:rowOff>31750</xdr:rowOff>
    </xdr:from>
    <xdr:to>
      <xdr:col>13</xdr:col>
      <xdr:colOff>0</xdr:colOff>
      <xdr:row>47</xdr:row>
      <xdr:rowOff>158750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BB506B7-834F-F352-0FDC-BC3237071A4B}"/>
            </a:ext>
          </a:extLst>
        </xdr:cNvPr>
        <xdr:cNvSpPr/>
      </xdr:nvSpPr>
      <xdr:spPr>
        <a:xfrm>
          <a:off x="15811500" y="7651750"/>
          <a:ext cx="1047750" cy="146050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10583</xdr:colOff>
      <xdr:row>40</xdr:row>
      <xdr:rowOff>31750</xdr:rowOff>
    </xdr:from>
    <xdr:to>
      <xdr:col>18</xdr:col>
      <xdr:colOff>31750</xdr:colOff>
      <xdr:row>41</xdr:row>
      <xdr:rowOff>10583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2DA94ACC-BD50-587B-9E76-ED4043D005CD}"/>
            </a:ext>
          </a:extLst>
        </xdr:cNvPr>
        <xdr:cNvCxnSpPr/>
      </xdr:nvCxnSpPr>
      <xdr:spPr>
        <a:xfrm>
          <a:off x="16869833" y="7651750"/>
          <a:ext cx="3090334" cy="1693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47</xdr:row>
      <xdr:rowOff>158750</xdr:rowOff>
    </xdr:from>
    <xdr:to>
      <xdr:col>13</xdr:col>
      <xdr:colOff>486833</xdr:colOff>
      <xdr:row>54</xdr:row>
      <xdr:rowOff>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09AAA52-6562-4915-AC84-D7872AEAEB9C}"/>
            </a:ext>
          </a:extLst>
        </xdr:cNvPr>
        <xdr:cNvCxnSpPr/>
      </xdr:nvCxnSpPr>
      <xdr:spPr>
        <a:xfrm>
          <a:off x="15822083" y="9112250"/>
          <a:ext cx="1524000" cy="1174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63</xdr:row>
      <xdr:rowOff>0</xdr:rowOff>
    </xdr:from>
    <xdr:to>
      <xdr:col>23</xdr:col>
      <xdr:colOff>42863</xdr:colOff>
      <xdr:row>89</xdr:row>
      <xdr:rowOff>147638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269C7-99C6-4FE5-9808-FFD3E90A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264582</xdr:colOff>
      <xdr:row>74</xdr:row>
      <xdr:rowOff>169333</xdr:rowOff>
    </xdr:from>
    <xdr:to>
      <xdr:col>22</xdr:col>
      <xdr:colOff>497416</xdr:colOff>
      <xdr:row>86</xdr:row>
      <xdr:rowOff>31221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642DC2-3796-4314-9A70-833AD3506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120650</xdr:colOff>
      <xdr:row>73</xdr:row>
      <xdr:rowOff>14816</xdr:rowOff>
    </xdr:from>
    <xdr:to>
      <xdr:col>17</xdr:col>
      <xdr:colOff>554567</xdr:colOff>
      <xdr:row>79</xdr:row>
      <xdr:rowOff>127000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C81D1C6-39F0-4DB8-AF77-764EB5C223DA}"/>
            </a:ext>
          </a:extLst>
        </xdr:cNvPr>
        <xdr:cNvSpPr/>
      </xdr:nvSpPr>
      <xdr:spPr>
        <a:xfrm>
          <a:off x="18821400" y="13921316"/>
          <a:ext cx="1047750" cy="1255184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565150</xdr:colOff>
      <xdr:row>73</xdr:row>
      <xdr:rowOff>14816</xdr:rowOff>
    </xdr:from>
    <xdr:to>
      <xdr:col>22</xdr:col>
      <xdr:colOff>486833</xdr:colOff>
      <xdr:row>74</xdr:row>
      <xdr:rowOff>179917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8C3F2A69-8D80-4528-B297-906CB3E8F706}"/>
            </a:ext>
          </a:extLst>
        </xdr:cNvPr>
        <xdr:cNvCxnSpPr/>
      </xdr:nvCxnSpPr>
      <xdr:spPr>
        <a:xfrm>
          <a:off x="19879733" y="13921316"/>
          <a:ext cx="2990850" cy="355601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127000</xdr:colOff>
      <xdr:row>79</xdr:row>
      <xdr:rowOff>116417</xdr:rowOff>
    </xdr:from>
    <xdr:to>
      <xdr:col>18</xdr:col>
      <xdr:colOff>264583</xdr:colOff>
      <xdr:row>86</xdr:row>
      <xdr:rowOff>31750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742F93A0-3EA9-4A86-A815-559F9B8B86DD}"/>
            </a:ext>
          </a:extLst>
        </xdr:cNvPr>
        <xdr:cNvCxnSpPr/>
      </xdr:nvCxnSpPr>
      <xdr:spPr>
        <a:xfrm>
          <a:off x="18827750" y="15165917"/>
          <a:ext cx="1365250" cy="12488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232833</xdr:colOff>
      <xdr:row>90</xdr:row>
      <xdr:rowOff>74083</xdr:rowOff>
    </xdr:from>
    <xdr:to>
      <xdr:col>22</xdr:col>
      <xdr:colOff>275696</xdr:colOff>
      <xdr:row>117</xdr:row>
      <xdr:rowOff>31221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155679-B632-483C-81DD-7DB228A5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603250</xdr:colOff>
      <xdr:row>102</xdr:row>
      <xdr:rowOff>137583</xdr:rowOff>
    </xdr:from>
    <xdr:to>
      <xdr:col>22</xdr:col>
      <xdr:colOff>64031</xdr:colOff>
      <xdr:row>113</xdr:row>
      <xdr:rowOff>41804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511A368-0FBC-4D8D-A8BB-068496D7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31749</xdr:colOff>
      <xdr:row>102</xdr:row>
      <xdr:rowOff>0</xdr:rowOff>
    </xdr:from>
    <xdr:to>
      <xdr:col>17</xdr:col>
      <xdr:colOff>222249</xdr:colOff>
      <xdr:row>107</xdr:row>
      <xdr:rowOff>169333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D6CD52E-B70B-44A5-AB3A-AFD6FB698977}"/>
            </a:ext>
          </a:extLst>
        </xdr:cNvPr>
        <xdr:cNvSpPr/>
      </xdr:nvSpPr>
      <xdr:spPr>
        <a:xfrm>
          <a:off x="18732499" y="19431000"/>
          <a:ext cx="804333" cy="1121833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201084</xdr:colOff>
      <xdr:row>101</xdr:row>
      <xdr:rowOff>179917</xdr:rowOff>
    </xdr:from>
    <xdr:to>
      <xdr:col>22</xdr:col>
      <xdr:colOff>21167</xdr:colOff>
      <xdr:row>102</xdr:row>
      <xdr:rowOff>148167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8F5A5B05-C8FA-46AF-89C0-FAB3EAE9E8A0}"/>
            </a:ext>
          </a:extLst>
        </xdr:cNvPr>
        <xdr:cNvCxnSpPr/>
      </xdr:nvCxnSpPr>
      <xdr:spPr>
        <a:xfrm>
          <a:off x="19515667" y="19420417"/>
          <a:ext cx="2889250" cy="158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42333</xdr:colOff>
      <xdr:row>107</xdr:row>
      <xdr:rowOff>169333</xdr:rowOff>
    </xdr:from>
    <xdr:to>
      <xdr:col>17</xdr:col>
      <xdr:colOff>592667</xdr:colOff>
      <xdr:row>113</xdr:row>
      <xdr:rowOff>31750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954F8AB6-D2A5-43DD-AEA5-8CF8067683A4}"/>
            </a:ext>
          </a:extLst>
        </xdr:cNvPr>
        <xdr:cNvCxnSpPr/>
      </xdr:nvCxnSpPr>
      <xdr:spPr>
        <a:xfrm>
          <a:off x="18743083" y="20552833"/>
          <a:ext cx="1164167" cy="1005417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16861"/>
      </a:accent1>
      <a:accent2>
        <a:srgbClr val="74A751"/>
      </a:accent2>
      <a:accent3>
        <a:srgbClr val="698FC6"/>
      </a:accent3>
      <a:accent4>
        <a:srgbClr val="DD9452"/>
      </a:accent4>
      <a:accent5>
        <a:srgbClr val="BFBE43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3"/>
  <sheetViews>
    <sheetView zoomScaleNormal="100" workbookViewId="0">
      <selection activeCell="I28" sqref="I28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2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36</v>
      </c>
      <c r="C1" t="s">
        <v>37</v>
      </c>
      <c r="D1" s="5" t="s">
        <v>38</v>
      </c>
      <c r="E1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-87041.623714157293</v>
      </c>
      <c r="C2" s="6">
        <v>68266.070870226496</v>
      </c>
      <c r="D2" s="5">
        <v>-1.27503491272587</v>
      </c>
      <c r="E2" s="6">
        <v>-18775.5528439308</v>
      </c>
      <c r="F2" s="6">
        <v>-24009.774422884198</v>
      </c>
      <c r="G2" s="6">
        <v>29691.982373295901</v>
      </c>
      <c r="H2" s="5">
        <v>-0.80862820545380198</v>
      </c>
      <c r="I2" s="6">
        <v>5682.20795041171</v>
      </c>
      <c r="J2" s="6">
        <v>-10209.740402372299</v>
      </c>
      <c r="K2" s="6">
        <v>18095.102337061198</v>
      </c>
      <c r="L2" s="5">
        <v>-0.56422672898961301</v>
      </c>
      <c r="M2" s="6">
        <v>7885.3619346888499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-277189.41464709002</v>
      </c>
      <c r="C3" s="6">
        <v>285224.80738940899</v>
      </c>
      <c r="D3" s="5">
        <v>-0.97182786162303203</v>
      </c>
      <c r="E3" s="6">
        <v>8035.3927423182704</v>
      </c>
      <c r="F3" s="6">
        <v>-48914.657028755297</v>
      </c>
      <c r="G3" s="6">
        <v>59208.421926960698</v>
      </c>
      <c r="H3" s="5">
        <v>-0.82614356939112998</v>
      </c>
      <c r="I3" s="6">
        <v>10293.7648982053</v>
      </c>
      <c r="J3" s="6">
        <v>-15980.398221146799</v>
      </c>
      <c r="K3" s="6">
        <v>25187.001654923799</v>
      </c>
      <c r="L3" s="5">
        <v>-0.63447005086541497</v>
      </c>
      <c r="M3" s="6">
        <v>9206.6034337769906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-52712.756725281797</v>
      </c>
      <c r="C4" s="6">
        <v>73875.666802922904</v>
      </c>
      <c r="D4" s="5">
        <v>-0.71353341372745804</v>
      </c>
      <c r="E4" s="6">
        <v>21162.910077641001</v>
      </c>
      <c r="F4" s="6">
        <v>-18634.107191897401</v>
      </c>
      <c r="G4" s="6">
        <v>40963.2275402632</v>
      </c>
      <c r="H4" s="5">
        <v>-0.45489841281627003</v>
      </c>
      <c r="I4" s="6">
        <v>22329.120348365701</v>
      </c>
      <c r="J4" s="6">
        <v>-10131.117210586999</v>
      </c>
      <c r="K4" s="6">
        <v>27756.054329294901</v>
      </c>
      <c r="L4" s="5">
        <v>-0.365005670128489</v>
      </c>
      <c r="M4" s="6">
        <v>17624.9371187078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-568357.47058677697</v>
      </c>
      <c r="C5" s="6">
        <v>643393.81551935896</v>
      </c>
      <c r="D5" s="5">
        <v>-0.88337415883923098</v>
      </c>
      <c r="E5" s="6">
        <v>75036.344932581502</v>
      </c>
      <c r="F5" s="6">
        <v>-107357.135510147</v>
      </c>
      <c r="G5" s="6">
        <v>133387.41987712201</v>
      </c>
      <c r="H5" s="5">
        <v>-0.80485202884234297</v>
      </c>
      <c r="I5" s="6">
        <v>26030.2843669748</v>
      </c>
      <c r="J5" s="6">
        <v>-37918.655503970796</v>
      </c>
      <c r="K5" s="6">
        <v>54270.809029890203</v>
      </c>
      <c r="L5" s="5">
        <v>-0.69869338935203096</v>
      </c>
      <c r="M5" s="6">
        <v>16352.153525919401</v>
      </c>
      <c r="N5" t="s">
        <v>24</v>
      </c>
    </row>
    <row r="6" spans="1:42" x14ac:dyDescent="0.25">
      <c r="A6" t="s">
        <v>6</v>
      </c>
      <c r="B6" s="6">
        <v>-629.11242305952999</v>
      </c>
      <c r="C6" s="6">
        <v>17177.259292405</v>
      </c>
      <c r="D6" s="5">
        <v>-3.6624726468307597E-2</v>
      </c>
      <c r="E6" s="6">
        <v>16548.146869345499</v>
      </c>
      <c r="F6" s="6">
        <v>-412.48126069827401</v>
      </c>
      <c r="G6" s="6">
        <v>13602.396522482601</v>
      </c>
      <c r="H6" s="5">
        <v>-3.0324160894479601E-2</v>
      </c>
      <c r="I6" s="6">
        <v>13189.915261784299</v>
      </c>
      <c r="J6" s="6">
        <v>-335.61574049935001</v>
      </c>
      <c r="K6" s="6">
        <v>11630.811551452</v>
      </c>
      <c r="L6" s="5">
        <v>-2.88557457073964E-2</v>
      </c>
      <c r="M6" s="6">
        <v>11295.1958109527</v>
      </c>
      <c r="N6" t="s">
        <v>24</v>
      </c>
    </row>
    <row r="7" spans="1:42" x14ac:dyDescent="0.25">
      <c r="A7" t="s">
        <v>5</v>
      </c>
      <c r="B7" s="6">
        <v>-24187.678536078602</v>
      </c>
      <c r="C7" s="6">
        <v>15388.101781445501</v>
      </c>
      <c r="D7" s="5">
        <v>-1.5718429004182399</v>
      </c>
      <c r="E7" s="6">
        <v>-8799.5767546330299</v>
      </c>
      <c r="F7" s="6">
        <v>-5025.3693987003298</v>
      </c>
      <c r="G7" s="6">
        <v>11163.6028158956</v>
      </c>
      <c r="H7" s="5">
        <v>-0.45015659205868702</v>
      </c>
      <c r="I7" s="6">
        <v>6138.2334171952698</v>
      </c>
      <c r="J7" s="6">
        <v>-2036.7477236836501</v>
      </c>
      <c r="K7" s="6">
        <v>9267.5677992554793</v>
      </c>
      <c r="L7" s="5">
        <v>-0.21977154824238501</v>
      </c>
      <c r="M7" s="6">
        <v>7230.8200755718199</v>
      </c>
      <c r="N7" t="s">
        <v>24</v>
      </c>
    </row>
    <row r="8" spans="1:42" x14ac:dyDescent="0.25">
      <c r="A8" t="s">
        <v>8</v>
      </c>
      <c r="B8" s="6">
        <v>-58217.953069988798</v>
      </c>
      <c r="C8" s="6">
        <v>27759.150601618701</v>
      </c>
      <c r="D8" s="5">
        <v>-2.0972526827457698</v>
      </c>
      <c r="E8" s="6">
        <v>-30458.802468370101</v>
      </c>
      <c r="F8" s="6">
        <v>-12921.4355867997</v>
      </c>
      <c r="G8" s="6">
        <v>16483.501297233201</v>
      </c>
      <c r="H8" s="5">
        <v>-0.78390114780823705</v>
      </c>
      <c r="I8" s="6">
        <v>3562.0657104335301</v>
      </c>
      <c r="J8" s="6">
        <v>-5363.8813822450302</v>
      </c>
      <c r="K8" s="6">
        <v>12128.4723693708</v>
      </c>
      <c r="L8" s="5">
        <v>-0.442255316159266</v>
      </c>
      <c r="M8" s="6">
        <v>6764.59098712583</v>
      </c>
      <c r="N8" t="s">
        <v>24</v>
      </c>
    </row>
    <row r="9" spans="1:42" x14ac:dyDescent="0.25">
      <c r="A9" t="s">
        <v>7</v>
      </c>
      <c r="B9" s="6">
        <v>-36532.3357027936</v>
      </c>
      <c r="C9" s="6">
        <v>17910.878739285799</v>
      </c>
      <c r="D9" s="5">
        <v>-2.0396729962033202</v>
      </c>
      <c r="E9" s="6">
        <v>-18621.456963507699</v>
      </c>
      <c r="F9" s="6">
        <v>-8027.2493380455498</v>
      </c>
      <c r="G9" s="6">
        <v>12253.329757220399</v>
      </c>
      <c r="H9" s="5">
        <v>-0.65510759092363402</v>
      </c>
      <c r="I9" s="6">
        <v>4226.0804191748603</v>
      </c>
      <c r="J9" s="6">
        <v>-3292.7796969207502</v>
      </c>
      <c r="K9" s="6">
        <v>9764.4966320009007</v>
      </c>
      <c r="L9" s="5">
        <v>-0.33721960496452202</v>
      </c>
      <c r="M9" s="6">
        <v>6471.7169350801396</v>
      </c>
      <c r="N9" t="s">
        <v>24</v>
      </c>
    </row>
    <row r="10" spans="1:42" x14ac:dyDescent="0.25">
      <c r="A10" t="s">
        <v>9</v>
      </c>
      <c r="B10" s="6">
        <v>-43040.1202776301</v>
      </c>
      <c r="C10" s="6">
        <v>20122.441800915702</v>
      </c>
      <c r="D10" s="5">
        <v>-2.13891140565612</v>
      </c>
      <c r="E10" s="6">
        <v>-22917.6784767143</v>
      </c>
      <c r="F10" s="6">
        <v>-9350.1536406274499</v>
      </c>
      <c r="G10" s="6">
        <v>13167.0476922533</v>
      </c>
      <c r="H10" s="5">
        <v>-0.71011770133774899</v>
      </c>
      <c r="I10" s="6">
        <v>3816.8940516258699</v>
      </c>
      <c r="J10" s="6">
        <v>-3948.2112997761601</v>
      </c>
      <c r="K10" s="6">
        <v>10601.5744577323</v>
      </c>
      <c r="L10" s="5">
        <v>-0.37241744757039502</v>
      </c>
      <c r="M10" s="6">
        <v>6653.3631579561397</v>
      </c>
      <c r="N10" t="s">
        <v>24</v>
      </c>
    </row>
    <row r="11" spans="1:42" x14ac:dyDescent="0.25">
      <c r="A11" t="s">
        <v>90</v>
      </c>
      <c r="B11" s="6">
        <v>0</v>
      </c>
      <c r="C11" s="6">
        <v>13051.0177235479</v>
      </c>
      <c r="D11" s="5">
        <v>0</v>
      </c>
      <c r="E11" s="6">
        <v>13051.0177235479</v>
      </c>
      <c r="F11" s="6">
        <v>0</v>
      </c>
      <c r="G11" s="6">
        <v>10184.315745906601</v>
      </c>
      <c r="H11" s="5">
        <v>0</v>
      </c>
      <c r="I11" s="6">
        <v>10184.315745906601</v>
      </c>
      <c r="J11" s="6">
        <v>0</v>
      </c>
      <c r="K11" s="6">
        <v>8618.8843159772096</v>
      </c>
      <c r="L11" s="5">
        <v>0</v>
      </c>
      <c r="M11" s="6">
        <v>8618.8843159772096</v>
      </c>
      <c r="N11" t="s">
        <v>24</v>
      </c>
    </row>
    <row r="12" spans="1:42" x14ac:dyDescent="0.25">
      <c r="A12" t="s">
        <v>10</v>
      </c>
      <c r="B12" s="6">
        <v>-38255.645925858298</v>
      </c>
      <c r="C12" s="6">
        <v>40895.3342747446</v>
      </c>
      <c r="D12" s="5">
        <v>-0.93545257923184399</v>
      </c>
      <c r="E12" s="6">
        <v>2639.68834888631</v>
      </c>
      <c r="F12" s="6">
        <v>-10717.5437780061</v>
      </c>
      <c r="G12" s="6">
        <v>26505.399439955301</v>
      </c>
      <c r="H12" s="5">
        <v>-0.40435322630339199</v>
      </c>
      <c r="I12" s="6">
        <v>15787.855661949199</v>
      </c>
      <c r="J12" s="6">
        <v>-5715.8742587877696</v>
      </c>
      <c r="K12" s="6">
        <v>20036.443432298802</v>
      </c>
      <c r="L12" s="5">
        <v>-0.28527389494553501</v>
      </c>
      <c r="M12" s="6">
        <v>14320.569173510999</v>
      </c>
      <c r="N12" t="s">
        <v>24</v>
      </c>
    </row>
    <row r="13" spans="1:42" x14ac:dyDescent="0.25">
      <c r="A13" t="s">
        <v>11</v>
      </c>
      <c r="B13" s="6">
        <v>-118894.24644871699</v>
      </c>
      <c r="C13" s="6">
        <v>1189299.38152195</v>
      </c>
      <c r="D13" s="5">
        <v>-9.9969989302918297E-2</v>
      </c>
      <c r="E13" s="6">
        <v>1070405.1350732299</v>
      </c>
      <c r="F13" s="6">
        <v>-43687.746545707101</v>
      </c>
      <c r="G13" s="6">
        <v>307571.125560107</v>
      </c>
      <c r="H13" s="5">
        <v>-0.142041118021559</v>
      </c>
      <c r="I13" s="6">
        <v>263883.37901440001</v>
      </c>
      <c r="J13" s="6">
        <v>-25574.064566239598</v>
      </c>
      <c r="K13" s="6">
        <v>147554.190283173</v>
      </c>
      <c r="L13" s="5">
        <v>-0.17331981231546201</v>
      </c>
      <c r="M13" s="6">
        <v>121980.125716934</v>
      </c>
      <c r="N13" t="s">
        <v>24</v>
      </c>
    </row>
    <row r="14" spans="1:42" x14ac:dyDescent="0.25">
      <c r="A14" t="s">
        <v>12</v>
      </c>
      <c r="B14" s="6">
        <v>-27847.7754083363</v>
      </c>
      <c r="C14" s="6">
        <v>24405.477753761399</v>
      </c>
      <c r="D14" s="5">
        <v>-1.14104610814448</v>
      </c>
      <c r="E14" s="6">
        <v>-3442.2976545748802</v>
      </c>
      <c r="F14" s="6">
        <v>-6640.4507534377399</v>
      </c>
      <c r="G14" s="6">
        <v>16540.7079260965</v>
      </c>
      <c r="H14" s="5">
        <v>-0.40146109725817603</v>
      </c>
      <c r="I14" s="6">
        <v>9900.2571726588303</v>
      </c>
      <c r="J14" s="6">
        <v>-3093.7558246702902</v>
      </c>
      <c r="K14" s="6">
        <v>12931.114745876101</v>
      </c>
      <c r="L14" s="5">
        <v>-0.23924896541939</v>
      </c>
      <c r="M14" s="6">
        <v>9837.3589212058396</v>
      </c>
      <c r="N14" t="s">
        <v>24</v>
      </c>
    </row>
    <row r="15" spans="1:42" x14ac:dyDescent="0.25">
      <c r="A15" t="s">
        <v>43</v>
      </c>
      <c r="B15" s="6"/>
      <c r="C15" s="6"/>
      <c r="E15" s="6"/>
      <c r="F15" s="6"/>
      <c r="G15" s="6"/>
      <c r="I15" s="6"/>
      <c r="J15" s="6"/>
      <c r="K15" s="6"/>
      <c r="M15" s="6"/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44</v>
      </c>
      <c r="B17" s="6" t="s">
        <v>36</v>
      </c>
      <c r="C17" s="6" t="s">
        <v>37</v>
      </c>
      <c r="D17" s="5" t="s">
        <v>38</v>
      </c>
      <c r="E17" s="6" t="s">
        <v>39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B2-B$33</f>
        <v>-87041.623714157293</v>
      </c>
      <c r="C18" s="6">
        <f>C2-C$33</f>
        <v>55215.053146678598</v>
      </c>
      <c r="D18" s="5">
        <f>B18/C18</f>
        <v>-1.5764111189557586</v>
      </c>
      <c r="E18" s="6">
        <f>B18+C18</f>
        <v>-31826.570567478695</v>
      </c>
      <c r="F18" s="6">
        <f>F2-F$33</f>
        <v>-24009.774422884198</v>
      </c>
      <c r="G18" s="6">
        <f>G2-G$33</f>
        <v>19507.666627389299</v>
      </c>
      <c r="H18" s="5">
        <f>F18/G18</f>
        <v>-1.2307865867040098</v>
      </c>
      <c r="I18" s="6">
        <f>F18+G18</f>
        <v>-4502.1077954948996</v>
      </c>
      <c r="J18" s="6">
        <f>J2-J$33</f>
        <v>-10209.740402372299</v>
      </c>
      <c r="K18" s="6">
        <f>K2-K$33</f>
        <v>9476.2180210839888</v>
      </c>
      <c r="L18" s="5">
        <f>J18/K18</f>
        <v>-1.0774066594559422</v>
      </c>
      <c r="M18" s="6">
        <f>J18+K18</f>
        <v>-733.5223812883105</v>
      </c>
      <c r="N18" t="s">
        <v>24</v>
      </c>
    </row>
    <row r="19" spans="1:14" x14ac:dyDescent="0.25">
      <c r="A19" t="s">
        <v>2</v>
      </c>
      <c r="B19" s="6">
        <f>B3-B$33</f>
        <v>-277189.41464709002</v>
      </c>
      <c r="C19" s="6">
        <f>C3-C$33</f>
        <v>272173.78966586111</v>
      </c>
      <c r="D19" s="5">
        <f t="shared" ref="D19:D30" si="0">B19/C19</f>
        <v>-1.0184280234602547</v>
      </c>
      <c r="E19" s="6">
        <f t="shared" ref="E19:E30" si="1">B19+C19</f>
        <v>-5015.6249812289025</v>
      </c>
      <c r="F19" s="6">
        <f>F3-F$33</f>
        <v>-48914.657028755297</v>
      </c>
      <c r="G19" s="6">
        <f>G3-G$33</f>
        <v>49024.1061810541</v>
      </c>
      <c r="H19" s="5">
        <f t="shared" ref="H19:H30" si="2">F19/G19</f>
        <v>-0.99776744216621538</v>
      </c>
      <c r="I19" s="6">
        <f t="shared" ref="I19:I30" si="3">F19+G19</f>
        <v>109.4491522988028</v>
      </c>
      <c r="J19" s="6">
        <f>J3-J$33</f>
        <v>-15980.398221146799</v>
      </c>
      <c r="K19" s="6">
        <f>K3-K$33</f>
        <v>16568.117338946591</v>
      </c>
      <c r="L19" s="5">
        <f t="shared" ref="L19:L30" si="4">J19/K19</f>
        <v>-0.96452710312364554</v>
      </c>
      <c r="M19" s="6">
        <f t="shared" ref="M19:M30" si="5">J19+K19</f>
        <v>587.719117799792</v>
      </c>
      <c r="N19" t="s">
        <v>24</v>
      </c>
    </row>
    <row r="20" spans="1:14" x14ac:dyDescent="0.25">
      <c r="A20" t="s">
        <v>3</v>
      </c>
      <c r="B20" s="6">
        <f>B4-B$33</f>
        <v>-52712.756725281797</v>
      </c>
      <c r="C20" s="6">
        <f>C4-C$33</f>
        <v>60824.649079375005</v>
      </c>
      <c r="D20" s="5">
        <f t="shared" si="0"/>
        <v>-0.86663478578384656</v>
      </c>
      <c r="E20" s="6">
        <f t="shared" si="1"/>
        <v>8111.8923540932083</v>
      </c>
      <c r="F20" s="6">
        <f>F4-F$33</f>
        <v>-18634.107191897401</v>
      </c>
      <c r="G20" s="6">
        <f>G4-G$33</f>
        <v>30778.911794356602</v>
      </c>
      <c r="H20" s="5">
        <f t="shared" si="2"/>
        <v>-0.60541799906369709</v>
      </c>
      <c r="I20" s="6">
        <f t="shared" si="3"/>
        <v>12144.8046024592</v>
      </c>
      <c r="J20" s="6">
        <f>J4-J$33</f>
        <v>-10131.117210586999</v>
      </c>
      <c r="K20" s="6">
        <f>K4-K$33</f>
        <v>19137.170013317693</v>
      </c>
      <c r="L20" s="5">
        <f t="shared" si="4"/>
        <v>-0.52939474350369897</v>
      </c>
      <c r="M20" s="6">
        <f t="shared" si="5"/>
        <v>9006.0528027306937</v>
      </c>
      <c r="N20" t="s">
        <v>24</v>
      </c>
    </row>
    <row r="21" spans="1:14" x14ac:dyDescent="0.25">
      <c r="A21" t="s">
        <v>4</v>
      </c>
      <c r="B21" s="6">
        <f>B5-B$33</f>
        <v>-568357.47058677697</v>
      </c>
      <c r="C21" s="6">
        <f>C5-C$33</f>
        <v>630342.79779581109</v>
      </c>
      <c r="D21" s="5">
        <f t="shared" si="0"/>
        <v>-0.90166409860510022</v>
      </c>
      <c r="E21" s="6">
        <f t="shared" si="1"/>
        <v>61985.32720903412</v>
      </c>
      <c r="F21" s="6">
        <f>F5-F$33</f>
        <v>-107357.135510147</v>
      </c>
      <c r="G21" s="6">
        <f>G5-G$33</f>
        <v>123203.10413121541</v>
      </c>
      <c r="H21" s="5">
        <f t="shared" si="2"/>
        <v>-0.87138336543702721</v>
      </c>
      <c r="I21" s="6">
        <f t="shared" si="3"/>
        <v>15845.968621068416</v>
      </c>
      <c r="J21" s="6">
        <f>J5-J$33</f>
        <v>-37918.655503970796</v>
      </c>
      <c r="K21" s="6">
        <f>K5-K$33</f>
        <v>45651.924713912995</v>
      </c>
      <c r="L21" s="5">
        <f t="shared" si="4"/>
        <v>-0.83060365453583196</v>
      </c>
      <c r="M21" s="6">
        <f t="shared" si="5"/>
        <v>7733.2692099421984</v>
      </c>
      <c r="N21" t="s">
        <v>24</v>
      </c>
    </row>
    <row r="22" spans="1:14" x14ac:dyDescent="0.25">
      <c r="A22" t="s">
        <v>6</v>
      </c>
      <c r="B22" s="6">
        <f>B6-B$33</f>
        <v>-629.11242305952999</v>
      </c>
      <c r="C22" s="6">
        <f>C6-C$33</f>
        <v>4126.2415688571</v>
      </c>
      <c r="D22" s="5">
        <f t="shared" si="0"/>
        <v>-0.15246621230510835</v>
      </c>
      <c r="E22" s="6">
        <f t="shared" si="1"/>
        <v>3497.1291457975699</v>
      </c>
      <c r="F22" s="6">
        <f>F6-F$33</f>
        <v>-412.48126069827401</v>
      </c>
      <c r="G22" s="6">
        <f>G6-G$33</f>
        <v>3418.0807765760001</v>
      </c>
      <c r="H22" s="5">
        <f t="shared" si="2"/>
        <v>-0.1206762764429077</v>
      </c>
      <c r="I22" s="6">
        <f t="shared" si="3"/>
        <v>3005.5995158777259</v>
      </c>
      <c r="J22" s="6">
        <f>J6-J$33</f>
        <v>-335.61574049935001</v>
      </c>
      <c r="K22" s="6">
        <f>K6-K$33</f>
        <v>3011.92723547479</v>
      </c>
      <c r="L22" s="5">
        <f t="shared" si="4"/>
        <v>-0.11142890058778086</v>
      </c>
      <c r="M22" s="6">
        <f t="shared" si="5"/>
        <v>2676.3114949754399</v>
      </c>
      <c r="N22" t="s">
        <v>24</v>
      </c>
    </row>
    <row r="23" spans="1:14" x14ac:dyDescent="0.25">
      <c r="A23" t="s">
        <v>5</v>
      </c>
      <c r="B23" s="6">
        <f>B7-B$33</f>
        <v>-24187.678536078602</v>
      </c>
      <c r="C23" s="6">
        <f>C7-C$33</f>
        <v>2337.0840578976004</v>
      </c>
      <c r="D23" s="5">
        <f t="shared" si="0"/>
        <v>-10.349511586603954</v>
      </c>
      <c r="E23" s="6">
        <f t="shared" si="1"/>
        <v>-21850.594478181003</v>
      </c>
      <c r="F23" s="6">
        <f>F7-F$33</f>
        <v>-5025.3693987003298</v>
      </c>
      <c r="G23" s="6">
        <f>G7-G$33</f>
        <v>979.28706998899906</v>
      </c>
      <c r="H23" s="5">
        <f t="shared" si="2"/>
        <v>-5.1316611366642295</v>
      </c>
      <c r="I23" s="6">
        <f t="shared" si="3"/>
        <v>-4046.0823287113308</v>
      </c>
      <c r="J23" s="6">
        <f>J7-J$33</f>
        <v>-2036.7477236836501</v>
      </c>
      <c r="K23" s="6">
        <f>K7-K$33</f>
        <v>648.6834832782697</v>
      </c>
      <c r="L23" s="5">
        <f t="shared" si="4"/>
        <v>-3.1398174551793452</v>
      </c>
      <c r="M23" s="6">
        <f t="shared" si="5"/>
        <v>-1388.0642404053804</v>
      </c>
      <c r="N23" t="s">
        <v>24</v>
      </c>
    </row>
    <row r="24" spans="1:14" x14ac:dyDescent="0.25">
      <c r="A24" t="s">
        <v>8</v>
      </c>
      <c r="B24" s="6">
        <f>B8-B$33</f>
        <v>-58217.953069988798</v>
      </c>
      <c r="C24" s="6">
        <f>C8-C$33</f>
        <v>14708.132878070801</v>
      </c>
      <c r="D24" s="5">
        <f t="shared" si="0"/>
        <v>-3.9582150605118129</v>
      </c>
      <c r="E24" s="6">
        <f t="shared" si="1"/>
        <v>-43509.820191917999</v>
      </c>
      <c r="F24" s="6">
        <f>F8-F$33</f>
        <v>-12921.4355867997</v>
      </c>
      <c r="G24" s="6">
        <f>G8-G$33</f>
        <v>6299.1855513266</v>
      </c>
      <c r="H24" s="5">
        <f t="shared" si="2"/>
        <v>-2.0512867070693708</v>
      </c>
      <c r="I24" s="6">
        <f t="shared" si="3"/>
        <v>-6622.2500354731001</v>
      </c>
      <c r="J24" s="6">
        <f>J8-J$33</f>
        <v>-5363.8813822450302</v>
      </c>
      <c r="K24" s="6">
        <f>K8-K$33</f>
        <v>3509.5880533935906</v>
      </c>
      <c r="L24" s="5">
        <f t="shared" si="4"/>
        <v>-1.5283507068752509</v>
      </c>
      <c r="M24" s="6">
        <f t="shared" si="5"/>
        <v>-1854.2933288514396</v>
      </c>
      <c r="N24" t="s">
        <v>24</v>
      </c>
    </row>
    <row r="25" spans="1:14" x14ac:dyDescent="0.25">
      <c r="A25" t="s">
        <v>7</v>
      </c>
      <c r="B25" s="6">
        <f>B9-B$33</f>
        <v>-36532.3357027936</v>
      </c>
      <c r="C25" s="6">
        <f>C9-C$33</f>
        <v>4859.8610157378989</v>
      </c>
      <c r="D25" s="5">
        <f t="shared" si="0"/>
        <v>-7.5171564751521389</v>
      </c>
      <c r="E25" s="6">
        <f t="shared" si="1"/>
        <v>-31672.474687055699</v>
      </c>
      <c r="F25" s="6">
        <f>F9-F$33</f>
        <v>-8027.2493380455498</v>
      </c>
      <c r="G25" s="6">
        <f>G9-G$33</f>
        <v>2069.0140113137986</v>
      </c>
      <c r="H25" s="5">
        <f t="shared" si="2"/>
        <v>-3.8797462434526215</v>
      </c>
      <c r="I25" s="6">
        <f t="shared" si="3"/>
        <v>-5958.2353267317512</v>
      </c>
      <c r="J25" s="6">
        <f>J9-J$33</f>
        <v>-3292.7796969207502</v>
      </c>
      <c r="K25" s="6">
        <f>K9-K$33</f>
        <v>1145.6123160236912</v>
      </c>
      <c r="L25" s="5">
        <f t="shared" si="4"/>
        <v>-2.8742530530307739</v>
      </c>
      <c r="M25" s="6">
        <f t="shared" si="5"/>
        <v>-2147.167380897059</v>
      </c>
      <c r="N25" t="s">
        <v>24</v>
      </c>
    </row>
    <row r="26" spans="1:14" x14ac:dyDescent="0.25">
      <c r="A26" t="s">
        <v>9</v>
      </c>
      <c r="B26" s="6">
        <f>B10-B$33</f>
        <v>-43040.1202776301</v>
      </c>
      <c r="C26" s="6">
        <f>C10-C$33</f>
        <v>7071.4240773678011</v>
      </c>
      <c r="D26" s="5">
        <f t="shared" si="0"/>
        <v>-6.0864855235285136</v>
      </c>
      <c r="E26" s="6">
        <f t="shared" si="1"/>
        <v>-35968.696200262297</v>
      </c>
      <c r="F26" s="6">
        <f>F10-F$33</f>
        <v>-9350.1536406274499</v>
      </c>
      <c r="G26" s="6">
        <f>G10-G$33</f>
        <v>2982.7319463466993</v>
      </c>
      <c r="H26" s="5">
        <f t="shared" si="2"/>
        <v>-3.1347616241813738</v>
      </c>
      <c r="I26" s="6">
        <f t="shared" si="3"/>
        <v>-6367.4216942807507</v>
      </c>
      <c r="J26" s="6">
        <f>J10-J$33</f>
        <v>-3948.2112997761601</v>
      </c>
      <c r="K26" s="6">
        <f>K10-K$33</f>
        <v>1982.6901417550907</v>
      </c>
      <c r="L26" s="5">
        <f t="shared" si="4"/>
        <v>-1.9913405613048425</v>
      </c>
      <c r="M26" s="6">
        <f t="shared" si="5"/>
        <v>-1965.5211580210694</v>
      </c>
      <c r="N26" t="s">
        <v>24</v>
      </c>
    </row>
    <row r="27" spans="1:14" x14ac:dyDescent="0.25">
      <c r="A27" t="s">
        <v>10</v>
      </c>
      <c r="B27" s="6">
        <f>B12-B$33</f>
        <v>-38255.645925858298</v>
      </c>
      <c r="C27" s="6">
        <f>C12-C$33</f>
        <v>27844.316551196702</v>
      </c>
      <c r="D27" s="5">
        <f t="shared" si="0"/>
        <v>-1.3739121897827344</v>
      </c>
      <c r="E27" s="6">
        <f t="shared" si="1"/>
        <v>-10411.329374661596</v>
      </c>
      <c r="F27" s="6">
        <f>F12-F$33</f>
        <v>-10717.5437780061</v>
      </c>
      <c r="G27" s="6">
        <f>G12-G$33</f>
        <v>16321.083694048701</v>
      </c>
      <c r="H27" s="5">
        <f t="shared" si="2"/>
        <v>-0.65666863664905606</v>
      </c>
      <c r="I27" s="6">
        <f t="shared" si="3"/>
        <v>5603.5399160426005</v>
      </c>
      <c r="J27" s="6">
        <f>J12-J$33</f>
        <v>-5715.8742587877696</v>
      </c>
      <c r="K27" s="6">
        <f>K12-K$33</f>
        <v>11417.559116321592</v>
      </c>
      <c r="L27" s="5">
        <f t="shared" si="4"/>
        <v>-0.50062138505740961</v>
      </c>
      <c r="M27" s="6">
        <f t="shared" si="5"/>
        <v>5701.6848575338227</v>
      </c>
      <c r="N27" t="s">
        <v>24</v>
      </c>
    </row>
    <row r="28" spans="1:14" x14ac:dyDescent="0.25">
      <c r="A28" t="s">
        <v>11</v>
      </c>
      <c r="B28" s="6">
        <f>B13-B$33</f>
        <v>-118894.24644871699</v>
      </c>
      <c r="C28" s="6">
        <f>C13-C$33</f>
        <v>1176248.363798402</v>
      </c>
      <c r="D28" s="5">
        <f t="shared" si="0"/>
        <v>-0.10107920240992094</v>
      </c>
      <c r="E28" s="6">
        <f t="shared" si="1"/>
        <v>1057354.1173496849</v>
      </c>
      <c r="F28" s="6">
        <f>F13-F$33</f>
        <v>-43687.746545707101</v>
      </c>
      <c r="G28" s="6">
        <f>G13-G$33</f>
        <v>297386.80981420039</v>
      </c>
      <c r="H28" s="5">
        <f t="shared" si="2"/>
        <v>-0.1469054615199715</v>
      </c>
      <c r="I28" s="6">
        <f t="shared" si="3"/>
        <v>253699.06326849328</v>
      </c>
      <c r="J28" s="6">
        <f>J13-J$33</f>
        <v>-25574.064566239598</v>
      </c>
      <c r="K28" s="6">
        <f>K13-K$33</f>
        <v>138935.30596719577</v>
      </c>
      <c r="L28" s="5">
        <f t="shared" si="4"/>
        <v>-0.18407174755333916</v>
      </c>
      <c r="M28" s="6">
        <f t="shared" si="5"/>
        <v>113361.24140095618</v>
      </c>
      <c r="N28" t="s">
        <v>24</v>
      </c>
    </row>
    <row r="29" spans="1:14" x14ac:dyDescent="0.25">
      <c r="A29" t="s">
        <v>12</v>
      </c>
      <c r="B29" s="6">
        <f>B14-B$33</f>
        <v>-27847.7754083363</v>
      </c>
      <c r="C29" s="6">
        <f>C14-C$33</f>
        <v>11354.460030213499</v>
      </c>
      <c r="D29" s="5">
        <f t="shared" si="0"/>
        <v>-2.4525847406424552</v>
      </c>
      <c r="E29" s="6">
        <f t="shared" si="1"/>
        <v>-16493.315378122803</v>
      </c>
      <c r="F29" s="6">
        <f>F14-F$33</f>
        <v>-6640.4507534377399</v>
      </c>
      <c r="G29" s="6">
        <f>G14-G$33</f>
        <v>6356.3921801898996</v>
      </c>
      <c r="H29" s="5">
        <f t="shared" si="2"/>
        <v>-1.0446886480876882</v>
      </c>
      <c r="I29" s="6">
        <f t="shared" si="3"/>
        <v>-284.05857324784029</v>
      </c>
      <c r="J29" s="6">
        <f>J14-J$33</f>
        <v>-3093.7558246702902</v>
      </c>
      <c r="K29" s="6">
        <f>K14-K$33</f>
        <v>4312.2304298988911</v>
      </c>
      <c r="L29" s="5">
        <f t="shared" si="4"/>
        <v>-0.71743750130320139</v>
      </c>
      <c r="M29" s="6">
        <f t="shared" si="5"/>
        <v>1218.4746052286009</v>
      </c>
      <c r="N29" t="s">
        <v>24</v>
      </c>
    </row>
    <row r="30" spans="1:14" x14ac:dyDescent="0.25">
      <c r="A30" t="s">
        <v>43</v>
      </c>
      <c r="B30" s="6">
        <f>B15-B$33</f>
        <v>0</v>
      </c>
      <c r="C30" s="6">
        <f>C15-C$33</f>
        <v>-13051.0177235479</v>
      </c>
      <c r="D30" s="5">
        <f t="shared" si="0"/>
        <v>0</v>
      </c>
      <c r="E30" s="6">
        <f t="shared" si="1"/>
        <v>-13051.0177235479</v>
      </c>
      <c r="F30" s="6">
        <f>F15-F$33</f>
        <v>0</v>
      </c>
      <c r="G30" s="6">
        <f>G15-G$33</f>
        <v>-10184.315745906601</v>
      </c>
      <c r="H30" s="5">
        <f t="shared" si="2"/>
        <v>0</v>
      </c>
      <c r="I30" s="6">
        <f t="shared" si="3"/>
        <v>-10184.315745906601</v>
      </c>
      <c r="J30" s="6">
        <f>J15-J$33</f>
        <v>0</v>
      </c>
      <c r="K30" s="6">
        <f>K15-K$33</f>
        <v>-8618.8843159772096</v>
      </c>
      <c r="L30" s="5">
        <f t="shared" si="4"/>
        <v>0</v>
      </c>
      <c r="M30" s="6">
        <f t="shared" si="5"/>
        <v>-8618.8843159772096</v>
      </c>
      <c r="N30" t="s">
        <v>24</v>
      </c>
    </row>
    <row r="32" spans="1:14" x14ac:dyDescent="0.25">
      <c r="A32" t="s">
        <v>13</v>
      </c>
      <c r="B32" t="s">
        <v>45</v>
      </c>
      <c r="C32" t="s">
        <v>46</v>
      </c>
      <c r="F32" t="s">
        <v>47</v>
      </c>
      <c r="G32" t="s">
        <v>48</v>
      </c>
      <c r="J32" t="s">
        <v>49</v>
      </c>
      <c r="K32" t="s">
        <v>50</v>
      </c>
    </row>
    <row r="33" spans="2:13" x14ac:dyDescent="0.25">
      <c r="B33" s="1">
        <v>0</v>
      </c>
      <c r="C33" s="1">
        <v>13051.0177235479</v>
      </c>
      <c r="D33" s="5">
        <v>0</v>
      </c>
      <c r="E33">
        <v>13051.0177235479</v>
      </c>
      <c r="F33" s="1">
        <v>0</v>
      </c>
      <c r="G33" s="1">
        <v>10184.315745906601</v>
      </c>
      <c r="H33" s="5">
        <v>0</v>
      </c>
      <c r="I33">
        <v>10184.315745906601</v>
      </c>
      <c r="J33" s="1">
        <v>0</v>
      </c>
      <c r="K33" s="1">
        <v>8618.8843159772096</v>
      </c>
      <c r="L33" s="5">
        <v>0</v>
      </c>
      <c r="M33">
        <v>8618.8843159772096</v>
      </c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28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0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2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3"/>
  <sheetViews>
    <sheetView tabSelected="1" workbookViewId="0">
      <selection activeCell="H29" sqref="H29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36</v>
      </c>
      <c r="C1" s="4" t="s">
        <v>37</v>
      </c>
      <c r="D1" s="5" t="s">
        <v>38</v>
      </c>
      <c r="E1" s="4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-169783.383937301</v>
      </c>
      <c r="C2" s="6">
        <v>109571.663236227</v>
      </c>
      <c r="D2" s="5">
        <v>-1.5495190902711999</v>
      </c>
      <c r="E2" s="6">
        <v>-60211.720701074497</v>
      </c>
      <c r="F2" s="6">
        <v>-44358.724472512797</v>
      </c>
      <c r="G2" s="6">
        <v>44038.543338961201</v>
      </c>
      <c r="H2" s="5">
        <v>-1.00727047511738</v>
      </c>
      <c r="I2" s="6">
        <v>-320.18113355166798</v>
      </c>
      <c r="J2" s="6">
        <v>-18237.934782227901</v>
      </c>
      <c r="K2" s="6">
        <v>25144.881146538799</v>
      </c>
      <c r="L2" s="5">
        <v>-0.72531401822666097</v>
      </c>
      <c r="M2" s="6">
        <v>6906.9463643109302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-754774.02503940102</v>
      </c>
      <c r="C3" s="6">
        <v>764266.27563066699</v>
      </c>
      <c r="D3" s="5">
        <v>-0.98757991698190095</v>
      </c>
      <c r="E3" s="6">
        <v>9492.2505912656197</v>
      </c>
      <c r="F3" s="6">
        <v>-118636.45174144401</v>
      </c>
      <c r="G3" s="6">
        <v>130113.044607492</v>
      </c>
      <c r="H3" s="5">
        <v>-0.91179521699250599</v>
      </c>
      <c r="I3" s="6">
        <v>11476.5928660482</v>
      </c>
      <c r="J3" s="6">
        <v>-35032.9534274822</v>
      </c>
      <c r="K3" s="6">
        <v>45257.658276183502</v>
      </c>
      <c r="L3" s="5">
        <v>-0.77407790773651097</v>
      </c>
      <c r="M3" s="6">
        <v>10224.7048487013</v>
      </c>
      <c r="N3" t="s">
        <v>24</v>
      </c>
    </row>
    <row r="4" spans="1:42" x14ac:dyDescent="0.25">
      <c r="A4" t="s">
        <v>3</v>
      </c>
      <c r="B4" s="6">
        <v>-85029.801215989501</v>
      </c>
      <c r="C4" s="6">
        <v>102198.081346162</v>
      </c>
      <c r="D4" s="5">
        <v>-0.83200976080929201</v>
      </c>
      <c r="E4" s="6">
        <v>17168.280130173302</v>
      </c>
      <c r="F4" s="6">
        <v>-26414.7890866241</v>
      </c>
      <c r="G4" s="6">
        <v>55367.134457265798</v>
      </c>
      <c r="H4" s="5">
        <v>-0.47708427292750599</v>
      </c>
      <c r="I4" s="6">
        <v>28952.3453706416</v>
      </c>
      <c r="J4" s="6">
        <v>-13669.170538766301</v>
      </c>
      <c r="K4" s="6">
        <v>36771.1607417388</v>
      </c>
      <c r="L4" s="5">
        <v>-0.37173617212606802</v>
      </c>
      <c r="M4" s="6">
        <v>23101.9902029724</v>
      </c>
      <c r="N4" t="s">
        <v>24</v>
      </c>
    </row>
    <row r="5" spans="1:42" x14ac:dyDescent="0.25">
      <c r="A5" t="s">
        <v>4</v>
      </c>
      <c r="B5" s="6">
        <v>-1464989.78716154</v>
      </c>
      <c r="C5" s="6">
        <v>1485429.39379307</v>
      </c>
      <c r="D5" s="5">
        <v>-0.98623993390938702</v>
      </c>
      <c r="E5" s="6">
        <v>20439.606631531598</v>
      </c>
      <c r="F5" s="6">
        <v>-244021.109044115</v>
      </c>
      <c r="G5" s="6">
        <v>269761.83991016098</v>
      </c>
      <c r="H5" s="5">
        <v>-0.90457979203204397</v>
      </c>
      <c r="I5" s="6">
        <v>25740.730866045898</v>
      </c>
      <c r="J5" s="6">
        <v>-77084.450851909904</v>
      </c>
      <c r="K5" s="6">
        <v>96376.642356775497</v>
      </c>
      <c r="L5" s="5">
        <v>-0.79982502987136495</v>
      </c>
      <c r="M5" s="6">
        <v>19292.191504865601</v>
      </c>
      <c r="N5" t="s">
        <v>24</v>
      </c>
    </row>
    <row r="6" spans="1:42" x14ac:dyDescent="0.25">
      <c r="A6" t="s">
        <v>91</v>
      </c>
      <c r="B6" s="6">
        <v>0</v>
      </c>
      <c r="C6" s="6">
        <v>15116.4576849762</v>
      </c>
      <c r="D6" s="5">
        <v>0</v>
      </c>
      <c r="E6" s="6">
        <v>15116.4576849762</v>
      </c>
      <c r="F6" s="6">
        <v>0</v>
      </c>
      <c r="G6" s="6">
        <v>11664.787219482399</v>
      </c>
      <c r="H6" s="5">
        <v>0</v>
      </c>
      <c r="I6" s="6">
        <v>11664.787219482399</v>
      </c>
      <c r="J6" s="6">
        <v>0</v>
      </c>
      <c r="K6" s="6">
        <v>9787.7637750826798</v>
      </c>
      <c r="L6" s="5">
        <v>0</v>
      </c>
      <c r="M6" s="6">
        <v>9787.7637750826798</v>
      </c>
      <c r="N6" t="s">
        <v>24</v>
      </c>
    </row>
    <row r="7" spans="1:42" x14ac:dyDescent="0.25">
      <c r="A7" t="s">
        <v>6</v>
      </c>
      <c r="B7" s="6">
        <v>-3727.1947617020901</v>
      </c>
      <c r="C7" s="6">
        <v>19326.595251195398</v>
      </c>
      <c r="D7" s="5">
        <v>-0.19285314941707299</v>
      </c>
      <c r="E7" s="6">
        <v>15599.4004894933</v>
      </c>
      <c r="F7" s="6">
        <v>-879.19316191022494</v>
      </c>
      <c r="G7" s="6">
        <v>15143.0056421386</v>
      </c>
      <c r="H7" s="5">
        <v>-5.8059356424175201E-2</v>
      </c>
      <c r="I7" s="6">
        <v>14263.8124802284</v>
      </c>
      <c r="J7" s="6">
        <v>-494.59745807002702</v>
      </c>
      <c r="K7" s="6">
        <v>12847.173309927401</v>
      </c>
      <c r="L7" s="5">
        <v>-3.8498543308965599E-2</v>
      </c>
      <c r="M7" s="6">
        <v>12352.5758518573</v>
      </c>
      <c r="N7" t="s">
        <v>24</v>
      </c>
    </row>
    <row r="8" spans="1:42" x14ac:dyDescent="0.25">
      <c r="A8" t="s">
        <v>5</v>
      </c>
      <c r="B8" s="6">
        <v>-45921.597500000003</v>
      </c>
      <c r="C8" s="6">
        <v>17442.370070000001</v>
      </c>
      <c r="D8" s="5">
        <v>-2.632761334</v>
      </c>
      <c r="E8" s="6">
        <v>-28479.227429999999</v>
      </c>
      <c r="F8" s="6">
        <v>-8674.7509489999993</v>
      </c>
      <c r="G8" s="6">
        <v>12636.066210000001</v>
      </c>
      <c r="H8" s="5">
        <v>-0.68650724100000005</v>
      </c>
      <c r="I8" s="6">
        <v>3961.3152599999999</v>
      </c>
      <c r="J8" s="6">
        <v>-3198.9574539999999</v>
      </c>
      <c r="K8" s="6">
        <v>10430.124330000001</v>
      </c>
      <c r="L8" s="5">
        <v>-0.30670367399999998</v>
      </c>
      <c r="M8" s="6">
        <v>7231.1668760000002</v>
      </c>
      <c r="N8" t="s">
        <v>24</v>
      </c>
    </row>
    <row r="9" spans="1:42" x14ac:dyDescent="0.25">
      <c r="A9" t="s">
        <v>8</v>
      </c>
      <c r="B9" s="6">
        <v>-107072.6366</v>
      </c>
      <c r="C9" s="6">
        <v>29750.17525</v>
      </c>
      <c r="D9" s="5">
        <v>-3.5990590220000001</v>
      </c>
      <c r="E9" s="6">
        <v>-77322.4614</v>
      </c>
      <c r="F9" s="6">
        <v>-21894.339179999999</v>
      </c>
      <c r="G9" s="6">
        <v>17910.632170000001</v>
      </c>
      <c r="H9" s="5">
        <v>-1.222421352</v>
      </c>
      <c r="I9" s="6">
        <v>-3983.7070140000001</v>
      </c>
      <c r="J9" s="6">
        <v>-8514.542308</v>
      </c>
      <c r="K9" s="6">
        <v>13255.23702</v>
      </c>
      <c r="L9" s="5">
        <v>-0.64235307799999997</v>
      </c>
      <c r="M9" s="6">
        <v>4740.6947149999996</v>
      </c>
      <c r="N9" t="s">
        <v>24</v>
      </c>
    </row>
    <row r="10" spans="1:42" x14ac:dyDescent="0.25">
      <c r="A10" t="s">
        <v>7</v>
      </c>
      <c r="B10" s="6">
        <v>-69242.862210000007</v>
      </c>
      <c r="C10" s="6">
        <v>19942.877789999999</v>
      </c>
      <c r="D10" s="5">
        <v>-3.4720596960000001</v>
      </c>
      <c r="E10" s="6">
        <v>-49299.984420000001</v>
      </c>
      <c r="F10" s="6">
        <v>-13872.35764</v>
      </c>
      <c r="G10" s="6">
        <v>13709.831690000001</v>
      </c>
      <c r="H10" s="5">
        <v>-1.0118547010000001</v>
      </c>
      <c r="I10" s="6">
        <v>-162.5259556</v>
      </c>
      <c r="J10" s="6">
        <v>-5283.9158260000004</v>
      </c>
      <c r="K10" s="6">
        <v>10914.4516</v>
      </c>
      <c r="L10" s="5">
        <v>-0.48412105500000002</v>
      </c>
      <c r="M10" s="6">
        <v>5630.5357700000004</v>
      </c>
      <c r="N10" t="s">
        <v>24</v>
      </c>
    </row>
    <row r="11" spans="1:42" x14ac:dyDescent="0.25">
      <c r="A11" t="s">
        <v>9</v>
      </c>
      <c r="B11" s="6">
        <v>-81117.731169999999</v>
      </c>
      <c r="C11" s="6">
        <v>22161.367180000001</v>
      </c>
      <c r="D11" s="5">
        <v>-3.6603216089999999</v>
      </c>
      <c r="E11" s="6">
        <v>-58956.363989999998</v>
      </c>
      <c r="F11" s="6">
        <v>-15910.76873</v>
      </c>
      <c r="G11" s="6">
        <v>14628.51396</v>
      </c>
      <c r="H11" s="5">
        <v>-1.087654479</v>
      </c>
      <c r="I11" s="6">
        <v>-1282.254772</v>
      </c>
      <c r="J11" s="6">
        <v>-6110.8874349999996</v>
      </c>
      <c r="K11" s="6">
        <v>11755.448689999999</v>
      </c>
      <c r="L11" s="5">
        <v>-0.51983447000000005</v>
      </c>
      <c r="M11" s="6">
        <v>5644.5612549999996</v>
      </c>
      <c r="N11" t="s">
        <v>24</v>
      </c>
    </row>
    <row r="12" spans="1:42" x14ac:dyDescent="0.25">
      <c r="A12" t="s">
        <v>10</v>
      </c>
      <c r="B12" s="6">
        <v>-70006.101200000005</v>
      </c>
      <c r="C12" s="6">
        <v>43027.701009999997</v>
      </c>
      <c r="D12" s="5">
        <v>-1.6270007360000001</v>
      </c>
      <c r="E12" s="6">
        <v>-26978.4002</v>
      </c>
      <c r="F12" s="6">
        <v>-16549.278579999998</v>
      </c>
      <c r="G12" s="6">
        <v>28014.328229999999</v>
      </c>
      <c r="H12" s="5">
        <v>-0.59074336699999996</v>
      </c>
      <c r="I12" s="6">
        <v>11465.049650000001</v>
      </c>
      <c r="J12" s="6">
        <v>-7773.9790499999999</v>
      </c>
      <c r="K12" s="6">
        <v>21219.906439999999</v>
      </c>
      <c r="L12" s="5">
        <v>-0.36635312599999997</v>
      </c>
      <c r="M12" s="6">
        <v>13445.927390000001</v>
      </c>
      <c r="N12" t="s">
        <v>24</v>
      </c>
    </row>
    <row r="13" spans="1:42" x14ac:dyDescent="0.25">
      <c r="A13" t="s">
        <v>11</v>
      </c>
      <c r="B13" s="6">
        <v>-185026.90859979999</v>
      </c>
      <c r="C13" s="6">
        <v>1222255.06540259</v>
      </c>
      <c r="D13" s="5">
        <v>-0.15138158461127299</v>
      </c>
      <c r="E13" s="6">
        <v>1037228.15680279</v>
      </c>
      <c r="F13" s="6">
        <v>-50271.5769779783</v>
      </c>
      <c r="G13" s="6">
        <v>314637.33333703299</v>
      </c>
      <c r="H13" s="5">
        <v>-0.15977626191017899</v>
      </c>
      <c r="I13" s="6">
        <v>264365.75635905401</v>
      </c>
      <c r="J13" s="6">
        <v>-26217.887908184199</v>
      </c>
      <c r="K13" s="6">
        <v>150342.90243768101</v>
      </c>
      <c r="L13" s="5">
        <v>-0.17438726726093201</v>
      </c>
      <c r="M13" s="6">
        <v>124125.014529497</v>
      </c>
      <c r="N13" t="s">
        <v>24</v>
      </c>
    </row>
    <row r="14" spans="1:42" x14ac:dyDescent="0.25">
      <c r="A14" t="s">
        <v>12</v>
      </c>
      <c r="B14" s="6">
        <v>-52677.846720000001</v>
      </c>
      <c r="C14" s="6">
        <v>26536.449100000002</v>
      </c>
      <c r="D14" s="5">
        <v>-1.9851128739999999</v>
      </c>
      <c r="E14" s="6">
        <v>-26141.397629999999</v>
      </c>
      <c r="F14" s="6">
        <v>-11192.743119999999</v>
      </c>
      <c r="G14" s="6">
        <v>18052.313989999999</v>
      </c>
      <c r="H14" s="5">
        <v>-0.62001708700000002</v>
      </c>
      <c r="I14" s="6">
        <v>6859.5708640000003</v>
      </c>
      <c r="J14" s="6">
        <v>-4681.5643</v>
      </c>
      <c r="K14" s="6">
        <v>14118.205330000001</v>
      </c>
      <c r="L14" s="5">
        <v>-0.331597692</v>
      </c>
      <c r="M14" s="6">
        <v>9436.6410329999999</v>
      </c>
      <c r="N14" t="s">
        <v>24</v>
      </c>
    </row>
    <row r="15" spans="1:42" x14ac:dyDescent="0.25">
      <c r="A15" t="s">
        <v>43</v>
      </c>
      <c r="B15" s="6"/>
      <c r="C15" s="6"/>
      <c r="E15" s="6"/>
      <c r="F15" s="6"/>
      <c r="G15" s="6"/>
      <c r="I15" s="6"/>
      <c r="J15" s="6"/>
      <c r="K15" s="6"/>
      <c r="M15" s="6"/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44</v>
      </c>
      <c r="B17" s="4" t="s">
        <v>36</v>
      </c>
      <c r="C17" s="4" t="s">
        <v>37</v>
      </c>
      <c r="D17" s="5" t="s">
        <v>38</v>
      </c>
      <c r="E17" s="4" t="s">
        <v>39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B2-B$33</f>
        <v>-169783.383937301</v>
      </c>
      <c r="C18" s="6">
        <f>C2-C$33</f>
        <v>94455.205551250809</v>
      </c>
      <c r="D18" s="5">
        <f>B18/C18</f>
        <v>-1.7975016087935733</v>
      </c>
      <c r="E18" s="6">
        <f>B18+C18</f>
        <v>-75328.178386050189</v>
      </c>
      <c r="F18" s="6">
        <f>F2-F$33</f>
        <v>-44358.724472512797</v>
      </c>
      <c r="G18" s="6">
        <f>G2-G$33</f>
        <v>32373.7561194788</v>
      </c>
      <c r="H18" s="5">
        <f>F18/G18</f>
        <v>-1.3702062963840895</v>
      </c>
      <c r="I18" s="6">
        <f>F18+G18</f>
        <v>-11984.968353033997</v>
      </c>
      <c r="J18" s="6">
        <f>J2-J$33</f>
        <v>-18237.934782227901</v>
      </c>
      <c r="K18" s="6">
        <f>K2-K$33</f>
        <v>15357.117371456119</v>
      </c>
      <c r="L18" s="5">
        <f>J18/K18</f>
        <v>-1.1875884217780535</v>
      </c>
      <c r="M18" s="6">
        <f>J18+K18</f>
        <v>-2880.8174107717823</v>
      </c>
      <c r="N18" t="s">
        <v>24</v>
      </c>
    </row>
    <row r="19" spans="1:14" x14ac:dyDescent="0.25">
      <c r="A19" t="s">
        <v>2</v>
      </c>
      <c r="B19" s="6">
        <f>B3-B$33</f>
        <v>-754774.02503940102</v>
      </c>
      <c r="C19" s="6">
        <f>C3-C$33</f>
        <v>749149.81794569083</v>
      </c>
      <c r="D19" s="5">
        <f t="shared" ref="D19:D30" si="0">B19/C19</f>
        <v>-1.0075074530607679</v>
      </c>
      <c r="E19" s="6">
        <f t="shared" ref="E19:E30" si="1">B19+C19</f>
        <v>-5624.2070937101962</v>
      </c>
      <c r="F19" s="6">
        <f>F3-F$33</f>
        <v>-118636.45174144401</v>
      </c>
      <c r="G19" s="6">
        <f>G3-G$33</f>
        <v>118448.2573880096</v>
      </c>
      <c r="H19" s="5">
        <f t="shared" ref="H19:H30" si="2">F19/G19</f>
        <v>-1.0015888317615169</v>
      </c>
      <c r="I19" s="6">
        <f t="shared" ref="I19:I30" si="3">F19+G19</f>
        <v>-188.19435343440273</v>
      </c>
      <c r="J19" s="6">
        <f>J3-J$33</f>
        <v>-35032.9534274822</v>
      </c>
      <c r="K19" s="6">
        <f>K3-K$33</f>
        <v>35469.894501100818</v>
      </c>
      <c r="L19" s="5">
        <f t="shared" ref="L19:L30" si="4">J19/K19</f>
        <v>-0.98768135401121482</v>
      </c>
      <c r="M19" s="6">
        <f t="shared" ref="M19:M30" si="5">J19+K19</f>
        <v>436.94107361861825</v>
      </c>
      <c r="N19" t="s">
        <v>24</v>
      </c>
    </row>
    <row r="20" spans="1:14" x14ac:dyDescent="0.25">
      <c r="A20" t="s">
        <v>3</v>
      </c>
      <c r="B20" s="6">
        <f>B4-B$33</f>
        <v>-85029.801215989501</v>
      </c>
      <c r="C20" s="6">
        <f>C4-C$33</f>
        <v>87081.623661185804</v>
      </c>
      <c r="D20" s="5">
        <f t="shared" si="0"/>
        <v>-0.97643793995872807</v>
      </c>
      <c r="E20" s="6">
        <f t="shared" si="1"/>
        <v>2051.8224451963033</v>
      </c>
      <c r="F20" s="6">
        <f>F4-F$33</f>
        <v>-26414.7890866241</v>
      </c>
      <c r="G20" s="6">
        <f>G4-G$33</f>
        <v>43702.347237783397</v>
      </c>
      <c r="H20" s="5">
        <f t="shared" si="2"/>
        <v>-0.60442495097349991</v>
      </c>
      <c r="I20" s="6">
        <f t="shared" si="3"/>
        <v>17287.558151159297</v>
      </c>
      <c r="J20" s="6">
        <f>J4-J$33</f>
        <v>-13669.170538766301</v>
      </c>
      <c r="K20" s="6">
        <f>K4-K$33</f>
        <v>26983.396966656121</v>
      </c>
      <c r="L20" s="5">
        <f t="shared" si="4"/>
        <v>-0.50657708351759956</v>
      </c>
      <c r="M20" s="6">
        <f t="shared" si="5"/>
        <v>13314.22642788982</v>
      </c>
      <c r="N20" t="s">
        <v>24</v>
      </c>
    </row>
    <row r="21" spans="1:14" x14ac:dyDescent="0.25">
      <c r="A21" t="s">
        <v>4</v>
      </c>
      <c r="B21" s="6">
        <f>B5-B$33</f>
        <v>-1464989.78716154</v>
      </c>
      <c r="C21" s="6">
        <f>C5-C$33</f>
        <v>1470312.9361080937</v>
      </c>
      <c r="D21" s="5">
        <f t="shared" si="0"/>
        <v>-0.99637958096142165</v>
      </c>
      <c r="E21" s="6">
        <f t="shared" si="1"/>
        <v>5323.1489465537015</v>
      </c>
      <c r="F21" s="6">
        <f>F5-F$33</f>
        <v>-244021.109044115</v>
      </c>
      <c r="G21" s="6">
        <f>G5-G$33</f>
        <v>258097.0526906786</v>
      </c>
      <c r="H21" s="5">
        <f t="shared" si="2"/>
        <v>-0.94546259440074587</v>
      </c>
      <c r="I21" s="6">
        <f t="shared" si="3"/>
        <v>14075.943646563595</v>
      </c>
      <c r="J21" s="6">
        <f>J5-J$33</f>
        <v>-77084.450851909904</v>
      </c>
      <c r="K21" s="6">
        <f>K5-K$33</f>
        <v>86588.878581692814</v>
      </c>
      <c r="L21" s="5">
        <f t="shared" si="4"/>
        <v>-0.89023500609473882</v>
      </c>
      <c r="M21" s="6">
        <f t="shared" si="5"/>
        <v>9504.4277297829103</v>
      </c>
      <c r="N21" t="s">
        <v>24</v>
      </c>
    </row>
    <row r="22" spans="1:14" x14ac:dyDescent="0.25">
      <c r="A22" t="s">
        <v>6</v>
      </c>
      <c r="B22" s="6">
        <f>B7-B$33</f>
        <v>-3727.1947617020901</v>
      </c>
      <c r="C22" s="6">
        <f>C7-C$33</f>
        <v>4210.1375662191986</v>
      </c>
      <c r="D22" s="5">
        <f t="shared" si="0"/>
        <v>-0.88529049302519525</v>
      </c>
      <c r="E22" s="6">
        <f t="shared" si="1"/>
        <v>482.94280451710847</v>
      </c>
      <c r="F22" s="6">
        <f>F7-F$33</f>
        <v>-879.19316191022494</v>
      </c>
      <c r="G22" s="6">
        <f>G7-G$33</f>
        <v>3478.2184226562003</v>
      </c>
      <c r="H22" s="5">
        <f t="shared" si="2"/>
        <v>-0.25277111873808494</v>
      </c>
      <c r="I22" s="6">
        <f t="shared" si="3"/>
        <v>2599.0252607459752</v>
      </c>
      <c r="J22" s="6">
        <f>J7-J$33</f>
        <v>-494.59745807002702</v>
      </c>
      <c r="K22" s="6">
        <f>K7-K$33</f>
        <v>3059.4095348447208</v>
      </c>
      <c r="L22" s="5">
        <f t="shared" si="4"/>
        <v>-0.16166435138443475</v>
      </c>
      <c r="M22" s="6">
        <f t="shared" si="5"/>
        <v>2564.8120767746937</v>
      </c>
      <c r="N22" t="s">
        <v>24</v>
      </c>
    </row>
    <row r="23" spans="1:14" x14ac:dyDescent="0.25">
      <c r="A23" t="s">
        <v>5</v>
      </c>
      <c r="B23" s="6">
        <f>B8-B$33</f>
        <v>-45921.597500000003</v>
      </c>
      <c r="C23" s="6">
        <f>C8-C$33</f>
        <v>2325.9123850238011</v>
      </c>
      <c r="D23" s="5">
        <f t="shared" si="0"/>
        <v>-19.743476923585877</v>
      </c>
      <c r="E23" s="6">
        <f t="shared" si="1"/>
        <v>-43595.685114976201</v>
      </c>
      <c r="F23" s="6">
        <f>F8-F$33</f>
        <v>-8674.7509489999993</v>
      </c>
      <c r="G23" s="6">
        <f>G8-G$33</f>
        <v>971.27899051760141</v>
      </c>
      <c r="H23" s="5">
        <f t="shared" si="2"/>
        <v>-8.9312659222425506</v>
      </c>
      <c r="I23" s="6">
        <f t="shared" si="3"/>
        <v>-7703.4719584823979</v>
      </c>
      <c r="J23" s="6">
        <f>J8-J$33</f>
        <v>-3198.9574539999999</v>
      </c>
      <c r="K23" s="6">
        <f>K8-K$33</f>
        <v>642.36055491732077</v>
      </c>
      <c r="L23" s="5">
        <f t="shared" si="4"/>
        <v>-4.9800029430694774</v>
      </c>
      <c r="M23" s="6">
        <f t="shared" si="5"/>
        <v>-2556.5968990826791</v>
      </c>
      <c r="N23" t="s">
        <v>24</v>
      </c>
    </row>
    <row r="24" spans="1:14" x14ac:dyDescent="0.25">
      <c r="A24" t="s">
        <v>8</v>
      </c>
      <c r="B24" s="6">
        <f>B9-B$33</f>
        <v>-107072.6366</v>
      </c>
      <c r="C24" s="6">
        <f>C9-C$33</f>
        <v>14633.7175650238</v>
      </c>
      <c r="D24" s="5">
        <f t="shared" si="0"/>
        <v>-7.3168445491879259</v>
      </c>
      <c r="E24" s="6">
        <f t="shared" si="1"/>
        <v>-92438.919034976192</v>
      </c>
      <c r="F24" s="6">
        <f>F9-F$33</f>
        <v>-21894.339179999999</v>
      </c>
      <c r="G24" s="6">
        <f>G9-G$33</f>
        <v>6245.8449505176013</v>
      </c>
      <c r="H24" s="5">
        <f t="shared" si="2"/>
        <v>-3.5054247028955765</v>
      </c>
      <c r="I24" s="6">
        <f t="shared" si="3"/>
        <v>-15648.494229482398</v>
      </c>
      <c r="J24" s="6">
        <f>J9-J$33</f>
        <v>-8514.542308</v>
      </c>
      <c r="K24" s="6">
        <f>K9-K$33</f>
        <v>3467.4732449173207</v>
      </c>
      <c r="L24" s="5">
        <f t="shared" si="4"/>
        <v>-2.455546649272855</v>
      </c>
      <c r="M24" s="6">
        <f t="shared" si="5"/>
        <v>-5047.0690630826793</v>
      </c>
      <c r="N24" t="s">
        <v>24</v>
      </c>
    </row>
    <row r="25" spans="1:14" x14ac:dyDescent="0.25">
      <c r="A25" t="s">
        <v>7</v>
      </c>
      <c r="B25" s="6">
        <f>B10-B$33</f>
        <v>-69242.862210000007</v>
      </c>
      <c r="C25" s="6">
        <f>C10-C$33</f>
        <v>4826.4201050237989</v>
      </c>
      <c r="D25" s="5">
        <f t="shared" si="0"/>
        <v>-14.346629738659804</v>
      </c>
      <c r="E25" s="6">
        <f t="shared" si="1"/>
        <v>-64416.44210497621</v>
      </c>
      <c r="F25" s="6">
        <f>F10-F$33</f>
        <v>-13872.35764</v>
      </c>
      <c r="G25" s="6">
        <f>G10-G$33</f>
        <v>2045.0444705176014</v>
      </c>
      <c r="H25" s="5">
        <f t="shared" si="2"/>
        <v>-6.7834014565408944</v>
      </c>
      <c r="I25" s="6">
        <f t="shared" si="3"/>
        <v>-11827.313169482399</v>
      </c>
      <c r="J25" s="6">
        <f>J10-J$33</f>
        <v>-5283.9158260000004</v>
      </c>
      <c r="K25" s="6">
        <f>K10-K$33</f>
        <v>1126.6878249173205</v>
      </c>
      <c r="L25" s="5">
        <f t="shared" si="4"/>
        <v>-4.6897780460064427</v>
      </c>
      <c r="M25" s="6">
        <f t="shared" si="5"/>
        <v>-4157.2280010826798</v>
      </c>
      <c r="N25" t="s">
        <v>24</v>
      </c>
    </row>
    <row r="26" spans="1:14" x14ac:dyDescent="0.25">
      <c r="A26" t="s">
        <v>9</v>
      </c>
      <c r="B26" s="6">
        <f>B11-B$33</f>
        <v>-81117.731169999999</v>
      </c>
      <c r="C26" s="6">
        <f>C11-C$33</f>
        <v>7044.9094950238014</v>
      </c>
      <c r="D26" s="5">
        <f t="shared" si="0"/>
        <v>-11.514375199184293</v>
      </c>
      <c r="E26" s="6">
        <f t="shared" si="1"/>
        <v>-74072.821674976192</v>
      </c>
      <c r="F26" s="6">
        <f>F11-F$33</f>
        <v>-15910.76873</v>
      </c>
      <c r="G26" s="6">
        <f>G11-G$33</f>
        <v>2963.7267405176008</v>
      </c>
      <c r="H26" s="5">
        <f t="shared" si="2"/>
        <v>-5.3685005815418929</v>
      </c>
      <c r="I26" s="6">
        <f t="shared" si="3"/>
        <v>-12947.041989482399</v>
      </c>
      <c r="J26" s="6">
        <f>J11-J$33</f>
        <v>-6110.8874349999996</v>
      </c>
      <c r="K26" s="6">
        <f>K11-K$33</f>
        <v>1967.6849149173195</v>
      </c>
      <c r="L26" s="5">
        <f t="shared" si="4"/>
        <v>-3.1056229524719279</v>
      </c>
      <c r="M26" s="6">
        <f t="shared" si="5"/>
        <v>-4143.2025200826802</v>
      </c>
      <c r="N26" t="s">
        <v>24</v>
      </c>
    </row>
    <row r="27" spans="1:14" x14ac:dyDescent="0.25">
      <c r="A27" t="s">
        <v>10</v>
      </c>
      <c r="B27" s="6">
        <f>B12-B$33</f>
        <v>-70006.101200000005</v>
      </c>
      <c r="C27" s="6">
        <f>C12-C$33</f>
        <v>27911.243325023795</v>
      </c>
      <c r="D27" s="5">
        <f t="shared" si="0"/>
        <v>-2.5081684962860864</v>
      </c>
      <c r="E27" s="6">
        <f t="shared" si="1"/>
        <v>-42094.857874976209</v>
      </c>
      <c r="F27" s="6">
        <f>F12-F$33</f>
        <v>-16549.278579999998</v>
      </c>
      <c r="G27" s="6">
        <f>G12-G$33</f>
        <v>16349.5410105176</v>
      </c>
      <c r="H27" s="5">
        <f t="shared" si="2"/>
        <v>-1.0122167080625633</v>
      </c>
      <c r="I27" s="6">
        <f t="shared" si="3"/>
        <v>-199.73756948239861</v>
      </c>
      <c r="J27" s="6">
        <f>J12-J$33</f>
        <v>-7773.9790499999999</v>
      </c>
      <c r="K27" s="6">
        <f>K12-K$33</f>
        <v>11432.142664917319</v>
      </c>
      <c r="L27" s="5">
        <f t="shared" si="4"/>
        <v>-0.68001067497666889</v>
      </c>
      <c r="M27" s="6">
        <f t="shared" si="5"/>
        <v>3658.1636149173191</v>
      </c>
      <c r="N27" t="s">
        <v>24</v>
      </c>
    </row>
    <row r="28" spans="1:14" x14ac:dyDescent="0.25">
      <c r="A28" t="s">
        <v>11</v>
      </c>
      <c r="B28" s="6">
        <f>B13-B$33</f>
        <v>-185026.90859979999</v>
      </c>
      <c r="C28" s="6">
        <f>C13-C$33</f>
        <v>1207138.6077176137</v>
      </c>
      <c r="D28" s="5">
        <f t="shared" si="0"/>
        <v>-0.15327726858942731</v>
      </c>
      <c r="E28" s="6">
        <f t="shared" si="1"/>
        <v>1022111.6991178137</v>
      </c>
      <c r="F28" s="6">
        <f>F13-F$33</f>
        <v>-50271.5769779783</v>
      </c>
      <c r="G28" s="6">
        <f>G13-G$33</f>
        <v>302972.54611755058</v>
      </c>
      <c r="H28" s="5">
        <f t="shared" si="2"/>
        <v>-0.16592782950859641</v>
      </c>
      <c r="I28" s="6">
        <f t="shared" si="3"/>
        <v>252700.96913957229</v>
      </c>
      <c r="J28" s="6">
        <f>J13-J$33</f>
        <v>-26217.887908184199</v>
      </c>
      <c r="K28" s="6">
        <f>K13-K$33</f>
        <v>140555.13866259833</v>
      </c>
      <c r="L28" s="5">
        <f t="shared" si="4"/>
        <v>-0.18653098106302654</v>
      </c>
      <c r="M28" s="6">
        <f t="shared" si="5"/>
        <v>114337.25075441413</v>
      </c>
      <c r="N28" t="s">
        <v>24</v>
      </c>
    </row>
    <row r="29" spans="1:14" x14ac:dyDescent="0.25">
      <c r="A29" t="s">
        <v>12</v>
      </c>
      <c r="B29" s="6">
        <f>B14-B$33</f>
        <v>-52677.846720000001</v>
      </c>
      <c r="C29" s="6">
        <f>C14-C$33</f>
        <v>11419.991415023802</v>
      </c>
      <c r="D29" s="5">
        <f t="shared" si="0"/>
        <v>-4.6127746340245572</v>
      </c>
      <c r="E29" s="6">
        <f t="shared" si="1"/>
        <v>-41257.855304976198</v>
      </c>
      <c r="F29" s="6">
        <f>F14-F$33</f>
        <v>-11192.743119999999</v>
      </c>
      <c r="G29" s="6">
        <f>G14-G$33</f>
        <v>6387.5267705175993</v>
      </c>
      <c r="H29" s="5">
        <f t="shared" si="2"/>
        <v>-1.752281207127218</v>
      </c>
      <c r="I29" s="6">
        <f t="shared" si="3"/>
        <v>-4805.2163494823999</v>
      </c>
      <c r="J29" s="6">
        <f>J14-J$33</f>
        <v>-4681.5643</v>
      </c>
      <c r="K29" s="6">
        <f>K14-K$33</f>
        <v>4330.4415549173209</v>
      </c>
      <c r="L29" s="5">
        <f t="shared" si="4"/>
        <v>-1.0810824348117505</v>
      </c>
      <c r="M29" s="6">
        <f t="shared" si="5"/>
        <v>-351.1227450826791</v>
      </c>
      <c r="N29" t="s">
        <v>24</v>
      </c>
    </row>
    <row r="30" spans="1:14" x14ac:dyDescent="0.25">
      <c r="A30" t="s">
        <v>43</v>
      </c>
      <c r="B30" s="6">
        <f>B15-B$33</f>
        <v>0</v>
      </c>
      <c r="C30" s="6">
        <f>C15-C$33</f>
        <v>-15116.4576849762</v>
      </c>
      <c r="D30" s="5">
        <f t="shared" si="0"/>
        <v>0</v>
      </c>
      <c r="E30" s="6">
        <f t="shared" si="1"/>
        <v>-15116.4576849762</v>
      </c>
      <c r="F30" s="6">
        <f>F15-F$33</f>
        <v>0</v>
      </c>
      <c r="G30" s="6">
        <f>G15-G$33</f>
        <v>-11664.787219482399</v>
      </c>
      <c r="H30" s="5">
        <f t="shared" si="2"/>
        <v>0</v>
      </c>
      <c r="I30" s="6">
        <f t="shared" si="3"/>
        <v>-11664.787219482399</v>
      </c>
      <c r="J30" s="6">
        <f>J15-J$33</f>
        <v>0</v>
      </c>
      <c r="K30" s="6">
        <f>K15-K$33</f>
        <v>-9787.7637750826798</v>
      </c>
      <c r="L30" s="5">
        <f t="shared" si="4"/>
        <v>0</v>
      </c>
      <c r="M30" s="6">
        <f t="shared" si="5"/>
        <v>-9787.7637750826798</v>
      </c>
      <c r="N30" t="s">
        <v>24</v>
      </c>
    </row>
    <row r="32" spans="1:14" x14ac:dyDescent="0.25">
      <c r="A32" t="s">
        <v>13</v>
      </c>
      <c r="B32" t="s">
        <v>45</v>
      </c>
      <c r="C32" t="s">
        <v>46</v>
      </c>
      <c r="F32" t="s">
        <v>47</v>
      </c>
      <c r="G32" t="s">
        <v>48</v>
      </c>
      <c r="J32" t="s">
        <v>49</v>
      </c>
      <c r="K32" t="s">
        <v>50</v>
      </c>
    </row>
    <row r="33" spans="2:13" x14ac:dyDescent="0.25">
      <c r="B33" s="1">
        <v>0</v>
      </c>
      <c r="C33" s="1">
        <v>15116.4576849762</v>
      </c>
      <c r="D33" s="5">
        <v>0</v>
      </c>
      <c r="E33">
        <v>15116.4576849762</v>
      </c>
      <c r="F33" s="1">
        <v>0</v>
      </c>
      <c r="G33" s="1">
        <v>11664.787219482399</v>
      </c>
      <c r="H33" s="5">
        <v>0</v>
      </c>
      <c r="I33">
        <v>11664.787219482399</v>
      </c>
      <c r="J33" s="1">
        <v>0</v>
      </c>
      <c r="K33" s="1">
        <v>9787.7637750826798</v>
      </c>
      <c r="L33" s="5">
        <v>0</v>
      </c>
      <c r="M33">
        <v>9787.7637750826798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3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P138"/>
  <sheetViews>
    <sheetView zoomScale="70" zoomScaleNormal="70" workbookViewId="0">
      <selection activeCell="C2" sqref="C2"/>
    </sheetView>
  </sheetViews>
  <sheetFormatPr defaultRowHeight="15" x14ac:dyDescent="0.25"/>
  <cols>
    <col min="1" max="1" width="22.28515625" bestFit="1" customWidth="1"/>
    <col min="2" max="2" width="8.5703125" bestFit="1" customWidth="1"/>
    <col min="3" max="3" width="15.140625" bestFit="1" customWidth="1"/>
    <col min="4" max="4" width="12.85546875" bestFit="1" customWidth="1"/>
    <col min="5" max="5" width="11.5703125" bestFit="1" customWidth="1"/>
    <col min="6" max="6" width="12.5703125" bestFit="1" customWidth="1"/>
    <col min="7" max="7" width="12.42578125" bestFit="1" customWidth="1"/>
    <col min="8" max="8" width="12.7109375" bestFit="1" customWidth="1"/>
    <col min="9" max="9" width="8.7109375" bestFit="1" customWidth="1"/>
    <col min="10" max="10" width="9.7109375" bestFit="1" customWidth="1"/>
    <col min="11" max="11" width="11.28515625" bestFit="1" customWidth="1"/>
    <col min="12" max="12" width="9.7109375" bestFit="1" customWidth="1"/>
    <col min="13" max="13" width="10.140625" bestFit="1" customWidth="1"/>
    <col min="14" max="14" width="9.28515625" bestFit="1" customWidth="1"/>
  </cols>
  <sheetData>
    <row r="1" spans="1:16" x14ac:dyDescent="0.25">
      <c r="A1" t="str">
        <f>Low!A1</f>
        <v>Scenario</v>
      </c>
      <c r="B1" t="s">
        <v>28</v>
      </c>
      <c r="C1" t="s">
        <v>15</v>
      </c>
      <c r="D1" t="s">
        <v>16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  <c r="L1" t="s">
        <v>81</v>
      </c>
      <c r="M1" t="s">
        <v>82</v>
      </c>
      <c r="N1" t="s">
        <v>83</v>
      </c>
      <c r="P1" s="7">
        <v>0.12</v>
      </c>
    </row>
    <row r="2" spans="1:16" x14ac:dyDescent="0.25">
      <c r="A2" t="s">
        <v>1</v>
      </c>
      <c r="B2" t="s">
        <v>30</v>
      </c>
      <c r="C2" s="1">
        <v>11.644658803537901</v>
      </c>
      <c r="D2" s="1">
        <v>20.995318762810705</v>
      </c>
      <c r="F2" s="1">
        <f>C2</f>
        <v>11.644658803537901</v>
      </c>
    </row>
    <row r="3" spans="1:16" x14ac:dyDescent="0.25">
      <c r="A3" t="s">
        <v>2</v>
      </c>
      <c r="B3" t="s">
        <v>30</v>
      </c>
      <c r="C3" s="1">
        <v>30.8488092279228</v>
      </c>
      <c r="D3" s="1">
        <v>57.295127698267699</v>
      </c>
      <c r="F3" s="1">
        <f>C3</f>
        <v>30.8488092279228</v>
      </c>
    </row>
    <row r="4" spans="1:16" x14ac:dyDescent="0.25">
      <c r="A4" t="s">
        <v>3</v>
      </c>
      <c r="B4" t="s">
        <v>30</v>
      </c>
      <c r="C4" s="1">
        <v>48.889259790475499</v>
      </c>
      <c r="D4" s="1">
        <v>17.1979631434811</v>
      </c>
      <c r="F4" s="1">
        <f>C4</f>
        <v>48.889259790475499</v>
      </c>
    </row>
    <row r="5" spans="1:16" x14ac:dyDescent="0.25">
      <c r="A5" t="s">
        <v>4</v>
      </c>
      <c r="B5" t="s">
        <v>30</v>
      </c>
      <c r="C5" s="1">
        <v>124.837112954951</v>
      </c>
      <c r="D5" s="1">
        <v>114.2747717876463</v>
      </c>
      <c r="F5" s="1">
        <f>C5</f>
        <v>124.837112954951</v>
      </c>
    </row>
    <row r="6" spans="1:16" x14ac:dyDescent="0.25">
      <c r="A6" t="s">
        <v>6</v>
      </c>
      <c r="B6" t="s">
        <v>30</v>
      </c>
      <c r="C6" s="1">
        <v>5.7182312864800897</v>
      </c>
      <c r="D6" s="1">
        <v>4.1659214180670006</v>
      </c>
      <c r="E6" s="1">
        <f>C6</f>
        <v>5.7182312864800897</v>
      </c>
    </row>
    <row r="7" spans="1:16" x14ac:dyDescent="0.25">
      <c r="A7" t="s">
        <v>5</v>
      </c>
      <c r="B7" t="s">
        <v>30</v>
      </c>
      <c r="C7" s="1">
        <v>6.1003980291767999</v>
      </c>
      <c r="D7" s="1">
        <v>1.180627920843901</v>
      </c>
      <c r="E7" s="1">
        <f>C7</f>
        <v>6.1003980291767999</v>
      </c>
    </row>
    <row r="8" spans="1:16" x14ac:dyDescent="0.25">
      <c r="A8" t="s">
        <v>8</v>
      </c>
      <c r="B8" t="s">
        <v>30</v>
      </c>
      <c r="C8" s="1">
        <v>20.9724031247715</v>
      </c>
      <c r="D8" s="1">
        <v>6.8639098429973</v>
      </c>
      <c r="E8" s="1">
        <f>C8</f>
        <v>20.9724031247715</v>
      </c>
    </row>
    <row r="9" spans="1:16" x14ac:dyDescent="0.25">
      <c r="A9" t="s">
        <v>7</v>
      </c>
      <c r="B9" t="s">
        <v>30</v>
      </c>
      <c r="C9" s="1">
        <v>9.1759801601351985</v>
      </c>
      <c r="D9" s="1">
        <v>2.3271051036413009</v>
      </c>
      <c r="E9" s="1">
        <f>C9</f>
        <v>9.1759801601351985</v>
      </c>
    </row>
    <row r="10" spans="1:16" x14ac:dyDescent="0.25">
      <c r="A10" t="s">
        <v>9</v>
      </c>
      <c r="B10" t="s">
        <v>30</v>
      </c>
      <c r="C10" s="1">
        <v>10.472884531638799</v>
      </c>
      <c r="D10" s="1">
        <v>3.3537537925179004</v>
      </c>
      <c r="E10" s="1">
        <f>C10</f>
        <v>10.472884531638799</v>
      </c>
    </row>
    <row r="11" spans="1:16" x14ac:dyDescent="0.25">
      <c r="A11" t="s">
        <v>13</v>
      </c>
      <c r="B11" t="s">
        <v>30</v>
      </c>
      <c r="C11" s="1">
        <v>0</v>
      </c>
      <c r="D11" s="1">
        <v>0</v>
      </c>
      <c r="I11" s="1">
        <f>C11</f>
        <v>0</v>
      </c>
    </row>
    <row r="12" spans="1:16" x14ac:dyDescent="0.25">
      <c r="A12" t="s">
        <v>10</v>
      </c>
      <c r="B12" t="s">
        <v>30</v>
      </c>
      <c r="C12" s="1">
        <v>3.2085743248811902E-2</v>
      </c>
      <c r="D12" s="1">
        <v>20.766988076812304</v>
      </c>
      <c r="G12" s="1">
        <f>C12</f>
        <v>3.2085743248811902E-2</v>
      </c>
    </row>
    <row r="13" spans="1:16" x14ac:dyDescent="0.25">
      <c r="A13" t="s">
        <v>11</v>
      </c>
      <c r="B13" t="s">
        <v>30</v>
      </c>
      <c r="C13" s="1">
        <v>-4.4606170443716504</v>
      </c>
      <c r="D13" s="1">
        <v>210.7920060033253</v>
      </c>
      <c r="G13" s="1">
        <f>C13</f>
        <v>-4.4606170443716504</v>
      </c>
    </row>
    <row r="14" spans="1:16" x14ac:dyDescent="0.25">
      <c r="A14" t="s">
        <v>12</v>
      </c>
      <c r="B14" t="s">
        <v>30</v>
      </c>
      <c r="C14" s="1">
        <v>0.18416268361230301</v>
      </c>
      <c r="D14" s="1">
        <v>6.3180926480786024</v>
      </c>
      <c r="G14" s="1">
        <f>C14</f>
        <v>0.18416268361230301</v>
      </c>
    </row>
    <row r="15" spans="1:16" x14ac:dyDescent="0.25">
      <c r="A15" t="s">
        <v>43</v>
      </c>
      <c r="B15" t="s">
        <v>30</v>
      </c>
      <c r="C15" s="1">
        <v>55.3942403007933</v>
      </c>
      <c r="D15" s="1">
        <v>32.817166808422193</v>
      </c>
      <c r="H15" s="1">
        <f>C15</f>
        <v>55.3942403007933</v>
      </c>
    </row>
    <row r="16" spans="1:16" x14ac:dyDescent="0.25">
      <c r="A16" t="s">
        <v>1</v>
      </c>
      <c r="B16" t="s">
        <v>32</v>
      </c>
      <c r="C16" s="1">
        <v>24.0124014868552</v>
      </c>
      <c r="D16" s="1">
        <v>35.808276148183701</v>
      </c>
      <c r="K16" s="1">
        <f>C16</f>
        <v>24.0124014868552</v>
      </c>
    </row>
    <row r="17" spans="1:14" x14ac:dyDescent="0.25">
      <c r="A17" t="s">
        <v>2</v>
      </c>
      <c r="B17" t="s">
        <v>32</v>
      </c>
      <c r="C17" s="1">
        <v>84.257525916830588</v>
      </c>
      <c r="D17" s="1">
        <v>128.0220106422783</v>
      </c>
      <c r="K17" s="1">
        <f>C17</f>
        <v>84.257525916830588</v>
      </c>
    </row>
    <row r="18" spans="1:14" x14ac:dyDescent="0.25">
      <c r="A18" t="s">
        <v>3</v>
      </c>
      <c r="B18" t="s">
        <v>32</v>
      </c>
      <c r="C18" s="1">
        <v>74.162147660175606</v>
      </c>
      <c r="D18" s="1">
        <v>27.285354272450402</v>
      </c>
      <c r="K18" s="1">
        <f>C18</f>
        <v>74.162147660175606</v>
      </c>
    </row>
    <row r="19" spans="1:14" x14ac:dyDescent="0.25">
      <c r="A19" t="s">
        <v>4</v>
      </c>
      <c r="B19" t="s">
        <v>32</v>
      </c>
      <c r="C19" s="1">
        <v>265.90276421105403</v>
      </c>
      <c r="D19" s="1">
        <v>253.71793079119632</v>
      </c>
      <c r="K19" s="1">
        <f>C19</f>
        <v>265.90276421105403</v>
      </c>
    </row>
    <row r="20" spans="1:14" x14ac:dyDescent="0.25">
      <c r="A20" t="s">
        <v>14</v>
      </c>
      <c r="B20" t="s">
        <v>32</v>
      </c>
      <c r="C20" s="1">
        <v>0</v>
      </c>
      <c r="D20" s="1">
        <v>0</v>
      </c>
      <c r="N20" s="1">
        <f>C20</f>
        <v>0</v>
      </c>
    </row>
    <row r="21" spans="1:14" x14ac:dyDescent="0.25">
      <c r="A21" t="s">
        <v>6</v>
      </c>
      <c r="B21" t="s">
        <v>32</v>
      </c>
      <c r="C21" s="1">
        <v>14.041807010664401</v>
      </c>
      <c r="D21" s="1">
        <v>4.4587286396716008</v>
      </c>
      <c r="J21" s="1">
        <f>C21</f>
        <v>14.041807010664401</v>
      </c>
    </row>
    <row r="22" spans="1:14" x14ac:dyDescent="0.25">
      <c r="A22" t="s">
        <v>5</v>
      </c>
      <c r="B22" t="s">
        <v>32</v>
      </c>
      <c r="C22" s="1">
        <v>12.795920628411601</v>
      </c>
      <c r="D22" s="1">
        <v>1.2062085655634001</v>
      </c>
      <c r="J22" s="1">
        <f>C22</f>
        <v>12.795920628411601</v>
      </c>
    </row>
    <row r="23" spans="1:14" x14ac:dyDescent="0.25">
      <c r="A23" t="s">
        <v>8</v>
      </c>
      <c r="B23" t="s">
        <v>32</v>
      </c>
      <c r="C23" s="1">
        <v>38.626101035459101</v>
      </c>
      <c r="D23" s="1">
        <v>6.9536838408824986</v>
      </c>
      <c r="J23" s="1">
        <f>C23</f>
        <v>38.626101035459101</v>
      </c>
    </row>
    <row r="24" spans="1:14" x14ac:dyDescent="0.25">
      <c r="A24" t="s">
        <v>7</v>
      </c>
      <c r="B24" t="s">
        <v>32</v>
      </c>
      <c r="C24" s="1">
        <v>17.986986790839499</v>
      </c>
      <c r="D24" s="1">
        <v>2.3645824738394001</v>
      </c>
      <c r="J24" s="1">
        <f>C24</f>
        <v>17.986986790839499</v>
      </c>
    </row>
    <row r="25" spans="1:14" x14ac:dyDescent="0.25">
      <c r="A25" t="s">
        <v>9</v>
      </c>
      <c r="B25" t="s">
        <v>32</v>
      </c>
      <c r="C25" s="1">
        <v>20.252154009836197</v>
      </c>
      <c r="D25" s="1">
        <v>3.3936502690387989</v>
      </c>
      <c r="J25" s="1">
        <f>C25</f>
        <v>20.252154009836197</v>
      </c>
    </row>
    <row r="26" spans="1:14" x14ac:dyDescent="0.25">
      <c r="A26" t="s">
        <v>10</v>
      </c>
      <c r="B26" t="s">
        <v>32</v>
      </c>
      <c r="C26" s="1">
        <v>2.5552191726661397</v>
      </c>
      <c r="D26" s="1">
        <v>20.786948308100502</v>
      </c>
      <c r="L26" s="1">
        <f>C26</f>
        <v>2.5552191726661397</v>
      </c>
    </row>
    <row r="27" spans="1:14" x14ac:dyDescent="0.25">
      <c r="A27" t="s">
        <v>11</v>
      </c>
      <c r="B27" t="s">
        <v>32</v>
      </c>
      <c r="C27" s="1">
        <v>-5.1575221174354304</v>
      </c>
      <c r="D27" s="1">
        <v>223.00696647797531</v>
      </c>
      <c r="L27" s="1">
        <f>C27</f>
        <v>-5.1575221174354304</v>
      </c>
    </row>
    <row r="28" spans="1:14" x14ac:dyDescent="0.25">
      <c r="A28" t="s">
        <v>12</v>
      </c>
      <c r="B28" t="s">
        <v>32</v>
      </c>
      <c r="C28" s="1">
        <v>2.70791448460225</v>
      </c>
      <c r="D28" s="1">
        <v>6.3290725084344013</v>
      </c>
      <c r="L28" s="1">
        <f>C28</f>
        <v>2.70791448460225</v>
      </c>
    </row>
    <row r="29" spans="1:14" x14ac:dyDescent="0.25">
      <c r="A29" t="s">
        <v>43</v>
      </c>
      <c r="B29" t="s">
        <v>32</v>
      </c>
      <c r="C29" s="1">
        <v>100.07899781724501</v>
      </c>
      <c r="D29" s="1">
        <v>33.740132463993199</v>
      </c>
      <c r="M29" s="1">
        <f>C29</f>
        <v>100.07899781724501</v>
      </c>
    </row>
    <row r="32" spans="1:14" x14ac:dyDescent="0.25">
      <c r="C32" s="1" t="s">
        <v>84</v>
      </c>
      <c r="D32" s="1"/>
    </row>
    <row r="33" spans="1:16" x14ac:dyDescent="0.25">
      <c r="A33" t="str">
        <f>Low!A32</f>
        <v>Low Baseline</v>
      </c>
      <c r="B33" t="s">
        <v>28</v>
      </c>
      <c r="C33" t="s">
        <v>36</v>
      </c>
      <c r="D33" t="s">
        <v>37</v>
      </c>
      <c r="E33" t="s">
        <v>74</v>
      </c>
      <c r="F33" t="s">
        <v>75</v>
      </c>
      <c r="G33" t="s">
        <v>76</v>
      </c>
      <c r="H33" t="s">
        <v>77</v>
      </c>
      <c r="I33" t="s">
        <v>78</v>
      </c>
      <c r="J33" t="s">
        <v>79</v>
      </c>
      <c r="K33" t="s">
        <v>80</v>
      </c>
      <c r="L33" t="s">
        <v>81</v>
      </c>
      <c r="M33" t="s">
        <v>82</v>
      </c>
      <c r="N33" t="s">
        <v>83</v>
      </c>
      <c r="P33" s="7">
        <v>0.02</v>
      </c>
    </row>
    <row r="34" spans="1:16" x14ac:dyDescent="0.25">
      <c r="A34" t="s">
        <v>1</v>
      </c>
      <c r="B34" t="s">
        <v>30</v>
      </c>
      <c r="C34" s="1">
        <v>40.991392169844005</v>
      </c>
      <c r="D34" s="1">
        <v>59.4787370107423</v>
      </c>
      <c r="F34" s="1">
        <f>C34</f>
        <v>40.991392169844005</v>
      </c>
    </row>
    <row r="35" spans="1:16" x14ac:dyDescent="0.25">
      <c r="A35" t="s">
        <v>2</v>
      </c>
      <c r="B35" t="s">
        <v>30</v>
      </c>
      <c r="C35" s="1">
        <v>190.30731757226701</v>
      </c>
      <c r="D35" s="1">
        <v>327.23642892221409</v>
      </c>
      <c r="F35" s="1">
        <f>C35</f>
        <v>190.30731757226701</v>
      </c>
    </row>
    <row r="36" spans="1:16" x14ac:dyDescent="0.25">
      <c r="A36" t="s">
        <v>3</v>
      </c>
      <c r="B36" t="s">
        <v>30</v>
      </c>
      <c r="C36" s="1">
        <v>112.322040618713</v>
      </c>
      <c r="D36" s="1">
        <v>42.255357612054198</v>
      </c>
      <c r="F36" s="1">
        <f>C36</f>
        <v>112.322040618713</v>
      </c>
    </row>
    <row r="37" spans="1:16" x14ac:dyDescent="0.25">
      <c r="A37" t="s">
        <v>4</v>
      </c>
      <c r="B37" t="s">
        <v>30</v>
      </c>
      <c r="C37" s="1">
        <v>611.71112191152508</v>
      </c>
      <c r="D37" s="1">
        <v>618.48096790879902</v>
      </c>
      <c r="F37" s="1">
        <f>C37</f>
        <v>611.71112191152508</v>
      </c>
    </row>
    <row r="38" spans="1:16" x14ac:dyDescent="0.25">
      <c r="A38" t="s">
        <v>6</v>
      </c>
      <c r="B38" t="s">
        <v>30</v>
      </c>
      <c r="C38" s="1">
        <v>23.639052484741402</v>
      </c>
      <c r="D38" s="1">
        <v>5.1967019918885997</v>
      </c>
      <c r="E38" s="1">
        <f>C38</f>
        <v>23.639052484741402</v>
      </c>
    </row>
    <row r="39" spans="1:16" x14ac:dyDescent="0.25">
      <c r="A39" t="s">
        <v>5</v>
      </c>
      <c r="B39" t="s">
        <v>30</v>
      </c>
      <c r="C39" s="1">
        <v>30.682746255407402</v>
      </c>
      <c r="D39" s="1">
        <v>2.6047893640988988</v>
      </c>
      <c r="E39" s="1">
        <f>C39</f>
        <v>30.682746255407402</v>
      </c>
    </row>
    <row r="40" spans="1:16" x14ac:dyDescent="0.25">
      <c r="A40" t="s">
        <v>8</v>
      </c>
      <c r="B40" t="s">
        <v>30</v>
      </c>
      <c r="C40" s="1">
        <v>97.079650583780889</v>
      </c>
      <c r="D40" s="1">
        <v>15.4915645497712</v>
      </c>
      <c r="E40" s="1">
        <f>C40</f>
        <v>97.079650583780889</v>
      </c>
    </row>
    <row r="41" spans="1:16" x14ac:dyDescent="0.25">
      <c r="A41" t="s">
        <v>7</v>
      </c>
      <c r="B41" t="s">
        <v>30</v>
      </c>
      <c r="C41" s="1">
        <v>43.683158017839396</v>
      </c>
      <c r="D41" s="1">
        <v>5.2154990279757003</v>
      </c>
      <c r="E41" s="1">
        <f>C41</f>
        <v>43.683158017839396</v>
      </c>
    </row>
    <row r="42" spans="1:16" x14ac:dyDescent="0.25">
      <c r="A42" t="s">
        <v>9</v>
      </c>
      <c r="B42" t="s">
        <v>30</v>
      </c>
      <c r="C42" s="1">
        <v>50.470555104885598</v>
      </c>
      <c r="D42" s="1">
        <v>7.5615187567422</v>
      </c>
      <c r="E42" s="1">
        <f>C42</f>
        <v>50.470555104885598</v>
      </c>
    </row>
    <row r="43" spans="1:16" x14ac:dyDescent="0.25">
      <c r="A43" t="s">
        <v>13</v>
      </c>
      <c r="B43" t="s">
        <v>30</v>
      </c>
      <c r="C43" s="1">
        <v>0</v>
      </c>
      <c r="D43" s="1">
        <v>0</v>
      </c>
      <c r="I43" s="1">
        <f>C43</f>
        <v>0</v>
      </c>
    </row>
    <row r="44" spans="1:16" x14ac:dyDescent="0.25">
      <c r="A44" t="s">
        <v>10</v>
      </c>
      <c r="B44" t="s">
        <v>30</v>
      </c>
      <c r="C44" s="1">
        <v>1.4045679010868701</v>
      </c>
      <c r="D44" s="1">
        <v>30.645956721305598</v>
      </c>
      <c r="G44" s="1">
        <f>C44</f>
        <v>1.4045679010868701</v>
      </c>
    </row>
    <row r="45" spans="1:16" x14ac:dyDescent="0.25">
      <c r="A45" t="s">
        <v>11</v>
      </c>
      <c r="B45" t="s">
        <v>30</v>
      </c>
      <c r="C45" s="1">
        <v>-40.603419309400401</v>
      </c>
      <c r="D45" s="1">
        <v>813.68307561047015</v>
      </c>
      <c r="G45" s="1">
        <f>C45</f>
        <v>-40.603419309400401</v>
      </c>
    </row>
    <row r="46" spans="1:16" x14ac:dyDescent="0.25">
      <c r="A46" t="s">
        <v>12</v>
      </c>
      <c r="B46" t="s">
        <v>30</v>
      </c>
      <c r="C46" s="1">
        <v>2.6267782954144598</v>
      </c>
      <c r="D46" s="1">
        <v>11.2811978684907</v>
      </c>
      <c r="G46" s="1">
        <f>C46</f>
        <v>2.6267782954144598</v>
      </c>
    </row>
    <row r="47" spans="1:16" x14ac:dyDescent="0.25">
      <c r="A47" t="s">
        <v>43</v>
      </c>
      <c r="B47" t="s">
        <v>30</v>
      </c>
      <c r="C47" s="1">
        <v>177.56027976733</v>
      </c>
      <c r="D47" s="1">
        <v>70.162474951677609</v>
      </c>
      <c r="H47" s="1">
        <f>C47</f>
        <v>177.56027976733</v>
      </c>
    </row>
    <row r="48" spans="1:16" x14ac:dyDescent="0.25">
      <c r="A48" t="s">
        <v>1</v>
      </c>
      <c r="B48" t="s">
        <v>32</v>
      </c>
      <c r="C48" s="1">
        <v>94.8647314703082</v>
      </c>
      <c r="D48" s="1">
        <v>105.08096196454019</v>
      </c>
      <c r="K48" s="1">
        <f>C48</f>
        <v>94.8647314703082</v>
      </c>
    </row>
    <row r="49" spans="1:14" x14ac:dyDescent="0.25">
      <c r="A49" t="s">
        <v>2</v>
      </c>
      <c r="B49" t="s">
        <v>32</v>
      </c>
      <c r="C49" s="1">
        <v>573.81981405192494</v>
      </c>
      <c r="D49" s="1">
        <v>798.73901931422722</v>
      </c>
      <c r="K49" s="1">
        <f>C49</f>
        <v>573.81981405192494</v>
      </c>
    </row>
    <row r="50" spans="1:14" x14ac:dyDescent="0.25">
      <c r="A50" t="s">
        <v>3</v>
      </c>
      <c r="B50" t="s">
        <v>32</v>
      </c>
      <c r="C50" s="1">
        <v>189.54767770812401</v>
      </c>
      <c r="D50" s="1">
        <v>64.787876392268402</v>
      </c>
      <c r="K50" s="1">
        <f>C50</f>
        <v>189.54767770812401</v>
      </c>
    </row>
    <row r="51" spans="1:14" x14ac:dyDescent="0.25">
      <c r="A51" t="s">
        <v>4</v>
      </c>
      <c r="B51" t="s">
        <v>32</v>
      </c>
      <c r="C51" s="1">
        <v>1529.26070418628</v>
      </c>
      <c r="D51" s="1">
        <v>1518.8165934068911</v>
      </c>
      <c r="K51" s="1">
        <f>C51</f>
        <v>1529.26070418628</v>
      </c>
    </row>
    <row r="52" spans="1:14" x14ac:dyDescent="0.25">
      <c r="A52" t="s">
        <v>14</v>
      </c>
      <c r="B52" t="s">
        <v>32</v>
      </c>
      <c r="C52" s="1">
        <v>0</v>
      </c>
      <c r="D52" s="1">
        <v>0</v>
      </c>
      <c r="N52" s="1">
        <f>C52</f>
        <v>0</v>
      </c>
    </row>
    <row r="53" spans="1:14" x14ac:dyDescent="0.25">
      <c r="A53" t="s">
        <v>6</v>
      </c>
      <c r="B53" t="s">
        <v>32</v>
      </c>
      <c r="C53" s="1">
        <v>81.711783899172602</v>
      </c>
      <c r="D53" s="1">
        <v>5.6051284844642977</v>
      </c>
      <c r="J53" s="1">
        <f>C53</f>
        <v>81.711783899172602</v>
      </c>
    </row>
    <row r="54" spans="1:14" x14ac:dyDescent="0.25">
      <c r="A54" t="s">
        <v>5</v>
      </c>
      <c r="B54" t="s">
        <v>32</v>
      </c>
      <c r="C54" s="1">
        <v>74.78762320090479</v>
      </c>
      <c r="D54" s="1">
        <v>2.6403666692845982</v>
      </c>
      <c r="J54" s="1">
        <f>C54</f>
        <v>74.78762320090479</v>
      </c>
    </row>
    <row r="55" spans="1:14" x14ac:dyDescent="0.25">
      <c r="A55" t="s">
        <v>8</v>
      </c>
      <c r="B55" t="s">
        <v>32</v>
      </c>
      <c r="C55" s="1">
        <v>201.38240255214799</v>
      </c>
      <c r="D55" s="1">
        <v>15.616703859231301</v>
      </c>
      <c r="J55" s="1">
        <f>C55</f>
        <v>201.38240255214799</v>
      </c>
    </row>
    <row r="56" spans="1:14" x14ac:dyDescent="0.25">
      <c r="A56" t="s">
        <v>7</v>
      </c>
      <c r="B56" t="s">
        <v>32</v>
      </c>
      <c r="C56" s="1">
        <v>98.338675448048605</v>
      </c>
      <c r="D56" s="1">
        <v>5.2676678858786001</v>
      </c>
      <c r="J56" s="1">
        <f>C56</f>
        <v>98.338675448048605</v>
      </c>
    </row>
    <row r="57" spans="1:14" x14ac:dyDescent="0.25">
      <c r="A57" t="s">
        <v>9</v>
      </c>
      <c r="B57" t="s">
        <v>32</v>
      </c>
      <c r="C57" s="1">
        <v>112.560083841115</v>
      </c>
      <c r="D57" s="1">
        <v>7.6170945780759975</v>
      </c>
      <c r="J57" s="1">
        <f>C57</f>
        <v>112.560083841115</v>
      </c>
    </row>
    <row r="58" spans="1:14" x14ac:dyDescent="0.25">
      <c r="A58" t="s">
        <v>10</v>
      </c>
      <c r="B58" t="s">
        <v>32</v>
      </c>
      <c r="C58" s="1">
        <v>20.6128411262535</v>
      </c>
      <c r="D58" s="1">
        <v>30.693055206306003</v>
      </c>
      <c r="L58" s="1">
        <f>C58</f>
        <v>20.6128411262535</v>
      </c>
    </row>
    <row r="59" spans="1:14" x14ac:dyDescent="0.25">
      <c r="A59" t="s">
        <v>11</v>
      </c>
      <c r="B59" t="s">
        <v>32</v>
      </c>
      <c r="C59" s="1">
        <v>-33.750559282223406</v>
      </c>
      <c r="D59" s="1">
        <v>897.18483790330924</v>
      </c>
      <c r="L59" s="1">
        <f>C59</f>
        <v>-33.750559282223406</v>
      </c>
    </row>
    <row r="60" spans="1:14" x14ac:dyDescent="0.25">
      <c r="A60" t="s">
        <v>12</v>
      </c>
      <c r="B60" t="s">
        <v>32</v>
      </c>
      <c r="C60" s="1">
        <v>22.101075343330997</v>
      </c>
      <c r="D60" s="1">
        <v>11.3081758052999</v>
      </c>
      <c r="L60" s="1">
        <f>C60</f>
        <v>22.101075343330997</v>
      </c>
    </row>
    <row r="61" spans="1:14" x14ac:dyDescent="0.25">
      <c r="A61" t="s">
        <v>43</v>
      </c>
      <c r="B61" t="s">
        <v>32</v>
      </c>
      <c r="C61" s="1">
        <v>343.06427648368401</v>
      </c>
      <c r="D61" s="1">
        <v>79.712141348113391</v>
      </c>
      <c r="M61" s="1">
        <f>C61</f>
        <v>343.06427648368401</v>
      </c>
    </row>
    <row r="62" spans="1:14" x14ac:dyDescent="0.25">
      <c r="C62" s="1"/>
    </row>
    <row r="63" spans="1:14" x14ac:dyDescent="0.25">
      <c r="C63" s="1"/>
    </row>
    <row r="64" spans="1:14" x14ac:dyDescent="0.25">
      <c r="C64" s="1"/>
    </row>
    <row r="65" spans="1:16" x14ac:dyDescent="0.25">
      <c r="C65" s="1"/>
    </row>
    <row r="66" spans="1:16" x14ac:dyDescent="0.25">
      <c r="C66" s="1"/>
    </row>
    <row r="67" spans="1:16" x14ac:dyDescent="0.25">
      <c r="C67" s="1"/>
    </row>
    <row r="68" spans="1:16" x14ac:dyDescent="0.25">
      <c r="C68" s="1"/>
    </row>
    <row r="69" spans="1:16" x14ac:dyDescent="0.25">
      <c r="C69" s="1"/>
    </row>
    <row r="70" spans="1:16" x14ac:dyDescent="0.25">
      <c r="A70">
        <f>Low!A69</f>
        <v>0</v>
      </c>
      <c r="B70" t="s">
        <v>28</v>
      </c>
      <c r="C70" t="s">
        <v>19</v>
      </c>
      <c r="D70" t="s">
        <v>20</v>
      </c>
      <c r="E70" t="s">
        <v>74</v>
      </c>
      <c r="F70" t="s">
        <v>75</v>
      </c>
      <c r="G70" t="s">
        <v>76</v>
      </c>
      <c r="H70" t="s">
        <v>77</v>
      </c>
      <c r="I70" t="s">
        <v>78</v>
      </c>
      <c r="J70" t="s">
        <v>79</v>
      </c>
      <c r="K70" t="s">
        <v>80</v>
      </c>
      <c r="L70" t="s">
        <v>81</v>
      </c>
      <c r="M70" t="s">
        <v>82</v>
      </c>
      <c r="N70" t="s">
        <v>83</v>
      </c>
      <c r="P70" s="7">
        <v>0.2</v>
      </c>
    </row>
    <row r="71" spans="1:16" x14ac:dyDescent="0.25">
      <c r="A71" t="s">
        <v>1</v>
      </c>
      <c r="B71" t="s">
        <v>30</v>
      </c>
      <c r="C71" s="1">
        <v>5.0021063151110798</v>
      </c>
      <c r="D71" s="1">
        <v>10.203174483434049</v>
      </c>
      <c r="F71" s="1">
        <f>C71</f>
        <v>5.0021063151110798</v>
      </c>
    </row>
    <row r="72" spans="1:16" x14ac:dyDescent="0.25">
      <c r="A72" t="s">
        <v>2</v>
      </c>
      <c r="B72" t="s">
        <v>30</v>
      </c>
      <c r="C72" s="1">
        <v>9.3940921605190795</v>
      </c>
      <c r="D72" s="1">
        <v>18.899450639673852</v>
      </c>
      <c r="F72" s="1">
        <f>C72</f>
        <v>9.3940921605190795</v>
      </c>
    </row>
    <row r="73" spans="1:16" x14ac:dyDescent="0.25">
      <c r="A73" t="s">
        <v>3</v>
      </c>
      <c r="B73" t="s">
        <v>30</v>
      </c>
      <c r="C73" s="1">
        <v>28.941918173507901</v>
      </c>
      <c r="D73" s="1">
        <v>8.1479350694003507</v>
      </c>
      <c r="F73" s="1">
        <f>C73</f>
        <v>28.941918173507901</v>
      </c>
    </row>
    <row r="74" spans="1:16" x14ac:dyDescent="0.25">
      <c r="A74" t="s">
        <v>4</v>
      </c>
      <c r="B74" t="s">
        <v>30</v>
      </c>
      <c r="C74" s="1">
        <v>49.513350620204001</v>
      </c>
      <c r="D74" s="1">
        <v>37.966275643994955</v>
      </c>
      <c r="F74" s="1">
        <f>C74</f>
        <v>49.513350620204001</v>
      </c>
    </row>
    <row r="75" spans="1:16" x14ac:dyDescent="0.25">
      <c r="A75" t="s">
        <v>6</v>
      </c>
      <c r="B75" t="s">
        <v>30</v>
      </c>
      <c r="C75" s="1">
        <v>2.7903663637267599</v>
      </c>
      <c r="D75" s="1">
        <v>3.5888208597516513</v>
      </c>
      <c r="E75" s="1">
        <f>C75</f>
        <v>2.7903663637267599</v>
      </c>
    </row>
    <row r="76" spans="1:16" x14ac:dyDescent="0.25">
      <c r="A76" t="s">
        <v>5</v>
      </c>
      <c r="B76" t="s">
        <v>30</v>
      </c>
      <c r="C76" s="1">
        <v>2.3607973050558697</v>
      </c>
      <c r="D76" s="1">
        <v>0.81423624224365088</v>
      </c>
      <c r="E76" s="1">
        <f>C76</f>
        <v>2.3607973050558697</v>
      </c>
    </row>
    <row r="77" spans="1:16" x14ac:dyDescent="0.25">
      <c r="A77" t="s">
        <v>8</v>
      </c>
      <c r="B77" t="s">
        <v>30</v>
      </c>
      <c r="C77" s="1">
        <v>8.4064334333911788</v>
      </c>
      <c r="D77" s="1">
        <v>3.9576675821073515</v>
      </c>
      <c r="E77" s="1">
        <f>C77</f>
        <v>8.4064334333911788</v>
      </c>
    </row>
    <row r="78" spans="1:16" x14ac:dyDescent="0.25">
      <c r="A78" t="s">
        <v>7</v>
      </c>
      <c r="B78" t="s">
        <v>30</v>
      </c>
      <c r="C78" s="1">
        <v>3.6100129557775897</v>
      </c>
      <c r="D78" s="1">
        <v>1.3515964489735506</v>
      </c>
      <c r="E78" s="1">
        <f>C78</f>
        <v>3.6100129557775897</v>
      </c>
    </row>
    <row r="79" spans="1:16" x14ac:dyDescent="0.25">
      <c r="A79" t="s">
        <v>9</v>
      </c>
      <c r="B79" t="s">
        <v>30</v>
      </c>
      <c r="C79" s="1">
        <v>4.2134803805597603</v>
      </c>
      <c r="D79" s="1">
        <v>2.2893718320445515</v>
      </c>
      <c r="E79" s="1">
        <f>C79</f>
        <v>4.2134803805597603</v>
      </c>
    </row>
    <row r="80" spans="1:16" x14ac:dyDescent="0.25">
      <c r="A80" t="s">
        <v>13</v>
      </c>
      <c r="B80" t="s">
        <v>30</v>
      </c>
      <c r="C80" s="1">
        <v>0</v>
      </c>
      <c r="D80" s="1">
        <v>0</v>
      </c>
      <c r="I80" s="1">
        <f>C80</f>
        <v>0</v>
      </c>
    </row>
    <row r="81" spans="1:14" x14ac:dyDescent="0.25">
      <c r="A81" t="s">
        <v>10</v>
      </c>
      <c r="B81" t="s">
        <v>30</v>
      </c>
      <c r="C81" s="1">
        <v>0.22743782558660999</v>
      </c>
      <c r="D81" s="1">
        <v>16.410750520843852</v>
      </c>
      <c r="G81" s="1">
        <f>C81</f>
        <v>0.22743782558660999</v>
      </c>
    </row>
    <row r="82" spans="1:14" x14ac:dyDescent="0.25">
      <c r="A82" t="s">
        <v>11</v>
      </c>
      <c r="B82" t="s">
        <v>30</v>
      </c>
      <c r="C82" s="1">
        <v>1.03107110519603</v>
      </c>
      <c r="D82" s="1">
        <v>98.908904641411851</v>
      </c>
      <c r="G82" s="1">
        <f>C82</f>
        <v>1.03107110519603</v>
      </c>
    </row>
    <row r="83" spans="1:14" x14ac:dyDescent="0.25">
      <c r="A83" t="s">
        <v>12</v>
      </c>
      <c r="B83" t="s">
        <v>30</v>
      </c>
      <c r="C83" s="1">
        <v>0.125237709722896</v>
      </c>
      <c r="D83" s="1">
        <v>4.2883705311750511</v>
      </c>
      <c r="G83" s="1">
        <f>C83</f>
        <v>0.125237709722896</v>
      </c>
    </row>
    <row r="84" spans="1:14" x14ac:dyDescent="0.25">
      <c r="A84" t="s">
        <v>43</v>
      </c>
      <c r="B84" t="s">
        <v>30</v>
      </c>
      <c r="C84" s="1">
        <v>27.847218892906103</v>
      </c>
      <c r="D84" s="1">
        <v>19.04779606237355</v>
      </c>
      <c r="H84" s="1">
        <f>C84</f>
        <v>27.847218892906103</v>
      </c>
    </row>
    <row r="85" spans="1:14" x14ac:dyDescent="0.25">
      <c r="A85" t="s">
        <v>1</v>
      </c>
      <c r="B85" t="s">
        <v>32</v>
      </c>
      <c r="C85" s="1">
        <v>9.6861108143464012</v>
      </c>
      <c r="D85" s="1">
        <v>16.925729540503301</v>
      </c>
      <c r="K85" s="1">
        <f>C85</f>
        <v>9.6861108143464012</v>
      </c>
    </row>
    <row r="86" spans="1:14" x14ac:dyDescent="0.25">
      <c r="A86" t="s">
        <v>2</v>
      </c>
      <c r="B86" t="s">
        <v>32</v>
      </c>
      <c r="C86" s="1">
        <v>23.2048464252616</v>
      </c>
      <c r="D86" s="1">
        <v>38.662374986253099</v>
      </c>
      <c r="K86" s="1">
        <f>C86</f>
        <v>23.2048464252616</v>
      </c>
    </row>
    <row r="87" spans="1:14" x14ac:dyDescent="0.25">
      <c r="A87" t="s">
        <v>3</v>
      </c>
      <c r="B87" t="s">
        <v>32</v>
      </c>
      <c r="C87" s="1">
        <v>41.535203838220703</v>
      </c>
      <c r="D87" s="1">
        <v>13.708461255472802</v>
      </c>
      <c r="K87" s="1">
        <f>C87</f>
        <v>41.535203838220703</v>
      </c>
    </row>
    <row r="88" spans="1:14" x14ac:dyDescent="0.25">
      <c r="A88" t="s">
        <v>4</v>
      </c>
      <c r="B88" t="s">
        <v>32</v>
      </c>
      <c r="C88" s="1">
        <v>90.741464406757501</v>
      </c>
      <c r="D88" s="1">
        <v>78.332000371381497</v>
      </c>
      <c r="K88" s="1">
        <f>C88</f>
        <v>90.741464406757501</v>
      </c>
    </row>
    <row r="89" spans="1:14" x14ac:dyDescent="0.25">
      <c r="A89" t="s">
        <v>14</v>
      </c>
      <c r="B89" t="s">
        <v>32</v>
      </c>
      <c r="C89" s="1">
        <v>0</v>
      </c>
      <c r="D89" s="1">
        <v>0</v>
      </c>
      <c r="N89" s="1">
        <f>C89</f>
        <v>0</v>
      </c>
    </row>
    <row r="90" spans="1:14" x14ac:dyDescent="0.25">
      <c r="A90" t="s">
        <v>6</v>
      </c>
      <c r="B90" t="s">
        <v>32</v>
      </c>
      <c r="C90" s="1">
        <v>5.0673328268512492</v>
      </c>
      <c r="D90" s="1">
        <v>3.820039274949</v>
      </c>
      <c r="J90" s="1">
        <f>C90</f>
        <v>5.0673328268512492</v>
      </c>
    </row>
    <row r="91" spans="1:14" x14ac:dyDescent="0.25">
      <c r="A91" t="s">
        <v>5</v>
      </c>
      <c r="B91" t="s">
        <v>32</v>
      </c>
      <c r="C91" s="1">
        <v>4.2773243685469495</v>
      </c>
      <c r="D91" s="1">
        <v>0.8344883380848005</v>
      </c>
      <c r="J91" s="1">
        <f>C91</f>
        <v>4.2773243685469495</v>
      </c>
    </row>
    <row r="92" spans="1:14" x14ac:dyDescent="0.25">
      <c r="A92" t="s">
        <v>8</v>
      </c>
      <c r="B92" t="s">
        <v>32</v>
      </c>
      <c r="C92" s="1">
        <v>14.1048743016727</v>
      </c>
      <c r="D92" s="1">
        <v>4.0286001936125011</v>
      </c>
      <c r="J92" s="1">
        <f>C92</f>
        <v>14.1048743016727</v>
      </c>
    </row>
    <row r="93" spans="1:14" x14ac:dyDescent="0.25">
      <c r="A93" t="s">
        <v>7</v>
      </c>
      <c r="B93" t="s">
        <v>32</v>
      </c>
      <c r="C93" s="1">
        <v>6.3020903447309804</v>
      </c>
      <c r="D93" s="1">
        <v>1.3812443078485013</v>
      </c>
      <c r="J93" s="1">
        <f>C93</f>
        <v>6.3020903447309804</v>
      </c>
    </row>
    <row r="94" spans="1:14" x14ac:dyDescent="0.25">
      <c r="A94" t="s">
        <v>9</v>
      </c>
      <c r="B94" t="s">
        <v>32</v>
      </c>
      <c r="C94" s="1">
        <v>7.1335598014398505</v>
      </c>
      <c r="D94" s="1">
        <v>2.3209136639806003</v>
      </c>
      <c r="J94" s="1">
        <f>C94</f>
        <v>7.1335598014398505</v>
      </c>
    </row>
    <row r="95" spans="1:14" x14ac:dyDescent="0.25">
      <c r="A95" t="s">
        <v>10</v>
      </c>
      <c r="B95" t="s">
        <v>32</v>
      </c>
      <c r="C95" s="1">
        <v>0.81700285092435609</v>
      </c>
      <c r="D95" s="1">
        <v>16.421397322411298</v>
      </c>
      <c r="L95" s="1">
        <f>C95</f>
        <v>0.81700285092435609</v>
      </c>
    </row>
    <row r="96" spans="1:14" x14ac:dyDescent="0.25">
      <c r="A96" t="s">
        <v>11</v>
      </c>
      <c r="B96" t="s">
        <v>32</v>
      </c>
      <c r="C96" s="1">
        <v>0.354460813324316</v>
      </c>
      <c r="D96" s="1">
        <v>102.1177423380357</v>
      </c>
      <c r="L96" s="1">
        <f>C96</f>
        <v>0.354460813324316</v>
      </c>
    </row>
    <row r="97" spans="1:13" x14ac:dyDescent="0.25">
      <c r="A97" t="s">
        <v>12</v>
      </c>
      <c r="B97" t="s">
        <v>32</v>
      </c>
      <c r="C97" s="1">
        <v>0.69201167725153201</v>
      </c>
      <c r="D97" s="1">
        <v>4.2940256378068007</v>
      </c>
      <c r="L97" s="1">
        <f>C97</f>
        <v>0.69201167725153201</v>
      </c>
    </row>
    <row r="98" spans="1:13" x14ac:dyDescent="0.25">
      <c r="A98" t="s">
        <v>43</v>
      </c>
      <c r="B98" t="s">
        <v>32</v>
      </c>
      <c r="C98" s="1">
        <v>49.751588765194498</v>
      </c>
      <c r="D98" s="1">
        <v>17.341505146567602</v>
      </c>
      <c r="M98" s="1">
        <f>C98</f>
        <v>49.751588765194498</v>
      </c>
    </row>
    <row r="100" spans="1:13" x14ac:dyDescent="0.25">
      <c r="C100" s="1"/>
      <c r="D100" s="1"/>
    </row>
    <row r="101" spans="1:13" x14ac:dyDescent="0.25">
      <c r="C101" s="1"/>
      <c r="D101" s="1"/>
    </row>
    <row r="102" spans="1:13" x14ac:dyDescent="0.25">
      <c r="C102" s="1"/>
      <c r="D102" s="1"/>
    </row>
    <row r="103" spans="1:13" x14ac:dyDescent="0.25">
      <c r="C103" s="1"/>
      <c r="D103" s="1"/>
    </row>
    <row r="104" spans="1:13" x14ac:dyDescent="0.25">
      <c r="C104" s="1"/>
      <c r="D104" s="1"/>
    </row>
    <row r="105" spans="1:13" x14ac:dyDescent="0.25">
      <c r="C105" s="1"/>
      <c r="D105" s="1"/>
    </row>
    <row r="106" spans="1:13" x14ac:dyDescent="0.25">
      <c r="C106" s="1"/>
      <c r="D106" s="1"/>
    </row>
    <row r="107" spans="1:13" x14ac:dyDescent="0.25">
      <c r="C107" s="1"/>
      <c r="D107" s="1"/>
    </row>
    <row r="108" spans="1:13" x14ac:dyDescent="0.25">
      <c r="C108" s="1"/>
      <c r="D108" s="1"/>
    </row>
    <row r="109" spans="1:13" x14ac:dyDescent="0.25">
      <c r="C109" s="1"/>
      <c r="D109" s="1"/>
    </row>
    <row r="110" spans="1:13" x14ac:dyDescent="0.25">
      <c r="C110" s="1"/>
      <c r="D110" s="1"/>
    </row>
    <row r="111" spans="1:13" x14ac:dyDescent="0.25">
      <c r="C111" s="1"/>
      <c r="D111" s="1"/>
    </row>
    <row r="112" spans="1:13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  <row r="133" spans="3:4" x14ac:dyDescent="0.25">
      <c r="C133" s="1"/>
      <c r="D133" s="1"/>
    </row>
    <row r="134" spans="3:4" x14ac:dyDescent="0.25">
      <c r="C134" s="1"/>
      <c r="D134" s="1"/>
    </row>
    <row r="135" spans="3:4" x14ac:dyDescent="0.25">
      <c r="C135" s="1"/>
      <c r="D135" s="1"/>
    </row>
    <row r="136" spans="3:4" x14ac:dyDescent="0.25">
      <c r="C136" s="1"/>
      <c r="D136" s="1"/>
    </row>
    <row r="137" spans="3:4" x14ac:dyDescent="0.25">
      <c r="C137" s="1"/>
      <c r="D137" s="1"/>
    </row>
    <row r="138" spans="3:4" x14ac:dyDescent="0.25">
      <c r="C138" s="1"/>
      <c r="D138" s="1"/>
    </row>
  </sheetData>
  <phoneticPr fontId="3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E23"/>
  <sheetViews>
    <sheetView workbookViewId="0">
      <selection activeCell="H9" sqref="H9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7.5703125" bestFit="1" customWidth="1"/>
    <col min="4" max="4" width="22" bestFit="1" customWidth="1"/>
    <col min="5" max="5" width="9.42578125" bestFit="1" customWidth="1"/>
  </cols>
  <sheetData>
    <row r="1" spans="1:5" x14ac:dyDescent="0.25">
      <c r="A1" t="s">
        <v>0</v>
      </c>
      <c r="B1" t="s">
        <v>52</v>
      </c>
      <c r="C1" t="s">
        <v>60</v>
      </c>
      <c r="D1" t="s">
        <v>61</v>
      </c>
      <c r="E1" t="s">
        <v>63</v>
      </c>
    </row>
    <row r="2" spans="1:5" x14ac:dyDescent="0.25">
      <c r="A2" t="s">
        <v>13</v>
      </c>
      <c r="B2">
        <v>500</v>
      </c>
      <c r="C2">
        <f>C18</f>
        <v>44.95</v>
      </c>
      <c r="D2">
        <f>C2*44/12</f>
        <v>164.81666666666669</v>
      </c>
      <c r="E2" t="s">
        <v>62</v>
      </c>
    </row>
    <row r="3" spans="1:5" x14ac:dyDescent="0.25">
      <c r="A3" t="s">
        <v>14</v>
      </c>
      <c r="B3">
        <v>1500</v>
      </c>
      <c r="C3">
        <f>C20</f>
        <v>270.26</v>
      </c>
      <c r="D3">
        <f>C3*44/12</f>
        <v>990.95333333333326</v>
      </c>
      <c r="E3">
        <f>1-(D3-D2)/(B3-B2)</f>
        <v>0.17386333333333348</v>
      </c>
    </row>
    <row r="5" spans="1:5" x14ac:dyDescent="0.25">
      <c r="A5" s="3">
        <v>2040</v>
      </c>
    </row>
    <row r="6" spans="1:5" x14ac:dyDescent="0.25">
      <c r="A6" t="s">
        <v>0</v>
      </c>
      <c r="B6" t="s">
        <v>52</v>
      </c>
      <c r="C6" t="s">
        <v>60</v>
      </c>
      <c r="D6" t="s">
        <v>61</v>
      </c>
      <c r="E6" t="s">
        <v>51</v>
      </c>
    </row>
    <row r="7" spans="1:5" x14ac:dyDescent="0.25">
      <c r="A7" t="s">
        <v>53</v>
      </c>
      <c r="B7" s="8">
        <v>44.88</v>
      </c>
      <c r="C7" s="8">
        <v>697.52</v>
      </c>
      <c r="D7" s="8">
        <f>C7*44/12</f>
        <v>2557.5733333333333</v>
      </c>
      <c r="E7" s="8" t="s">
        <v>62</v>
      </c>
    </row>
    <row r="8" spans="1:5" x14ac:dyDescent="0.25">
      <c r="A8" t="s">
        <v>54</v>
      </c>
      <c r="B8" s="8">
        <v>117.9</v>
      </c>
      <c r="C8" s="8">
        <v>707.65</v>
      </c>
      <c r="D8" s="8">
        <f>C8*44/12</f>
        <v>2594.7166666666667</v>
      </c>
      <c r="E8" s="8">
        <f>1-(D8-D7)/(B8-B7)</f>
        <v>0.49132657719346173</v>
      </c>
    </row>
    <row r="9" spans="1:5" x14ac:dyDescent="0.25">
      <c r="A9" t="s">
        <v>56</v>
      </c>
      <c r="B9" s="8">
        <v>227.92</v>
      </c>
      <c r="C9" s="8">
        <v>723.71</v>
      </c>
      <c r="D9" s="8">
        <f t="shared" ref="D9:D13" si="0">C9*44/12</f>
        <v>2653.6033333333335</v>
      </c>
      <c r="E9" s="8">
        <f t="shared" ref="E9:E13" si="1">1-(D9-D8)/(B9-B8)</f>
        <v>0.46476398230624627</v>
      </c>
    </row>
    <row r="10" spans="1:5" x14ac:dyDescent="0.25">
      <c r="A10" t="s">
        <v>58</v>
      </c>
      <c r="B10" s="8">
        <v>302.17</v>
      </c>
      <c r="C10" s="8">
        <v>736.26</v>
      </c>
      <c r="D10" s="8">
        <f t="shared" si="0"/>
        <v>2699.62</v>
      </c>
      <c r="E10" s="8">
        <f t="shared" si="1"/>
        <v>0.38024691358025042</v>
      </c>
    </row>
    <row r="11" spans="1:5" x14ac:dyDescent="0.25">
      <c r="A11" t="s">
        <v>55</v>
      </c>
      <c r="B11" s="8">
        <v>364.81</v>
      </c>
      <c r="C11" s="8">
        <v>748.37</v>
      </c>
      <c r="D11" s="8">
        <f t="shared" si="0"/>
        <v>2744.0233333333331</v>
      </c>
      <c r="E11" s="8">
        <f t="shared" si="1"/>
        <v>0.29113452532992967</v>
      </c>
    </row>
    <row r="12" spans="1:5" x14ac:dyDescent="0.25">
      <c r="A12" t="s">
        <v>59</v>
      </c>
      <c r="B12" s="8">
        <v>416.68</v>
      </c>
      <c r="C12" s="8">
        <v>759.39</v>
      </c>
      <c r="D12" s="8">
        <f t="shared" si="0"/>
        <v>2784.43</v>
      </c>
      <c r="E12" s="8">
        <f t="shared" si="1"/>
        <v>0.22100122100121944</v>
      </c>
    </row>
    <row r="13" spans="1:5" x14ac:dyDescent="0.25">
      <c r="A13" t="s">
        <v>57</v>
      </c>
      <c r="B13" s="8">
        <v>470.99</v>
      </c>
      <c r="C13" s="8">
        <v>772.73</v>
      </c>
      <c r="D13" s="8">
        <f t="shared" si="0"/>
        <v>2833.3433333333337</v>
      </c>
      <c r="E13" s="8">
        <f t="shared" si="1"/>
        <v>9.9367826674021997E-2</v>
      </c>
    </row>
    <row r="15" spans="1:5" x14ac:dyDescent="0.25">
      <c r="A15" s="3">
        <v>2050</v>
      </c>
    </row>
    <row r="16" spans="1:5" x14ac:dyDescent="0.25">
      <c r="A16" t="s">
        <v>0</v>
      </c>
      <c r="B16" t="s">
        <v>52</v>
      </c>
      <c r="C16" t="s">
        <v>60</v>
      </c>
      <c r="D16" t="s">
        <v>61</v>
      </c>
      <c r="E16" t="s">
        <v>51</v>
      </c>
    </row>
    <row r="17" spans="1:5" x14ac:dyDescent="0.25">
      <c r="A17" t="s">
        <v>53</v>
      </c>
      <c r="B17" s="8">
        <v>100</v>
      </c>
      <c r="C17" s="8">
        <v>-18.37</v>
      </c>
      <c r="D17" s="8">
        <f>C17*44/12</f>
        <v>-67.356666666666669</v>
      </c>
      <c r="E17" s="8" t="s">
        <v>62</v>
      </c>
    </row>
    <row r="18" spans="1:5" x14ac:dyDescent="0.25">
      <c r="A18" t="s">
        <v>54</v>
      </c>
      <c r="B18" s="8">
        <v>500</v>
      </c>
      <c r="C18" s="8">
        <v>44.95</v>
      </c>
      <c r="D18" s="8">
        <f>C18*44/12</f>
        <v>164.81666666666669</v>
      </c>
      <c r="E18" s="8">
        <f>1-(D18-D17)/(B18-B17)</f>
        <v>0.41956666666666664</v>
      </c>
    </row>
    <row r="19" spans="1:5" x14ac:dyDescent="0.25">
      <c r="A19" t="s">
        <v>55</v>
      </c>
      <c r="B19" s="8">
        <v>1078.26</v>
      </c>
      <c r="C19" s="8">
        <v>146.37</v>
      </c>
      <c r="D19" s="8">
        <f t="shared" ref="D19:D23" si="2">C19*44/12</f>
        <v>536.69000000000005</v>
      </c>
      <c r="E19" s="8">
        <f>1-(D19-D18)/(B19-B18)</f>
        <v>0.35690980988943843</v>
      </c>
    </row>
    <row r="20" spans="1:5" x14ac:dyDescent="0.25">
      <c r="A20" t="s">
        <v>56</v>
      </c>
      <c r="B20" s="8">
        <v>1500</v>
      </c>
      <c r="C20" s="8">
        <v>270.26</v>
      </c>
      <c r="D20" s="8">
        <f t="shared" si="2"/>
        <v>990.95333333333326</v>
      </c>
      <c r="E20" s="8">
        <f>1-(D20-D19)/(B20-B19)</f>
        <v>-7.7117023126412443E-2</v>
      </c>
    </row>
    <row r="21" spans="1:5" x14ac:dyDescent="0.25">
      <c r="A21" t="s">
        <v>57</v>
      </c>
      <c r="B21" s="8">
        <v>1974.19</v>
      </c>
      <c r="C21" s="8">
        <v>384.97</v>
      </c>
      <c r="D21" s="8">
        <f t="shared" si="2"/>
        <v>1411.5566666666666</v>
      </c>
      <c r="E21" s="8">
        <f t="shared" ref="E21:E23" si="3">1-(D21-D20)/(B21-B20)</f>
        <v>0.11300674132028654</v>
      </c>
    </row>
    <row r="22" spans="1:5" x14ac:dyDescent="0.25">
      <c r="A22" t="s">
        <v>58</v>
      </c>
      <c r="B22" s="8">
        <v>2400</v>
      </c>
      <c r="C22" s="8">
        <v>507.25</v>
      </c>
      <c r="D22" s="8">
        <f t="shared" si="2"/>
        <v>1859.9166666666667</v>
      </c>
      <c r="E22" s="8">
        <f t="shared" si="3"/>
        <v>-5.2957892017567065E-2</v>
      </c>
    </row>
    <row r="23" spans="1:5" x14ac:dyDescent="0.25">
      <c r="A23" t="s">
        <v>59</v>
      </c>
      <c r="B23" s="8">
        <v>4100</v>
      </c>
      <c r="C23" s="8">
        <v>1075.8699999999999</v>
      </c>
      <c r="D23" s="8">
        <f t="shared" si="2"/>
        <v>3944.8566666666666</v>
      </c>
      <c r="E23" s="8">
        <f t="shared" si="3"/>
        <v>-0.22643529411764685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Q116"/>
  <sheetViews>
    <sheetView zoomScale="60" zoomScaleNormal="60" workbookViewId="0">
      <selection activeCell="T52" sqref="T52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7" x14ac:dyDescent="0.25">
      <c r="A1" t="s">
        <v>0</v>
      </c>
      <c r="B1" t="s">
        <v>28</v>
      </c>
      <c r="C1" t="s">
        <v>40</v>
      </c>
      <c r="D1" t="s">
        <v>65</v>
      </c>
      <c r="E1" t="s">
        <v>34</v>
      </c>
      <c r="F1" t="s">
        <v>64</v>
      </c>
      <c r="G1" t="s">
        <v>35</v>
      </c>
      <c r="H1" t="s">
        <v>66</v>
      </c>
      <c r="I1" t="s">
        <v>67</v>
      </c>
      <c r="J1" t="s">
        <v>41</v>
      </c>
      <c r="M1" t="s">
        <v>85</v>
      </c>
      <c r="N1" t="s">
        <v>89</v>
      </c>
      <c r="O1" t="s">
        <v>86</v>
      </c>
      <c r="P1" t="s">
        <v>87</v>
      </c>
      <c r="Q1" t="s">
        <v>88</v>
      </c>
    </row>
    <row r="2" spans="1:17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  <c r="M2">
        <f>MEDIAN(E3:E28)-E2</f>
        <v>3.3008245793014979E-2</v>
      </c>
      <c r="N2">
        <f>AVERAGE(E3:E28)-E2</f>
        <v>3.6171019551402228E-2</v>
      </c>
      <c r="O2">
        <f>_xlfn.CONFIDENCE.T(0.05, _xlfn.STDEV.S(E3:E28), COUNT(E3:E28))</f>
        <v>1.2698998754909626E-2</v>
      </c>
      <c r="P2">
        <f>N2-O2</f>
        <v>2.3472020796492604E-2</v>
      </c>
      <c r="Q2">
        <f>N2+O2</f>
        <v>4.8870018306311852E-2</v>
      </c>
    </row>
    <row r="3" spans="1:17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7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7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7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  <c r="O6">
        <f>_xlfn.STDEV.S(E3:E28)</f>
        <v>3.1440267222873901E-2</v>
      </c>
    </row>
    <row r="7" spans="1:17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  <c r="O7">
        <f>COUNT(E3:E28)</f>
        <v>26</v>
      </c>
    </row>
    <row r="8" spans="1:17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7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7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7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7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7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7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7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7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42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42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s="7">
        <v>0.02</v>
      </c>
      <c r="B31" t="str">
        <f>B1</f>
        <v>Baseline</v>
      </c>
      <c r="C31" t="str">
        <f>D1</f>
        <v>2% discount rate</v>
      </c>
      <c r="D31" t="str">
        <f>I1</f>
        <v>As snapshot of CDR prices in 2050</v>
      </c>
      <c r="E31" t="s">
        <v>68</v>
      </c>
      <c r="F31" t="s">
        <v>69</v>
      </c>
      <c r="G31" t="s">
        <v>70</v>
      </c>
      <c r="H31" t="s">
        <v>71</v>
      </c>
      <c r="I31" t="s">
        <v>72</v>
      </c>
      <c r="J31" t="s">
        <v>73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J32"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10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10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10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10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10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10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10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10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10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10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  <row r="60" spans="1:10" x14ac:dyDescent="0.25">
      <c r="A60" s="7">
        <v>0.12</v>
      </c>
      <c r="B60" s="7" t="str">
        <f t="shared" ref="B60:D61" si="59">B31</f>
        <v>Baseline</v>
      </c>
      <c r="C60" s="7" t="str">
        <f>F1</f>
        <v>12% discount rate</v>
      </c>
      <c r="D60" s="7" t="str">
        <f t="shared" si="59"/>
        <v>As snapshot of CDR prices in 2050</v>
      </c>
      <c r="E60" t="s">
        <v>68</v>
      </c>
      <c r="F60" t="s">
        <v>69</v>
      </c>
      <c r="G60" t="s">
        <v>70</v>
      </c>
      <c r="H60" t="s">
        <v>71</v>
      </c>
      <c r="I60" t="s">
        <v>72</v>
      </c>
      <c r="J60" t="s">
        <v>73</v>
      </c>
    </row>
    <row r="61" spans="1:10" x14ac:dyDescent="0.25">
      <c r="A61" s="7" t="str">
        <f>A32</f>
        <v>100 Mt Baseline</v>
      </c>
      <c r="B61" s="7" t="str">
        <f t="shared" si="59"/>
        <v>100 Mt</v>
      </c>
      <c r="C61" s="8">
        <f t="shared" ref="C61:C86" si="60">F2</f>
        <v>0</v>
      </c>
      <c r="D61">
        <f t="shared" si="59"/>
        <v>0</v>
      </c>
      <c r="I61" s="8"/>
      <c r="J61">
        <v>0</v>
      </c>
    </row>
    <row r="62" spans="1:10" x14ac:dyDescent="0.25">
      <c r="A62" s="7" t="str">
        <f t="shared" ref="A62:D62" si="61">A33</f>
        <v>45Q-2040</v>
      </c>
      <c r="B62" s="7" t="str">
        <f t="shared" si="61"/>
        <v>500 Mt</v>
      </c>
      <c r="C62" s="8">
        <f t="shared" si="60"/>
        <v>0.98599472057171911</v>
      </c>
      <c r="D62">
        <f t="shared" si="61"/>
        <v>0.21249703186680166</v>
      </c>
      <c r="F62" s="8">
        <f>C62</f>
        <v>0.98599472057171911</v>
      </c>
    </row>
    <row r="63" spans="1:10" x14ac:dyDescent="0.25">
      <c r="A63" s="7" t="str">
        <f t="shared" ref="A63:D63" si="62">A34</f>
        <v>45Q-2050</v>
      </c>
      <c r="B63" s="7" t="str">
        <f t="shared" si="62"/>
        <v>500 Mt</v>
      </c>
      <c r="C63" s="8">
        <f t="shared" si="60"/>
        <v>0.44448412606722876</v>
      </c>
      <c r="D63">
        <f t="shared" si="62"/>
        <v>-1.3655573070193403</v>
      </c>
      <c r="F63" s="8">
        <f>C63</f>
        <v>0.44448412606722876</v>
      </c>
    </row>
    <row r="64" spans="1:10" x14ac:dyDescent="0.25">
      <c r="A64" s="7" t="str">
        <f t="shared" ref="A64:D64" si="63">A35</f>
        <v>Innovation-DACHubs</v>
      </c>
      <c r="B64" s="7" t="str">
        <f t="shared" si="63"/>
        <v>500 Mt</v>
      </c>
      <c r="C64" s="8">
        <f t="shared" si="60"/>
        <v>0.64724767761331869</v>
      </c>
      <c r="D64">
        <f t="shared" si="63"/>
        <v>-0.46376197004718345</v>
      </c>
      <c r="E64" s="8">
        <f>C64</f>
        <v>0.64724767761331869</v>
      </c>
    </row>
    <row r="65" spans="1:9" x14ac:dyDescent="0.25">
      <c r="A65" s="7" t="str">
        <f t="shared" ref="A65:D65" si="64">A36</f>
        <v>Innovation-maintain</v>
      </c>
      <c r="B65" s="7" t="str">
        <f t="shared" si="64"/>
        <v>500 Mt</v>
      </c>
      <c r="C65" s="8">
        <f t="shared" si="60"/>
        <v>1.3577275897072081</v>
      </c>
      <c r="D65">
        <f t="shared" si="64"/>
        <v>-0.15840906711694819</v>
      </c>
      <c r="E65" s="8">
        <f>C65</f>
        <v>1.3577275897072081</v>
      </c>
    </row>
    <row r="66" spans="1:9" x14ac:dyDescent="0.25">
      <c r="A66" s="7" t="str">
        <f t="shared" ref="A66:D66" si="65">A37</f>
        <v>Innovation-rhodium18b</v>
      </c>
      <c r="B66" s="7" t="str">
        <f t="shared" si="65"/>
        <v>500 Mt</v>
      </c>
      <c r="C66" s="8">
        <f t="shared" si="60"/>
        <v>2.3153381298881297</v>
      </c>
      <c r="D66">
        <f t="shared" si="65"/>
        <v>-1.4997785764247658</v>
      </c>
      <c r="E66" s="8">
        <f>C66</f>
        <v>2.3153381298881297</v>
      </c>
    </row>
    <row r="67" spans="1:9" x14ac:dyDescent="0.25">
      <c r="A67" s="7" t="str">
        <f t="shared" ref="A67:D67" si="66">A38</f>
        <v>Innovation-rhodium6b</v>
      </c>
      <c r="B67" s="7" t="str">
        <f t="shared" si="66"/>
        <v>500 Mt</v>
      </c>
      <c r="C67" s="8">
        <f t="shared" si="60"/>
        <v>1.6348546043849213</v>
      </c>
      <c r="D67">
        <f t="shared" si="66"/>
        <v>-0.39769251330281402</v>
      </c>
      <c r="E67" s="8">
        <f>C67</f>
        <v>1.6348546043849213</v>
      </c>
    </row>
    <row r="68" spans="1:9" x14ac:dyDescent="0.25">
      <c r="A68" s="7" t="str">
        <f t="shared" ref="A68:D68" si="67">A39</f>
        <v>Innovation-triple</v>
      </c>
      <c r="B68" s="7" t="str">
        <f t="shared" si="67"/>
        <v>500 Mt</v>
      </c>
      <c r="C68" s="8">
        <f t="shared" si="60"/>
        <v>1.6529080927729902</v>
      </c>
      <c r="D68">
        <f t="shared" si="67"/>
        <v>-0.52357713726908883</v>
      </c>
      <c r="E68" s="8">
        <f>C68</f>
        <v>1.6529080927729902</v>
      </c>
    </row>
    <row r="69" spans="1:9" x14ac:dyDescent="0.25">
      <c r="A69" s="7" t="str">
        <f t="shared" ref="A69:D69" si="68">A40</f>
        <v>Low Baseline</v>
      </c>
      <c r="B69" s="7" t="str">
        <f t="shared" si="68"/>
        <v>500 Mt</v>
      </c>
      <c r="C69" s="8">
        <f t="shared" si="60"/>
        <v>1.5453796931733457</v>
      </c>
      <c r="D69">
        <f t="shared" si="68"/>
        <v>1.0818447048699995</v>
      </c>
      <c r="I69" s="8">
        <f>C69</f>
        <v>1.5453796931733457</v>
      </c>
    </row>
    <row r="70" spans="1:9" x14ac:dyDescent="0.25">
      <c r="A70" s="7" t="str">
        <f t="shared" ref="A70:D70" si="69">A41</f>
        <v>Procure3B</v>
      </c>
      <c r="B70" s="7" t="str">
        <f t="shared" si="69"/>
        <v>500 Mt</v>
      </c>
      <c r="C70" s="8">
        <f t="shared" si="60"/>
        <v>2.5994756304123183</v>
      </c>
      <c r="D70">
        <f t="shared" si="69"/>
        <v>0.36638009527595833</v>
      </c>
      <c r="G70" s="8">
        <f>C70</f>
        <v>2.5994756304123183</v>
      </c>
    </row>
    <row r="71" spans="1:9" x14ac:dyDescent="0.25">
      <c r="A71" s="7" t="str">
        <f t="shared" ref="A71:D71" si="70">A42</f>
        <v>ProcureRhodium</v>
      </c>
      <c r="B71" s="7" t="str">
        <f t="shared" si="70"/>
        <v>500 Mt</v>
      </c>
      <c r="C71" s="8">
        <f t="shared" si="60"/>
        <v>8.3515011746760219</v>
      </c>
      <c r="D71">
        <f t="shared" si="70"/>
        <v>1.1959723569841303</v>
      </c>
      <c r="G71" s="8">
        <f>C71</f>
        <v>8.3515011746760219</v>
      </c>
    </row>
    <row r="72" spans="1:9" x14ac:dyDescent="0.25">
      <c r="A72" s="7" t="str">
        <f t="shared" ref="A72:D72" si="71">A43</f>
        <v>ProcureScaling</v>
      </c>
      <c r="B72" s="7" t="str">
        <f t="shared" si="71"/>
        <v>500 Mt</v>
      </c>
      <c r="C72" s="8">
        <f t="shared" si="60"/>
        <v>1.5468320344764317</v>
      </c>
      <c r="D72">
        <f t="shared" si="71"/>
        <v>0.36328086889841033</v>
      </c>
      <c r="G72" s="8">
        <f>C72</f>
        <v>1.5468320344764317</v>
      </c>
    </row>
    <row r="73" spans="1:9" x14ac:dyDescent="0.25">
      <c r="A73" s="7" t="str">
        <f t="shared" ref="A73:D73" si="72">A44</f>
        <v>45Q-2040</v>
      </c>
      <c r="B73" s="7" t="str">
        <f t="shared" si="72"/>
        <v>1.5 Gt</v>
      </c>
      <c r="C73" s="8">
        <f t="shared" si="60"/>
        <v>2.5637816421080228</v>
      </c>
      <c r="D73">
        <f t="shared" si="72"/>
        <v>1.0676371229122197</v>
      </c>
      <c r="F73" s="8">
        <f>C73</f>
        <v>2.5637816421080228</v>
      </c>
    </row>
    <row r="74" spans="1:9" x14ac:dyDescent="0.25">
      <c r="A74" s="7" t="str">
        <f t="shared" ref="A74:D74" si="73">A45</f>
        <v>45Q-2050</v>
      </c>
      <c r="B74" s="7" t="str">
        <f t="shared" si="73"/>
        <v>1.5 Gt</v>
      </c>
      <c r="C74" s="8">
        <f t="shared" si="60"/>
        <v>2.8356658504593448</v>
      </c>
      <c r="D74">
        <f t="shared" si="73"/>
        <v>0.46865683829263816</v>
      </c>
      <c r="F74" s="8">
        <f>C74</f>
        <v>2.8356658504593448</v>
      </c>
    </row>
    <row r="75" spans="1:9" x14ac:dyDescent="0.25">
      <c r="A75" s="7" t="str">
        <f t="shared" ref="A75:D75" si="74">A46</f>
        <v>High Baseline</v>
      </c>
      <c r="B75" s="7" t="str">
        <f t="shared" si="74"/>
        <v>1.5 Gt</v>
      </c>
      <c r="C75" s="8">
        <f t="shared" si="60"/>
        <v>4.0706852143436585</v>
      </c>
      <c r="D75">
        <f t="shared" si="74"/>
        <v>2.3727693973872075</v>
      </c>
      <c r="I75" s="8">
        <f>C75</f>
        <v>4.0706852143436585</v>
      </c>
    </row>
    <row r="76" spans="1:9" x14ac:dyDescent="0.25">
      <c r="A76" s="7" t="str">
        <f t="shared" ref="A76:D76" si="75">A47</f>
        <v>Innovation-DACHubs</v>
      </c>
      <c r="B76" s="7" t="str">
        <f t="shared" si="75"/>
        <v>1.5 Gt</v>
      </c>
      <c r="C76" s="8">
        <f t="shared" si="60"/>
        <v>2.1220956593986737</v>
      </c>
      <c r="D76">
        <f t="shared" si="75"/>
        <v>-1.0959771479748042</v>
      </c>
      <c r="E76" s="8">
        <f>C76</f>
        <v>2.1220956593986737</v>
      </c>
    </row>
    <row r="77" spans="1:9" x14ac:dyDescent="0.25">
      <c r="A77" s="7" t="str">
        <f t="shared" ref="A77:D77" si="76">A48</f>
        <v>Innovation-maintain</v>
      </c>
      <c r="B77" s="7" t="str">
        <f t="shared" si="76"/>
        <v>1.5 Gt</v>
      </c>
      <c r="C77" s="8">
        <f t="shared" si="60"/>
        <v>3.0824499174664326</v>
      </c>
      <c r="D77">
        <f t="shared" si="76"/>
        <v>-0.67455579376899111</v>
      </c>
      <c r="E77" s="8">
        <f>C77</f>
        <v>3.0824499174664326</v>
      </c>
    </row>
    <row r="78" spans="1:9" x14ac:dyDescent="0.25">
      <c r="A78" s="7" t="str">
        <f t="shared" ref="A78:D78" si="77">A49</f>
        <v>Innovation-rhodium18b</v>
      </c>
      <c r="B78" s="7" t="str">
        <f t="shared" si="77"/>
        <v>1.5 Gt</v>
      </c>
      <c r="C78" s="8">
        <f t="shared" si="60"/>
        <v>2.9048414488544982</v>
      </c>
      <c r="D78">
        <f t="shared" si="77"/>
        <v>-4.6305696962614666</v>
      </c>
      <c r="E78" s="8">
        <f>C78</f>
        <v>2.9048414488544982</v>
      </c>
    </row>
    <row r="79" spans="1:9" x14ac:dyDescent="0.25">
      <c r="A79" s="7" t="str">
        <f t="shared" ref="A79:D79" si="78">A50</f>
        <v>Innovation-rhodium6b</v>
      </c>
      <c r="B79" s="7" t="str">
        <f t="shared" si="78"/>
        <v>1.5 Gt</v>
      </c>
      <c r="C79" s="8">
        <f t="shared" si="60"/>
        <v>3.1400272434202559</v>
      </c>
      <c r="D79">
        <f t="shared" si="78"/>
        <v>-1.319407624914968</v>
      </c>
      <c r="E79" s="8">
        <f>C79</f>
        <v>3.1400272434202559</v>
      </c>
    </row>
    <row r="80" spans="1:9" x14ac:dyDescent="0.25">
      <c r="A80" s="7" t="str">
        <f t="shared" ref="A80:D80" si="79">A51</f>
        <v>Innovation-triple</v>
      </c>
      <c r="B80" s="7" t="str">
        <f t="shared" si="79"/>
        <v>1.5 Gt</v>
      </c>
      <c r="C80" s="8">
        <f t="shared" si="60"/>
        <v>3.0444641251640361</v>
      </c>
      <c r="D80">
        <f t="shared" si="79"/>
        <v>-1.897612583824104</v>
      </c>
      <c r="E80" s="8">
        <f>C80</f>
        <v>3.0444641251640361</v>
      </c>
    </row>
    <row r="81" spans="1:10" x14ac:dyDescent="0.25">
      <c r="A81" s="7" t="str">
        <f t="shared" ref="A81:D81" si="80">A52</f>
        <v>Procure3B</v>
      </c>
      <c r="B81" s="7" t="str">
        <f t="shared" si="80"/>
        <v>1.5 Gt</v>
      </c>
      <c r="C81" s="8">
        <f t="shared" si="60"/>
        <v>4.7171586472895424</v>
      </c>
      <c r="D81">
        <f t="shared" si="80"/>
        <v>1.0363250084620061</v>
      </c>
      <c r="G81" s="8">
        <f>C81</f>
        <v>4.7171586472895424</v>
      </c>
    </row>
    <row r="82" spans="1:10" x14ac:dyDescent="0.25">
      <c r="A82" s="7" t="str">
        <f t="shared" ref="A82:D82" si="81">A53</f>
        <v>ProcureRhodium</v>
      </c>
      <c r="B82" s="7" t="str">
        <f t="shared" si="81"/>
        <v>1.5 Gt</v>
      </c>
      <c r="C82" s="8">
        <f t="shared" si="60"/>
        <v>10.029059099755278</v>
      </c>
      <c r="D82">
        <f t="shared" si="81"/>
        <v>2.923407082508354</v>
      </c>
      <c r="G82" s="8">
        <f>C82</f>
        <v>10.029059099755278</v>
      </c>
    </row>
    <row r="83" spans="1:10" x14ac:dyDescent="0.25">
      <c r="A83" s="7" t="str">
        <f t="shared" ref="A83:D83" si="82">A54</f>
        <v>ProcureScaling</v>
      </c>
      <c r="B83" s="7" t="str">
        <f t="shared" si="82"/>
        <v>1.5 Gt</v>
      </c>
      <c r="C83" s="8">
        <f t="shared" si="60"/>
        <v>3.8789631751289115</v>
      </c>
      <c r="D83">
        <f t="shared" si="82"/>
        <v>0.91897387304034173</v>
      </c>
      <c r="G83" s="8">
        <f>C83</f>
        <v>3.8789631751289115</v>
      </c>
    </row>
    <row r="84" spans="1:10" x14ac:dyDescent="0.25">
      <c r="A84" s="7" t="str">
        <f t="shared" ref="A84:D84" si="83">A55</f>
        <v>2.4 Gt Baseline</v>
      </c>
      <c r="B84" s="7" t="str">
        <f t="shared" si="83"/>
        <v>2.4 Gt</v>
      </c>
      <c r="C84" s="8">
        <f t="shared" si="60"/>
        <v>4.3174474451754374</v>
      </c>
      <c r="D84">
        <f t="shared" si="83"/>
        <v>-3.8617004313604051</v>
      </c>
      <c r="I84" s="8">
        <f>C84</f>
        <v>4.3174474451754374</v>
      </c>
    </row>
    <row r="85" spans="1:10" x14ac:dyDescent="0.25">
      <c r="A85" s="7" t="str">
        <f t="shared" ref="A85:D85" si="84">A56</f>
        <v>4.1 Gt Baseline</v>
      </c>
      <c r="B85" s="7" t="str">
        <f t="shared" si="84"/>
        <v>4.1 Gt</v>
      </c>
      <c r="C85" s="8">
        <f t="shared" si="60"/>
        <v>5.0029688506972843</v>
      </c>
      <c r="D85">
        <f t="shared" si="84"/>
        <v>23.306697574041493</v>
      </c>
      <c r="I85" s="8">
        <f>C85</f>
        <v>5.0029688506972843</v>
      </c>
    </row>
    <row r="86" spans="1:10" x14ac:dyDescent="0.25">
      <c r="A86" s="7" t="str">
        <f t="shared" ref="A86:D87" si="85">A57</f>
        <v>CDRIA-Rhodium18b</v>
      </c>
      <c r="B86" s="7" t="str">
        <f t="shared" si="85"/>
        <v>500 Mt</v>
      </c>
      <c r="C86" s="8">
        <f t="shared" si="60"/>
        <v>-3.4159600524698353</v>
      </c>
      <c r="D86">
        <f t="shared" si="85"/>
        <v>-1.4445409002888128</v>
      </c>
      <c r="H86" s="8">
        <f>C86</f>
        <v>-3.4159600524698353</v>
      </c>
    </row>
    <row r="87" spans="1:10" x14ac:dyDescent="0.25">
      <c r="A87" s="7" t="str">
        <f t="shared" si="85"/>
        <v>CDRIA-Rhodium18b</v>
      </c>
      <c r="B87" s="7" t="str">
        <f t="shared" si="85"/>
        <v>1.5 Gt</v>
      </c>
      <c r="C87" s="8">
        <f t="shared" ref="C87" si="86">F28</f>
        <v>6.0516224069731308</v>
      </c>
      <c r="D87">
        <f t="shared" si="85"/>
        <v>-4.7728156685049763</v>
      </c>
      <c r="H87" s="8">
        <f>C87</f>
        <v>6.0516224069731308</v>
      </c>
    </row>
    <row r="89" spans="1:10" x14ac:dyDescent="0.25">
      <c r="A89" s="7">
        <v>0.2</v>
      </c>
      <c r="B89" t="str">
        <f>B1</f>
        <v>Baseline</v>
      </c>
      <c r="C89" t="str">
        <f>H1</f>
        <v>20% discount rate</v>
      </c>
      <c r="D89" s="7" t="str">
        <f t="shared" ref="D89" si="87">D60</f>
        <v>As snapshot of CDR prices in 2050</v>
      </c>
      <c r="E89" t="s">
        <v>68</v>
      </c>
      <c r="F89" t="s">
        <v>69</v>
      </c>
      <c r="G89" t="s">
        <v>70</v>
      </c>
      <c r="H89" t="s">
        <v>71</v>
      </c>
      <c r="I89" t="s">
        <v>72</v>
      </c>
      <c r="J89" t="s">
        <v>73</v>
      </c>
    </row>
    <row r="90" spans="1:10" x14ac:dyDescent="0.25">
      <c r="A90" s="7" t="str">
        <f>A61</f>
        <v>100 Mt Baseline</v>
      </c>
      <c r="B90" s="7" t="str">
        <f>B61</f>
        <v>100 Mt</v>
      </c>
      <c r="C90">
        <f>H2</f>
        <v>0</v>
      </c>
      <c r="D90" s="8">
        <f>D61</f>
        <v>0</v>
      </c>
      <c r="I90" s="8"/>
      <c r="J90">
        <v>0</v>
      </c>
    </row>
    <row r="91" spans="1:10" x14ac:dyDescent="0.25">
      <c r="A91" s="7" t="str">
        <f t="shared" ref="A91:B91" si="88">A62</f>
        <v>45Q-2040</v>
      </c>
      <c r="B91" s="7" t="str">
        <f t="shared" si="88"/>
        <v>500 Mt</v>
      </c>
      <c r="C91">
        <f t="shared" ref="C91:C116" si="89">H3</f>
        <v>1.3438885594409384</v>
      </c>
      <c r="D91" s="8">
        <f t="shared" ref="D91:D116" si="90">D62</f>
        <v>0.21249703186680166</v>
      </c>
      <c r="F91" s="8">
        <f>C91</f>
        <v>1.3438885594409384</v>
      </c>
    </row>
    <row r="92" spans="1:10" x14ac:dyDescent="0.25">
      <c r="A92" s="7" t="str">
        <f t="shared" ref="A92:B92" si="91">A63</f>
        <v>45Q-2050</v>
      </c>
      <c r="B92" s="7" t="str">
        <f t="shared" si="91"/>
        <v>500 Mt</v>
      </c>
      <c r="C92">
        <f t="shared" si="89"/>
        <v>0.84723170018844907</v>
      </c>
      <c r="D92" s="8">
        <f t="shared" si="90"/>
        <v>-1.3655573070193403</v>
      </c>
      <c r="F92" s="8">
        <f>C92</f>
        <v>0.84723170018844907</v>
      </c>
    </row>
    <row r="93" spans="1:10" x14ac:dyDescent="0.25">
      <c r="A93" s="7" t="str">
        <f t="shared" ref="A93:B93" si="92">A64</f>
        <v>Innovation-DACHubs</v>
      </c>
      <c r="B93" s="7" t="str">
        <f t="shared" si="92"/>
        <v>500 Mt</v>
      </c>
      <c r="C93">
        <f t="shared" si="89"/>
        <v>1.0932573496051559</v>
      </c>
      <c r="D93" s="8">
        <f t="shared" si="90"/>
        <v>-0.46376197004718345</v>
      </c>
      <c r="E93" s="8">
        <f>C93</f>
        <v>1.0932573496051559</v>
      </c>
    </row>
    <row r="94" spans="1:10" x14ac:dyDescent="0.25">
      <c r="A94" s="7" t="str">
        <f t="shared" ref="A94:B94" si="93">A65</f>
        <v>Innovation-maintain</v>
      </c>
      <c r="B94" s="7" t="str">
        <f t="shared" si="93"/>
        <v>500 Mt</v>
      </c>
      <c r="C94">
        <f t="shared" si="89"/>
        <v>1.6946076320487724</v>
      </c>
      <c r="D94" s="8">
        <f t="shared" si="90"/>
        <v>-0.15840906711694819</v>
      </c>
      <c r="E94" s="8">
        <f>C94</f>
        <v>1.6946076320487724</v>
      </c>
    </row>
    <row r="95" spans="1:10" x14ac:dyDescent="0.25">
      <c r="A95" s="7" t="str">
        <f t="shared" ref="A95:B95" si="94">A66</f>
        <v>Innovation-rhodium18b</v>
      </c>
      <c r="B95" s="7" t="str">
        <f t="shared" si="94"/>
        <v>500 Mt</v>
      </c>
      <c r="C95">
        <f t="shared" si="89"/>
        <v>3.2502144071938046</v>
      </c>
      <c r="D95" s="8">
        <f t="shared" si="90"/>
        <v>-1.4997785764247658</v>
      </c>
      <c r="E95" s="8">
        <f>C95</f>
        <v>3.2502144071938046</v>
      </c>
    </row>
    <row r="96" spans="1:10" x14ac:dyDescent="0.25">
      <c r="A96" s="7" t="str">
        <f t="shared" ref="A96:B96" si="95">A67</f>
        <v>Innovation-rhodium6b</v>
      </c>
      <c r="B96" s="7" t="str">
        <f t="shared" si="95"/>
        <v>500 Mt</v>
      </c>
      <c r="C96">
        <f t="shared" si="89"/>
        <v>2.1049050122513044</v>
      </c>
      <c r="D96" s="8">
        <f t="shared" si="90"/>
        <v>-0.39769251330281402</v>
      </c>
      <c r="E96" s="8">
        <f>C96</f>
        <v>2.1049050122513044</v>
      </c>
    </row>
    <row r="97" spans="1:9" x14ac:dyDescent="0.25">
      <c r="A97" s="7" t="str">
        <f t="shared" ref="A97:B97" si="96">A68</f>
        <v>Innovation-triple</v>
      </c>
      <c r="B97" s="7" t="str">
        <f t="shared" si="96"/>
        <v>500 Mt</v>
      </c>
      <c r="C97">
        <f t="shared" si="89"/>
        <v>2.2091624983315339</v>
      </c>
      <c r="D97" s="8">
        <f t="shared" si="90"/>
        <v>-0.52357713726908883</v>
      </c>
      <c r="E97" s="8">
        <f>C97</f>
        <v>2.2091624983315339</v>
      </c>
    </row>
    <row r="98" spans="1:9" x14ac:dyDescent="0.25">
      <c r="A98" s="7" t="str">
        <f t="shared" ref="A98:B98" si="97">A69</f>
        <v>Low Baseline</v>
      </c>
      <c r="B98" s="7" t="str">
        <f t="shared" si="97"/>
        <v>500 Mt</v>
      </c>
      <c r="C98">
        <f t="shared" si="89"/>
        <v>1.5827998282841693</v>
      </c>
      <c r="D98" s="8">
        <f t="shared" si="90"/>
        <v>1.0818447048699995</v>
      </c>
      <c r="I98" s="8">
        <f>C98</f>
        <v>1.5827998282841693</v>
      </c>
    </row>
    <row r="99" spans="1:9" x14ac:dyDescent="0.25">
      <c r="A99" s="7" t="str">
        <f t="shared" ref="A99:B99" si="98">A70</f>
        <v>Procure3B</v>
      </c>
      <c r="B99" s="7" t="str">
        <f t="shared" si="98"/>
        <v>500 Mt</v>
      </c>
      <c r="C99">
        <f t="shared" si="89"/>
        <v>4.0670809313292864</v>
      </c>
      <c r="D99" s="8">
        <f t="shared" si="90"/>
        <v>0.36638009527595833</v>
      </c>
      <c r="G99" s="8">
        <f>C99</f>
        <v>4.0670809313292864</v>
      </c>
    </row>
    <row r="100" spans="1:9" x14ac:dyDescent="0.25">
      <c r="A100" s="7" t="str">
        <f t="shared" ref="A100:B100" si="99">A71</f>
        <v>ProcureRhodium</v>
      </c>
      <c r="B100" s="7" t="str">
        <f t="shared" si="99"/>
        <v>500 Mt</v>
      </c>
      <c r="C100">
        <f t="shared" si="89"/>
        <v>10.956263412283258</v>
      </c>
      <c r="D100" s="8">
        <f t="shared" si="90"/>
        <v>1.1959723569841303</v>
      </c>
      <c r="G100" s="8">
        <f>C100</f>
        <v>10.956263412283258</v>
      </c>
    </row>
    <row r="101" spans="1:9" x14ac:dyDescent="0.25">
      <c r="A101" s="7" t="str">
        <f t="shared" ref="A101:B101" si="100">A72</f>
        <v>ProcureScaling</v>
      </c>
      <c r="B101" s="7" t="str">
        <f t="shared" si="100"/>
        <v>500 Mt</v>
      </c>
      <c r="C101">
        <f t="shared" si="89"/>
        <v>1.9108299722709272</v>
      </c>
      <c r="D101" s="8">
        <f t="shared" si="90"/>
        <v>0.36328086889841033</v>
      </c>
      <c r="G101" s="8">
        <f>C101</f>
        <v>1.9108299722709272</v>
      </c>
    </row>
    <row r="102" spans="1:9" x14ac:dyDescent="0.25">
      <c r="A102" s="7" t="str">
        <f t="shared" ref="A102:B102" si="101">A73</f>
        <v>45Q-2040</v>
      </c>
      <c r="B102" s="7" t="str">
        <f t="shared" si="101"/>
        <v>1.5 Gt</v>
      </c>
      <c r="C102">
        <f t="shared" si="89"/>
        <v>2.9242921759498324</v>
      </c>
      <c r="D102" s="8">
        <f t="shared" si="90"/>
        <v>1.0676371229122197</v>
      </c>
      <c r="F102" s="8">
        <f>C102</f>
        <v>2.9242921759498324</v>
      </c>
    </row>
    <row r="103" spans="1:9" x14ac:dyDescent="0.25">
      <c r="A103" s="7" t="str">
        <f t="shared" ref="A103:B103" si="102">A74</f>
        <v>45Q-2050</v>
      </c>
      <c r="B103" s="7" t="str">
        <f t="shared" si="102"/>
        <v>1.5 Gt</v>
      </c>
      <c r="C103">
        <f t="shared" si="89"/>
        <v>3.2080184026842988</v>
      </c>
      <c r="D103" s="8">
        <f t="shared" si="90"/>
        <v>0.46865683829263816</v>
      </c>
      <c r="F103" s="8">
        <f>C103</f>
        <v>3.2080184026842988</v>
      </c>
    </row>
    <row r="104" spans="1:9" x14ac:dyDescent="0.25">
      <c r="A104" s="7" t="str">
        <f t="shared" ref="A104:B104" si="103">A75</f>
        <v>High Baseline</v>
      </c>
      <c r="B104" s="7" t="str">
        <f t="shared" si="103"/>
        <v>1.5 Gt</v>
      </c>
      <c r="C104">
        <f t="shared" si="89"/>
        <v>4.0371470003985861</v>
      </c>
      <c r="D104" s="8">
        <f t="shared" si="90"/>
        <v>2.3727693973872075</v>
      </c>
      <c r="I104" s="8">
        <f>C104</f>
        <v>4.0371470003985861</v>
      </c>
    </row>
    <row r="105" spans="1:9" x14ac:dyDescent="0.25">
      <c r="A105" s="7" t="str">
        <f t="shared" ref="A105:B105" si="104">A76</f>
        <v>Innovation-DACHubs</v>
      </c>
      <c r="B105" s="7" t="str">
        <f t="shared" si="104"/>
        <v>1.5 Gt</v>
      </c>
      <c r="C105">
        <f t="shared" si="89"/>
        <v>2.693095733872942</v>
      </c>
      <c r="D105" s="8">
        <f t="shared" si="90"/>
        <v>-1.0959771479748042</v>
      </c>
      <c r="E105" s="8">
        <f>C105</f>
        <v>2.693095733872942</v>
      </c>
    </row>
    <row r="106" spans="1:9" x14ac:dyDescent="0.25">
      <c r="A106" s="7" t="str">
        <f t="shared" ref="A106:B106" si="105">A77</f>
        <v>Innovation-maintain</v>
      </c>
      <c r="B106" s="7" t="str">
        <f t="shared" si="105"/>
        <v>1.5 Gt</v>
      </c>
      <c r="C106">
        <f t="shared" si="89"/>
        <v>3.5163830940418412</v>
      </c>
      <c r="D106" s="8">
        <f t="shared" si="90"/>
        <v>-0.67455579376899111</v>
      </c>
      <c r="E106" s="8">
        <f>C106</f>
        <v>3.5163830940418412</v>
      </c>
    </row>
    <row r="107" spans="1:9" x14ac:dyDescent="0.25">
      <c r="A107" s="7" t="str">
        <f t="shared" ref="A107:B107" si="106">A78</f>
        <v>Innovation-rhodium18b</v>
      </c>
      <c r="B107" s="7" t="str">
        <f t="shared" si="106"/>
        <v>1.5 Gt</v>
      </c>
      <c r="C107">
        <f t="shared" si="89"/>
        <v>4.2476127361252409</v>
      </c>
      <c r="D107" s="8">
        <f t="shared" si="90"/>
        <v>-4.6305696962614666</v>
      </c>
      <c r="E107" s="8">
        <f>C107</f>
        <v>4.2476127361252409</v>
      </c>
    </row>
    <row r="108" spans="1:9" x14ac:dyDescent="0.25">
      <c r="A108" s="7" t="str">
        <f t="shared" ref="A108:B108" si="107">A79</f>
        <v>Innovation-rhodium6b</v>
      </c>
      <c r="B108" s="7" t="str">
        <f t="shared" si="107"/>
        <v>1.5 Gt</v>
      </c>
      <c r="C108">
        <f t="shared" si="89"/>
        <v>3.7562358691096911</v>
      </c>
      <c r="D108" s="8">
        <f t="shared" si="90"/>
        <v>-1.319407624914968</v>
      </c>
      <c r="E108" s="8">
        <f>C108</f>
        <v>3.7562358691096911</v>
      </c>
    </row>
    <row r="109" spans="1:9" x14ac:dyDescent="0.25">
      <c r="A109" s="7" t="str">
        <f t="shared" ref="A109:B109" si="108">A80</f>
        <v>Innovation-triple</v>
      </c>
      <c r="B109" s="7" t="str">
        <f t="shared" si="108"/>
        <v>1.5 Gt</v>
      </c>
      <c r="C109">
        <f t="shared" si="89"/>
        <v>3.7941739897941655</v>
      </c>
      <c r="D109" s="8">
        <f t="shared" si="90"/>
        <v>-1.897612583824104</v>
      </c>
      <c r="E109" s="8">
        <f>C109</f>
        <v>3.7941739897941655</v>
      </c>
    </row>
    <row r="110" spans="1:9" x14ac:dyDescent="0.25">
      <c r="A110" s="7" t="str">
        <f t="shared" ref="A110:B110" si="109">A81</f>
        <v>Procure3B</v>
      </c>
      <c r="B110" s="7" t="str">
        <f t="shared" si="109"/>
        <v>1.5 Gt</v>
      </c>
      <c r="C110">
        <f t="shared" si="89"/>
        <v>6.1482838611335504</v>
      </c>
      <c r="D110" s="8">
        <f t="shared" si="90"/>
        <v>1.0363250084620061</v>
      </c>
      <c r="G110" s="8">
        <f>C110</f>
        <v>6.1482838611335504</v>
      </c>
    </row>
    <row r="111" spans="1:9" x14ac:dyDescent="0.25">
      <c r="A111" s="7" t="str">
        <f t="shared" ref="A111:B111" si="110">A82</f>
        <v>ProcureRhodium</v>
      </c>
      <c r="B111" s="7" t="str">
        <f t="shared" si="110"/>
        <v>1.5 Gt</v>
      </c>
      <c r="C111">
        <f t="shared" si="89"/>
        <v>12.663601837356222</v>
      </c>
      <c r="D111" s="8">
        <f t="shared" si="90"/>
        <v>2.923407082508354</v>
      </c>
      <c r="G111" s="8">
        <f>C111</f>
        <v>12.663601837356222</v>
      </c>
    </row>
    <row r="112" spans="1:9" x14ac:dyDescent="0.25">
      <c r="A112" s="7" t="str">
        <f t="shared" ref="A112:B112" si="111">A83</f>
        <v>ProcureScaling</v>
      </c>
      <c r="B112" s="7" t="str">
        <f t="shared" si="111"/>
        <v>1.5 Gt</v>
      </c>
      <c r="C112">
        <f t="shared" si="89"/>
        <v>4.293953690244436</v>
      </c>
      <c r="D112" s="8">
        <f t="shared" si="90"/>
        <v>0.91897387304034173</v>
      </c>
      <c r="G112" s="8">
        <f>C112</f>
        <v>4.293953690244436</v>
      </c>
    </row>
    <row r="113" spans="1:9" x14ac:dyDescent="0.25">
      <c r="A113" s="7" t="str">
        <f t="shared" ref="A113:B113" si="112">A84</f>
        <v>2.4 Gt Baseline</v>
      </c>
      <c r="B113" s="7" t="str">
        <f t="shared" si="112"/>
        <v>2.4 Gt</v>
      </c>
      <c r="C113">
        <f t="shared" si="89"/>
        <v>4.7441533574965318</v>
      </c>
      <c r="D113" s="8">
        <f t="shared" si="90"/>
        <v>-3.8617004313604051</v>
      </c>
      <c r="I113" s="8">
        <f>C113</f>
        <v>4.7441533574965318</v>
      </c>
    </row>
    <row r="114" spans="1:9" x14ac:dyDescent="0.25">
      <c r="A114" s="7" t="str">
        <f t="shared" ref="A114:B114" si="113">A85</f>
        <v>4.1 Gt Baseline</v>
      </c>
      <c r="B114" s="7" t="str">
        <f t="shared" si="113"/>
        <v>4.1 Gt</v>
      </c>
      <c r="C114">
        <f t="shared" si="89"/>
        <v>5.4960134486937662</v>
      </c>
      <c r="D114" s="8">
        <f t="shared" si="90"/>
        <v>23.306697574041493</v>
      </c>
      <c r="I114" s="8">
        <f>C114</f>
        <v>5.4960134486937662</v>
      </c>
    </row>
    <row r="115" spans="1:9" x14ac:dyDescent="0.25">
      <c r="A115" s="7" t="str">
        <f t="shared" ref="A115:B115" si="114">A86</f>
        <v>CDRIA-Rhodium18b</v>
      </c>
      <c r="B115" s="7" t="str">
        <f t="shared" si="114"/>
        <v>500 Mt</v>
      </c>
      <c r="C115">
        <f t="shared" si="89"/>
        <v>-4.1388574181998177</v>
      </c>
      <c r="D115" s="8">
        <f t="shared" si="90"/>
        <v>-1.4445409002888128</v>
      </c>
      <c r="H115" s="8">
        <f>C115</f>
        <v>-4.1388574181998177</v>
      </c>
    </row>
    <row r="116" spans="1:9" x14ac:dyDescent="0.25">
      <c r="A116" s="7" t="str">
        <f t="shared" ref="A116:B116" si="115">A87</f>
        <v>CDRIA-Rhodium18b</v>
      </c>
      <c r="B116" s="7" t="str">
        <f t="shared" si="115"/>
        <v>1.5 Gt</v>
      </c>
      <c r="C116">
        <f t="shared" si="89"/>
        <v>7.6155443923701611</v>
      </c>
      <c r="D116" s="8">
        <f t="shared" si="90"/>
        <v>-4.7728156685049763</v>
      </c>
      <c r="H116">
        <f>C116</f>
        <v>7.6155443923701611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Plotting Marginal CostsBenefits</vt:lpstr>
      <vt:lpstr>Marginal C emissions</vt:lpstr>
      <vt:lpstr>Net-Zero Mandate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2026-07-09T14:44:35Z</dcterms:modified>
</cp:coreProperties>
</file>