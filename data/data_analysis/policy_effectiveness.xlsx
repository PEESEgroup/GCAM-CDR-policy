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Ex1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7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1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2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atha\PycharmProjects\GCAM-CDR-policy\data\data_analysis\"/>
    </mc:Choice>
  </mc:AlternateContent>
  <xr:revisionPtr revIDLastSave="0" documentId="13_ncr:1_{A18A4980-BDAC-4989-869D-BC8070E7B616}" xr6:coauthVersionLast="47" xr6:coauthVersionMax="47" xr10:uidLastSave="{00000000-0000-0000-0000-000000000000}"/>
  <bookViews>
    <workbookView xWindow="-120" yWindow="-120" windowWidth="29040" windowHeight="17520" activeTab="2" xr2:uid="{5B094011-67C9-461D-BBBF-A6D3FE50B4AB}"/>
  </bookViews>
  <sheets>
    <sheet name="Low" sheetId="1" r:id="rId1"/>
    <sheet name="High" sheetId="2" r:id="rId2"/>
    <sheet name="Plotting Marginal CostsBenefits" sheetId="5" r:id="rId3"/>
    <sheet name="Marginal C emissions" sheetId="6" r:id="rId4"/>
    <sheet name="Net-Zero Mandate" sheetId="3" r:id="rId5"/>
    <sheet name="Counterproductive Intervention" sheetId="4" r:id="rId6"/>
  </sheets>
  <definedNames>
    <definedName name="_xlnm._FilterDatabase" localSheetId="5" hidden="1">'Counterproductive Intervention'!$A$1:$H$23</definedName>
    <definedName name="_xlnm._FilterDatabase" localSheetId="1" hidden="1">High!$A$1:$N$1</definedName>
    <definedName name="_xlnm._FilterDatabase" localSheetId="0" hidden="1">Low!$A$1:$N$1</definedName>
    <definedName name="_xlnm._FilterDatabase" localSheetId="4" hidden="1">'Net-Zero Mandate'!$A$1:$H$26</definedName>
    <definedName name="_xlchart.v1.0" hidden="1">'Net-Zero Mandate'!$A$2:$B$28</definedName>
    <definedName name="_xlchart.v1.1" hidden="1">'Net-Zero Mandate'!$D$1</definedName>
    <definedName name="_xlchart.v1.2" hidden="1">'Net-Zero Mandate'!$D$2:$D$28</definedName>
    <definedName name="_xlchart.v1.3" hidden="1">'Net-Zero Mandate'!$F$1</definedName>
    <definedName name="_xlchart.v1.4" hidden="1">'Net-Zero Mandate'!$F$2:$F$28</definedName>
    <definedName name="_xlchart.v1.5" hidden="1">'Net-Zero Mandate'!$H$1</definedName>
    <definedName name="_xlchart.v1.6" hidden="1">'Net-Zero Mandate'!$H$2:$H$28</definedName>
    <definedName name="_xlchart.v1.7" hidden="1">'Net-Zero Mandate'!$I$1</definedName>
    <definedName name="_xlchart.v1.8" hidden="1">'Net-Zero Mandate'!$I$2:$I$28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94" i="5" l="1"/>
  <c r="J93" i="5"/>
  <c r="J92" i="5"/>
  <c r="J91" i="5"/>
  <c r="J90" i="5"/>
  <c r="N89" i="5"/>
  <c r="H84" i="5"/>
  <c r="G81" i="5"/>
  <c r="I80" i="5"/>
  <c r="E77" i="5"/>
  <c r="E76" i="5"/>
  <c r="E75" i="5"/>
  <c r="F74" i="5"/>
  <c r="M98" i="5"/>
  <c r="L97" i="5"/>
  <c r="L96" i="5"/>
  <c r="L95" i="5"/>
  <c r="K88" i="5"/>
  <c r="K87" i="5"/>
  <c r="K86" i="5"/>
  <c r="K85" i="5"/>
  <c r="G83" i="5"/>
  <c r="G82" i="5"/>
  <c r="E79" i="5"/>
  <c r="E78" i="5"/>
  <c r="F73" i="5"/>
  <c r="F72" i="5"/>
  <c r="F71" i="5"/>
  <c r="A70" i="5"/>
  <c r="Q2" i="3"/>
  <c r="P2" i="3"/>
  <c r="N2" i="3"/>
  <c r="O2" i="3"/>
  <c r="O7" i="3"/>
  <c r="O6" i="3"/>
  <c r="M2" i="3"/>
  <c r="M61" i="5"/>
  <c r="L60" i="5"/>
  <c r="L59" i="5"/>
  <c r="L58" i="5"/>
  <c r="J57" i="5"/>
  <c r="J56" i="5"/>
  <c r="J55" i="5"/>
  <c r="J54" i="5"/>
  <c r="J53" i="5"/>
  <c r="N52" i="5"/>
  <c r="K51" i="5"/>
  <c r="K50" i="5"/>
  <c r="K49" i="5"/>
  <c r="K48" i="5"/>
  <c r="H47" i="5"/>
  <c r="G46" i="5"/>
  <c r="G45" i="5"/>
  <c r="G44" i="5"/>
  <c r="I43" i="5"/>
  <c r="E42" i="5"/>
  <c r="E41" i="5"/>
  <c r="E40" i="5"/>
  <c r="E39" i="5"/>
  <c r="E38" i="5"/>
  <c r="F37" i="5"/>
  <c r="F36" i="5"/>
  <c r="F35" i="5"/>
  <c r="F34" i="5"/>
  <c r="A33" i="5"/>
  <c r="F2" i="5"/>
  <c r="E8" i="6"/>
  <c r="D8" i="6"/>
  <c r="E20" i="6"/>
  <c r="E19" i="6"/>
  <c r="E18" i="6"/>
  <c r="E23" i="6"/>
  <c r="E22" i="6"/>
  <c r="E21" i="6"/>
  <c r="E9" i="6"/>
  <c r="E10" i="6"/>
  <c r="E11" i="6"/>
  <c r="E12" i="6"/>
  <c r="E13" i="6"/>
  <c r="E3" i="6"/>
  <c r="D9" i="6"/>
  <c r="D10" i="6"/>
  <c r="D11" i="6"/>
  <c r="D12" i="6"/>
  <c r="D13" i="6"/>
  <c r="D23" i="6"/>
  <c r="D22" i="6"/>
  <c r="D21" i="6"/>
  <c r="D20" i="6"/>
  <c r="D19" i="6"/>
  <c r="D18" i="6"/>
  <c r="D17" i="6"/>
  <c r="D7" i="6"/>
  <c r="D2" i="6"/>
  <c r="C3" i="6"/>
  <c r="D3" i="6" s="1"/>
  <c r="C2" i="6"/>
  <c r="A87" i="3"/>
  <c r="B87" i="3"/>
  <c r="C87" i="3"/>
  <c r="D87" i="3"/>
  <c r="H87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90" i="3"/>
  <c r="A91" i="3"/>
  <c r="B91" i="3"/>
  <c r="C91" i="3"/>
  <c r="A92" i="3"/>
  <c r="B92" i="3"/>
  <c r="C92" i="3"/>
  <c r="F92" i="3" s="1"/>
  <c r="A93" i="3"/>
  <c r="B93" i="3"/>
  <c r="C93" i="3"/>
  <c r="A94" i="3"/>
  <c r="B94" i="3"/>
  <c r="C94" i="3"/>
  <c r="A95" i="3"/>
  <c r="B95" i="3"/>
  <c r="C95" i="3"/>
  <c r="E95" i="3" s="1"/>
  <c r="A96" i="3"/>
  <c r="B96" i="3"/>
  <c r="C96" i="3"/>
  <c r="A97" i="3"/>
  <c r="B97" i="3"/>
  <c r="C97" i="3"/>
  <c r="A98" i="3"/>
  <c r="B98" i="3"/>
  <c r="C98" i="3"/>
  <c r="I98" i="3" s="1"/>
  <c r="A99" i="3"/>
  <c r="B99" i="3"/>
  <c r="C99" i="3"/>
  <c r="G99" i="3" s="1"/>
  <c r="A100" i="3"/>
  <c r="B100" i="3"/>
  <c r="C100" i="3"/>
  <c r="G100" i="3" s="1"/>
  <c r="A101" i="3"/>
  <c r="B101" i="3"/>
  <c r="C101" i="3"/>
  <c r="A102" i="3"/>
  <c r="B102" i="3"/>
  <c r="C102" i="3"/>
  <c r="F102" i="3" s="1"/>
  <c r="A103" i="3"/>
  <c r="B103" i="3"/>
  <c r="C103" i="3"/>
  <c r="A104" i="3"/>
  <c r="B104" i="3"/>
  <c r="C104" i="3"/>
  <c r="A105" i="3"/>
  <c r="B105" i="3"/>
  <c r="C105" i="3"/>
  <c r="A106" i="3"/>
  <c r="B106" i="3"/>
  <c r="C106" i="3"/>
  <c r="A107" i="3"/>
  <c r="B107" i="3"/>
  <c r="C107" i="3"/>
  <c r="A108" i="3"/>
  <c r="B108" i="3"/>
  <c r="C108" i="3"/>
  <c r="A109" i="3"/>
  <c r="B109" i="3"/>
  <c r="C109" i="3"/>
  <c r="A110" i="3"/>
  <c r="B110" i="3"/>
  <c r="C110" i="3"/>
  <c r="G110" i="3" s="1"/>
  <c r="A111" i="3"/>
  <c r="B111" i="3"/>
  <c r="C111" i="3"/>
  <c r="A112" i="3"/>
  <c r="B112" i="3"/>
  <c r="C112" i="3"/>
  <c r="G112" i="3" s="1"/>
  <c r="A113" i="3"/>
  <c r="B113" i="3"/>
  <c r="C113" i="3"/>
  <c r="A114" i="3"/>
  <c r="B114" i="3"/>
  <c r="C114" i="3"/>
  <c r="A115" i="3"/>
  <c r="B115" i="3"/>
  <c r="C115" i="3"/>
  <c r="H115" i="3" s="1"/>
  <c r="A116" i="3"/>
  <c r="B116" i="3"/>
  <c r="C116" i="3"/>
  <c r="B90" i="3"/>
  <c r="A90" i="3"/>
  <c r="C90" i="3"/>
  <c r="I114" i="3"/>
  <c r="I113" i="3"/>
  <c r="G111" i="3"/>
  <c r="E109" i="3"/>
  <c r="E108" i="3"/>
  <c r="E107" i="3"/>
  <c r="E106" i="3"/>
  <c r="E105" i="3"/>
  <c r="I104" i="3"/>
  <c r="F103" i="3"/>
  <c r="G101" i="3"/>
  <c r="E97" i="3"/>
  <c r="E96" i="3"/>
  <c r="E94" i="3"/>
  <c r="E93" i="3"/>
  <c r="F91" i="3"/>
  <c r="C89" i="3"/>
  <c r="B89" i="3"/>
  <c r="H86" i="3"/>
  <c r="I85" i="3"/>
  <c r="I84" i="3"/>
  <c r="G83" i="3"/>
  <c r="G82" i="3"/>
  <c r="G81" i="3"/>
  <c r="E80" i="3"/>
  <c r="E79" i="3"/>
  <c r="E78" i="3"/>
  <c r="E77" i="3"/>
  <c r="E76" i="3"/>
  <c r="I75" i="3"/>
  <c r="F74" i="3"/>
  <c r="F73" i="3"/>
  <c r="G72" i="3"/>
  <c r="G71" i="3"/>
  <c r="G70" i="3"/>
  <c r="I69" i="3"/>
  <c r="E68" i="3"/>
  <c r="E67" i="3"/>
  <c r="E66" i="3"/>
  <c r="E65" i="3"/>
  <c r="E64" i="3"/>
  <c r="F63" i="3"/>
  <c r="F62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60" i="3"/>
  <c r="A62" i="3"/>
  <c r="B62" i="3"/>
  <c r="D62" i="3"/>
  <c r="A63" i="3"/>
  <c r="B63" i="3"/>
  <c r="D63" i="3"/>
  <c r="A64" i="3"/>
  <c r="B64" i="3"/>
  <c r="D64" i="3"/>
  <c r="A65" i="3"/>
  <c r="B65" i="3"/>
  <c r="D65" i="3"/>
  <c r="A66" i="3"/>
  <c r="B66" i="3"/>
  <c r="D66" i="3"/>
  <c r="A67" i="3"/>
  <c r="B67" i="3"/>
  <c r="D67" i="3"/>
  <c r="A68" i="3"/>
  <c r="B68" i="3"/>
  <c r="D68" i="3"/>
  <c r="A69" i="3"/>
  <c r="B69" i="3"/>
  <c r="D69" i="3"/>
  <c r="A70" i="3"/>
  <c r="B70" i="3"/>
  <c r="D70" i="3"/>
  <c r="A71" i="3"/>
  <c r="B71" i="3"/>
  <c r="D71" i="3"/>
  <c r="A72" i="3"/>
  <c r="B72" i="3"/>
  <c r="D72" i="3"/>
  <c r="A73" i="3"/>
  <c r="B73" i="3"/>
  <c r="D73" i="3"/>
  <c r="A74" i="3"/>
  <c r="B74" i="3"/>
  <c r="D74" i="3"/>
  <c r="A75" i="3"/>
  <c r="B75" i="3"/>
  <c r="D75" i="3"/>
  <c r="A76" i="3"/>
  <c r="B76" i="3"/>
  <c r="D76" i="3"/>
  <c r="A77" i="3"/>
  <c r="B77" i="3"/>
  <c r="D77" i="3"/>
  <c r="A78" i="3"/>
  <c r="B78" i="3"/>
  <c r="D78" i="3"/>
  <c r="A79" i="3"/>
  <c r="B79" i="3"/>
  <c r="D79" i="3"/>
  <c r="A80" i="3"/>
  <c r="B80" i="3"/>
  <c r="D80" i="3"/>
  <c r="A81" i="3"/>
  <c r="B81" i="3"/>
  <c r="D81" i="3"/>
  <c r="A82" i="3"/>
  <c r="B82" i="3"/>
  <c r="D82" i="3"/>
  <c r="A83" i="3"/>
  <c r="B83" i="3"/>
  <c r="D83" i="3"/>
  <c r="A84" i="3"/>
  <c r="B84" i="3"/>
  <c r="D84" i="3"/>
  <c r="A85" i="3"/>
  <c r="B85" i="3"/>
  <c r="D85" i="3"/>
  <c r="A86" i="3"/>
  <c r="B86" i="3"/>
  <c r="D86" i="3"/>
  <c r="H116" i="3" s="1"/>
  <c r="B60" i="3"/>
  <c r="B61" i="3"/>
  <c r="D61" i="3"/>
  <c r="A61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  <c r="H2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" i="3"/>
  <c r="K31" i="2"/>
  <c r="J31" i="2"/>
  <c r="G31" i="2"/>
  <c r="F31" i="2"/>
  <c r="I31" i="2" s="1"/>
  <c r="C31" i="2"/>
  <c r="B31" i="2"/>
  <c r="E31" i="2" s="1"/>
  <c r="K30" i="2"/>
  <c r="J30" i="2"/>
  <c r="M30" i="2" s="1"/>
  <c r="G30" i="2"/>
  <c r="F30" i="2"/>
  <c r="I30" i="2" s="1"/>
  <c r="C30" i="2"/>
  <c r="B30" i="2"/>
  <c r="K29" i="2"/>
  <c r="J29" i="2"/>
  <c r="M29" i="2" s="1"/>
  <c r="G29" i="2"/>
  <c r="F29" i="2"/>
  <c r="I29" i="2" s="1"/>
  <c r="C29" i="2"/>
  <c r="B29" i="2"/>
  <c r="E29" i="2" s="1"/>
  <c r="K28" i="2"/>
  <c r="J28" i="2"/>
  <c r="M28" i="2" s="1"/>
  <c r="G28" i="2"/>
  <c r="F28" i="2"/>
  <c r="C28" i="2"/>
  <c r="B28" i="2"/>
  <c r="K27" i="2"/>
  <c r="J27" i="2"/>
  <c r="M27" i="2" s="1"/>
  <c r="G27" i="2"/>
  <c r="F27" i="2"/>
  <c r="C27" i="2"/>
  <c r="B27" i="2"/>
  <c r="E27" i="2" s="1"/>
  <c r="K26" i="2"/>
  <c r="J26" i="2"/>
  <c r="G26" i="2"/>
  <c r="F26" i="2"/>
  <c r="I26" i="2" s="1"/>
  <c r="C26" i="2"/>
  <c r="B26" i="2"/>
  <c r="E26" i="2" s="1"/>
  <c r="K25" i="2"/>
  <c r="J25" i="2"/>
  <c r="M25" i="2" s="1"/>
  <c r="G25" i="2"/>
  <c r="F25" i="2"/>
  <c r="C25" i="2"/>
  <c r="B25" i="2"/>
  <c r="K24" i="2"/>
  <c r="J24" i="2"/>
  <c r="M24" i="2" s="1"/>
  <c r="G24" i="2"/>
  <c r="F24" i="2"/>
  <c r="I24" i="2" s="1"/>
  <c r="C24" i="2"/>
  <c r="B24" i="2"/>
  <c r="E24" i="2" s="1"/>
  <c r="K23" i="2"/>
  <c r="J23" i="2"/>
  <c r="M23" i="2" s="1"/>
  <c r="G23" i="2"/>
  <c r="F23" i="2"/>
  <c r="C23" i="2"/>
  <c r="B23" i="2"/>
  <c r="E23" i="2" s="1"/>
  <c r="K22" i="2"/>
  <c r="J22" i="2"/>
  <c r="M22" i="2" s="1"/>
  <c r="G22" i="2"/>
  <c r="F22" i="2"/>
  <c r="I22" i="2" s="1"/>
  <c r="C22" i="2"/>
  <c r="B22" i="2"/>
  <c r="E22" i="2" s="1"/>
  <c r="K21" i="2"/>
  <c r="J21" i="2"/>
  <c r="G21" i="2"/>
  <c r="F21" i="2"/>
  <c r="I21" i="2" s="1"/>
  <c r="C21" i="2"/>
  <c r="B21" i="2"/>
  <c r="E21" i="2" s="1"/>
  <c r="K20" i="2"/>
  <c r="J20" i="2"/>
  <c r="M20" i="2" s="1"/>
  <c r="G20" i="2"/>
  <c r="F20" i="2"/>
  <c r="I20" i="2" s="1"/>
  <c r="C20" i="2"/>
  <c r="B20" i="2"/>
  <c r="K19" i="2"/>
  <c r="J19" i="2"/>
  <c r="M19" i="2" s="1"/>
  <c r="G19" i="2"/>
  <c r="F19" i="2"/>
  <c r="I19" i="2" s="1"/>
  <c r="C19" i="2"/>
  <c r="B19" i="2"/>
  <c r="E19" i="2" s="1"/>
  <c r="K18" i="2"/>
  <c r="J18" i="2"/>
  <c r="M18" i="2" s="1"/>
  <c r="G18" i="2"/>
  <c r="F18" i="2"/>
  <c r="C18" i="2"/>
  <c r="B18" i="2"/>
  <c r="J19" i="1"/>
  <c r="M19" i="1" s="1"/>
  <c r="K19" i="1"/>
  <c r="J20" i="1"/>
  <c r="M20" i="1" s="1"/>
  <c r="K20" i="1"/>
  <c r="J21" i="1"/>
  <c r="L21" i="1" s="1"/>
  <c r="K21" i="1"/>
  <c r="J22" i="1"/>
  <c r="L22" i="1" s="1"/>
  <c r="K22" i="1"/>
  <c r="J23" i="1"/>
  <c r="L23" i="1" s="1"/>
  <c r="K23" i="1"/>
  <c r="J24" i="1"/>
  <c r="K24" i="1"/>
  <c r="J25" i="1"/>
  <c r="L25" i="1" s="1"/>
  <c r="K25" i="1"/>
  <c r="J26" i="1"/>
  <c r="L26" i="1" s="1"/>
  <c r="K26" i="1"/>
  <c r="J27" i="1"/>
  <c r="K27" i="1"/>
  <c r="J28" i="1"/>
  <c r="M28" i="1" s="1"/>
  <c r="K28" i="1"/>
  <c r="J29" i="1"/>
  <c r="M29" i="1" s="1"/>
  <c r="K29" i="1"/>
  <c r="J30" i="1"/>
  <c r="K30" i="1"/>
  <c r="J31" i="1"/>
  <c r="K31" i="1"/>
  <c r="F19" i="1"/>
  <c r="G19" i="1"/>
  <c r="F20" i="1"/>
  <c r="G20" i="1"/>
  <c r="H20" i="1" s="1"/>
  <c r="F21" i="1"/>
  <c r="H21" i="1" s="1"/>
  <c r="G21" i="1"/>
  <c r="F22" i="1"/>
  <c r="G22" i="1"/>
  <c r="H22" i="1" s="1"/>
  <c r="F23" i="1"/>
  <c r="H23" i="1" s="1"/>
  <c r="G23" i="1"/>
  <c r="F24" i="1"/>
  <c r="I24" i="1" s="1"/>
  <c r="G24" i="1"/>
  <c r="F25" i="1"/>
  <c r="G25" i="1"/>
  <c r="F26" i="1"/>
  <c r="G26" i="1"/>
  <c r="F27" i="1"/>
  <c r="I27" i="1" s="1"/>
  <c r="G27" i="1"/>
  <c r="H27" i="1" s="1"/>
  <c r="F28" i="1"/>
  <c r="H28" i="1" s="1"/>
  <c r="G28" i="1"/>
  <c r="F29" i="1"/>
  <c r="G29" i="1"/>
  <c r="F30" i="1"/>
  <c r="I30" i="1" s="1"/>
  <c r="G30" i="1"/>
  <c r="F31" i="1"/>
  <c r="I31" i="1" s="1"/>
  <c r="G31" i="1"/>
  <c r="K18" i="1"/>
  <c r="J18" i="1"/>
  <c r="L18" i="1"/>
  <c r="G18" i="1"/>
  <c r="F18" i="1"/>
  <c r="I18" i="1" s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L31" i="1"/>
  <c r="L30" i="1"/>
  <c r="L29" i="1"/>
  <c r="L28" i="1"/>
  <c r="L27" i="1"/>
  <c r="L24" i="1"/>
  <c r="L20" i="1"/>
  <c r="H29" i="1"/>
  <c r="H26" i="1"/>
  <c r="H25" i="1"/>
  <c r="H19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2" i="1"/>
  <c r="B19" i="1"/>
  <c r="C19" i="1"/>
  <c r="B20" i="1"/>
  <c r="C20" i="1"/>
  <c r="B21" i="1"/>
  <c r="E21" i="1" s="1"/>
  <c r="C21" i="1"/>
  <c r="B22" i="1"/>
  <c r="C22" i="1"/>
  <c r="B23" i="1"/>
  <c r="C23" i="1"/>
  <c r="B24" i="1"/>
  <c r="C24" i="1"/>
  <c r="B25" i="1"/>
  <c r="E25" i="1" s="1"/>
  <c r="C25" i="1"/>
  <c r="B26" i="1"/>
  <c r="E26" i="1" s="1"/>
  <c r="C26" i="1"/>
  <c r="B27" i="1"/>
  <c r="E27" i="1" s="1"/>
  <c r="C27" i="1"/>
  <c r="B28" i="1"/>
  <c r="C28" i="1"/>
  <c r="B29" i="1"/>
  <c r="C29" i="1"/>
  <c r="B30" i="1"/>
  <c r="C30" i="1"/>
  <c r="B31" i="1"/>
  <c r="C31" i="1"/>
  <c r="C18" i="1"/>
  <c r="B18" i="1"/>
  <c r="M31" i="1"/>
  <c r="E31" i="1"/>
  <c r="M30" i="1"/>
  <c r="E30" i="1"/>
  <c r="I29" i="1"/>
  <c r="E29" i="1"/>
  <c r="I28" i="1"/>
  <c r="E28" i="1"/>
  <c r="M27" i="1"/>
  <c r="M26" i="1"/>
  <c r="I26" i="1"/>
  <c r="I25" i="1"/>
  <c r="M24" i="1"/>
  <c r="E24" i="1"/>
  <c r="I23" i="1"/>
  <c r="E23" i="1"/>
  <c r="E22" i="1"/>
  <c r="M21" i="1"/>
  <c r="I20" i="1"/>
  <c r="E20" i="1"/>
  <c r="I19" i="1"/>
  <c r="E19" i="1"/>
  <c r="M21" i="2" l="1"/>
  <c r="M31" i="2"/>
  <c r="M26" i="2"/>
  <c r="I18" i="2"/>
  <c r="I25" i="2"/>
  <c r="I23" i="2"/>
  <c r="I27" i="2"/>
  <c r="I28" i="2"/>
  <c r="E25" i="2"/>
  <c r="E20" i="2"/>
  <c r="E30" i="2"/>
  <c r="E18" i="2"/>
  <c r="E28" i="2"/>
  <c r="H18" i="2"/>
  <c r="D20" i="2"/>
  <c r="L21" i="2"/>
  <c r="H23" i="2"/>
  <c r="D25" i="2"/>
  <c r="L26" i="2"/>
  <c r="H28" i="2"/>
  <c r="D30" i="2"/>
  <c r="L31" i="2"/>
  <c r="L18" i="2"/>
  <c r="H20" i="2"/>
  <c r="D22" i="2"/>
  <c r="L23" i="2"/>
  <c r="H25" i="2"/>
  <c r="D27" i="2"/>
  <c r="L28" i="2"/>
  <c r="H30" i="2"/>
  <c r="D19" i="2"/>
  <c r="L20" i="2"/>
  <c r="H22" i="2"/>
  <c r="D24" i="2"/>
  <c r="L25" i="2"/>
  <c r="H27" i="2"/>
  <c r="D29" i="2"/>
  <c r="L30" i="2"/>
  <c r="H19" i="2"/>
  <c r="D21" i="2"/>
  <c r="L22" i="2"/>
  <c r="H24" i="2"/>
  <c r="D26" i="2"/>
  <c r="L27" i="2"/>
  <c r="H29" i="2"/>
  <c r="D31" i="2"/>
  <c r="D18" i="2"/>
  <c r="L19" i="2"/>
  <c r="H21" i="2"/>
  <c r="D23" i="2"/>
  <c r="L24" i="2"/>
  <c r="H26" i="2"/>
  <c r="D28" i="2"/>
  <c r="L29" i="2"/>
  <c r="H31" i="2"/>
  <c r="M22" i="1"/>
  <c r="L19" i="1"/>
  <c r="M23" i="1"/>
  <c r="M25" i="1"/>
  <c r="H24" i="1"/>
  <c r="H30" i="1"/>
  <c r="H31" i="1"/>
  <c r="I21" i="1"/>
  <c r="I22" i="1"/>
  <c r="M18" i="1"/>
  <c r="H18" i="1"/>
  <c r="E18" i="1"/>
  <c r="L27" i="5"/>
  <c r="L28" i="5"/>
  <c r="L26" i="5"/>
  <c r="N20" i="5"/>
  <c r="M29" i="5"/>
  <c r="K19" i="5"/>
  <c r="K18" i="5"/>
  <c r="K17" i="5"/>
  <c r="K16" i="5"/>
  <c r="J22" i="5"/>
  <c r="J23" i="5"/>
  <c r="J24" i="5"/>
  <c r="J25" i="5"/>
  <c r="J21" i="5"/>
  <c r="E10" i="5"/>
  <c r="E6" i="5"/>
  <c r="F3" i="5"/>
  <c r="F4" i="5"/>
  <c r="F5" i="5"/>
  <c r="E7" i="5"/>
  <c r="E8" i="5"/>
  <c r="E9" i="5"/>
  <c r="I11" i="5"/>
  <c r="G12" i="5"/>
  <c r="G13" i="5"/>
  <c r="G14" i="5"/>
  <c r="H15" i="5"/>
  <c r="A1" i="5"/>
  <c r="G54" i="3"/>
  <c r="G53" i="3"/>
  <c r="G43" i="3"/>
  <c r="F45" i="3"/>
  <c r="F44" i="3"/>
  <c r="F34" i="3"/>
  <c r="E48" i="3"/>
  <c r="E49" i="3"/>
  <c r="E50" i="3"/>
  <c r="E51" i="3"/>
  <c r="E38" i="3"/>
  <c r="C31" i="3"/>
  <c r="A57" i="3"/>
  <c r="B57" i="3"/>
  <c r="C57" i="3"/>
  <c r="H57" i="3" s="1"/>
  <c r="D57" i="3"/>
  <c r="A58" i="3"/>
  <c r="B58" i="3"/>
  <c r="C58" i="3"/>
  <c r="H58" i="3" s="1"/>
  <c r="D58" i="3"/>
  <c r="A32" i="3"/>
  <c r="B32" i="3"/>
  <c r="C32" i="3"/>
  <c r="D32" i="3"/>
  <c r="A33" i="3"/>
  <c r="B33" i="3"/>
  <c r="C33" i="3"/>
  <c r="F33" i="3" s="1"/>
  <c r="D33" i="3"/>
  <c r="A34" i="3"/>
  <c r="B34" i="3"/>
  <c r="C34" i="3"/>
  <c r="D34" i="3"/>
  <c r="A35" i="3"/>
  <c r="B35" i="3"/>
  <c r="C35" i="3"/>
  <c r="E35" i="3" s="1"/>
  <c r="D35" i="3"/>
  <c r="A36" i="3"/>
  <c r="B36" i="3"/>
  <c r="C36" i="3"/>
  <c r="E36" i="3" s="1"/>
  <c r="D36" i="3"/>
  <c r="A37" i="3"/>
  <c r="B37" i="3"/>
  <c r="C37" i="3"/>
  <c r="E37" i="3" s="1"/>
  <c r="D37" i="3"/>
  <c r="A38" i="3"/>
  <c r="B38" i="3"/>
  <c r="C38" i="3"/>
  <c r="D38" i="3"/>
  <c r="A39" i="3"/>
  <c r="B39" i="3"/>
  <c r="C39" i="3"/>
  <c r="E39" i="3" s="1"/>
  <c r="D39" i="3"/>
  <c r="A40" i="3"/>
  <c r="B40" i="3"/>
  <c r="C40" i="3"/>
  <c r="I40" i="3" s="1"/>
  <c r="D40" i="3"/>
  <c r="A41" i="3"/>
  <c r="B41" i="3"/>
  <c r="C41" i="3"/>
  <c r="G41" i="3" s="1"/>
  <c r="D41" i="3"/>
  <c r="A42" i="3"/>
  <c r="B42" i="3"/>
  <c r="C42" i="3"/>
  <c r="G42" i="3" s="1"/>
  <c r="D42" i="3"/>
  <c r="A43" i="3"/>
  <c r="B43" i="3"/>
  <c r="C43" i="3"/>
  <c r="D43" i="3"/>
  <c r="A44" i="3"/>
  <c r="B44" i="3"/>
  <c r="C44" i="3"/>
  <c r="D44" i="3"/>
  <c r="A45" i="3"/>
  <c r="B45" i="3"/>
  <c r="C45" i="3"/>
  <c r="D45" i="3"/>
  <c r="A46" i="3"/>
  <c r="B46" i="3"/>
  <c r="C46" i="3"/>
  <c r="I46" i="3" s="1"/>
  <c r="D46" i="3"/>
  <c r="A47" i="3"/>
  <c r="B47" i="3"/>
  <c r="C47" i="3"/>
  <c r="E47" i="3" s="1"/>
  <c r="D47" i="3"/>
  <c r="A48" i="3"/>
  <c r="B48" i="3"/>
  <c r="C48" i="3"/>
  <c r="D48" i="3"/>
  <c r="A49" i="3"/>
  <c r="B49" i="3"/>
  <c r="C49" i="3"/>
  <c r="D49" i="3"/>
  <c r="A50" i="3"/>
  <c r="B50" i="3"/>
  <c r="C50" i="3"/>
  <c r="D50" i="3"/>
  <c r="A51" i="3"/>
  <c r="B51" i="3"/>
  <c r="C51" i="3"/>
  <c r="D51" i="3"/>
  <c r="A52" i="3"/>
  <c r="B52" i="3"/>
  <c r="C52" i="3"/>
  <c r="G52" i="3" s="1"/>
  <c r="D52" i="3"/>
  <c r="A53" i="3"/>
  <c r="B53" i="3"/>
  <c r="C53" i="3"/>
  <c r="D53" i="3"/>
  <c r="A54" i="3"/>
  <c r="B54" i="3"/>
  <c r="C54" i="3"/>
  <c r="D54" i="3"/>
  <c r="A55" i="3"/>
  <c r="B55" i="3"/>
  <c r="C55" i="3"/>
  <c r="I55" i="3" s="1"/>
  <c r="D55" i="3"/>
  <c r="A56" i="3"/>
  <c r="B56" i="3"/>
  <c r="C56" i="3"/>
  <c r="I56" i="3" s="1"/>
  <c r="D56" i="3"/>
  <c r="D31" i="3"/>
  <c r="D60" i="3" s="1"/>
  <c r="D89" i="3" s="1"/>
  <c r="B31" i="3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2" i="1"/>
  <c r="O1" i="4"/>
  <c r="L1" i="4"/>
</calcChain>
</file>

<file path=xl/sharedStrings.xml><?xml version="1.0" encoding="utf-8"?>
<sst xmlns="http://schemas.openxmlformats.org/spreadsheetml/2006/main" count="565" uniqueCount="98">
  <si>
    <t>Scenario</t>
  </si>
  <si>
    <t>45Q-2040</t>
  </si>
  <si>
    <t>45Q-2050</t>
  </si>
  <si>
    <t>CDRIA-2035</t>
  </si>
  <si>
    <t>CDRIA-2050</t>
  </si>
  <si>
    <t>Innovation-maintain</t>
  </si>
  <si>
    <t>Innovation-DACHubs</t>
  </si>
  <si>
    <t>Innovation-rhodium6b</t>
  </si>
  <si>
    <t>Innovation-rhodium18b</t>
  </si>
  <si>
    <t>Innovation-triple</t>
  </si>
  <si>
    <t>Procure3B</t>
  </si>
  <si>
    <t>ProcureRhodium</t>
  </si>
  <si>
    <t>ProcureScaling</t>
  </si>
  <si>
    <t>Low Baseline</t>
  </si>
  <si>
    <t>High Baseline</t>
  </si>
  <si>
    <t>Benefits | 12.0%</t>
  </si>
  <si>
    <t>Costs | 12.0%</t>
  </si>
  <si>
    <t>Benefits/Costs | 12.0%</t>
  </si>
  <si>
    <t>Benefits-Costs | 12.0%</t>
  </si>
  <si>
    <t>Benefits | 20.0%</t>
  </si>
  <si>
    <t>Costs | 20.0%</t>
  </si>
  <si>
    <t>Benefits/Costs | 20.0%</t>
  </si>
  <si>
    <t>Benefits-Costs | 20.0%</t>
  </si>
  <si>
    <t>Units</t>
  </si>
  <si>
    <t>Million $USD or unitless</t>
  </si>
  <si>
    <t>2.4 Gt Baseline</t>
  </si>
  <si>
    <t>4.1 Gt Baseline</t>
  </si>
  <si>
    <t>100 Mt Baseline</t>
  </si>
  <si>
    <t>Baseline</t>
  </si>
  <si>
    <t>100 Mt</t>
  </si>
  <si>
    <t>500 Mt</t>
  </si>
  <si>
    <t>2.4 Gt</t>
  </si>
  <si>
    <t>1.5 Gt</t>
  </si>
  <si>
    <t>4.1 Gt</t>
  </si>
  <si>
    <t>NPV of Net Zero Mandate | 12.0% | Trillion $USD</t>
  </si>
  <si>
    <t>NPV of Net Zero Mandate | 20.0% | Trillion $USD</t>
  </si>
  <si>
    <t>B/C</t>
  </si>
  <si>
    <t>B/C Ranking</t>
  </si>
  <si>
    <t>Benefits | 2.0%</t>
  </si>
  <si>
    <t>Costs | 2.0%</t>
  </si>
  <si>
    <t>Benefits/Costs | 2.0%</t>
  </si>
  <si>
    <t>Benefits-Costs | 2.0%</t>
  </si>
  <si>
    <t>NPV of Net Zero Mandate | 2.0% | Trillion $USD</t>
  </si>
  <si>
    <t>Abatement size in 2050</t>
  </si>
  <si>
    <t>Correlation - NPV - Long</t>
  </si>
  <si>
    <t>Correlation - NPV - Medium</t>
  </si>
  <si>
    <t>NPV - Medium Term</t>
  </si>
  <si>
    <t>NPV - Medium Term Ranking</t>
  </si>
  <si>
    <t>NPV - Long Term</t>
  </si>
  <si>
    <t>NPV - Long Term Ranking</t>
  </si>
  <si>
    <t>CDRIA-Rhodium18b</t>
  </si>
  <si>
    <t>Optimal</t>
  </si>
  <si>
    <t>Marginal</t>
  </si>
  <si>
    <t>2% Benefits</t>
  </si>
  <si>
    <t>2% Costs</t>
  </si>
  <si>
    <t>12% Benefits</t>
  </si>
  <si>
    <t>12% Costs</t>
  </si>
  <si>
    <t>20% Benefits</t>
  </si>
  <si>
    <t>20% Costs</t>
  </si>
  <si>
    <t>Effectiveness of CDR</t>
  </si>
  <si>
    <t>CDR (Mt)</t>
  </si>
  <si>
    <t>nzn baseline</t>
  </si>
  <si>
    <t>low baseline</t>
  </si>
  <si>
    <t>rhodium100b low</t>
  </si>
  <si>
    <t>high baseline</t>
  </si>
  <si>
    <t>rhodium100b high</t>
  </si>
  <si>
    <t>excess</t>
  </si>
  <si>
    <t>4gt</t>
  </si>
  <si>
    <t>C emissions (Mt C)</t>
  </si>
  <si>
    <t>C emission (Mt CO2-eq)</t>
  </si>
  <si>
    <t>N/A</t>
  </si>
  <si>
    <t>Additionality of CDR</t>
  </si>
  <si>
    <t>12% discount rate</t>
  </si>
  <si>
    <t>2% discount rate</t>
  </si>
  <si>
    <t>20% discount rate</t>
  </si>
  <si>
    <t>As snapshot of CDR prices in 2050</t>
  </si>
  <si>
    <t>Innovation Scenarios</t>
  </si>
  <si>
    <t>Subsidy Scenarios</t>
  </si>
  <si>
    <t>Procurement Scenarios</t>
  </si>
  <si>
    <t>Optimal Scenarios</t>
  </si>
  <si>
    <t>Baseline Pathways</t>
  </si>
  <si>
    <t>Efficient Pathway</t>
  </si>
  <si>
    <t>Innovation - 500 Mt</t>
  </si>
  <si>
    <t>Subsidy - 500 Mt</t>
  </si>
  <si>
    <t>Procurement - 500 Mt</t>
  </si>
  <si>
    <t>Optimal - 500 Mt</t>
  </si>
  <si>
    <t>Baseline - 500 Mt</t>
  </si>
  <si>
    <t>Innovation - 1.5 Gt</t>
  </si>
  <si>
    <t>Subsidy - 1.5 Gt</t>
  </si>
  <si>
    <t>Procurement - 1.5 Gt</t>
  </si>
  <si>
    <t>Optimal - 1.5 Gt</t>
  </si>
  <si>
    <t>Baseline - 1.5 Gt</t>
  </si>
  <si>
    <t>Negative Benefits are Bad</t>
  </si>
  <si>
    <t>Median Under 12%</t>
  </si>
  <si>
    <t>CI</t>
  </si>
  <si>
    <t>Lower Range</t>
  </si>
  <si>
    <t>Upper Range</t>
  </si>
  <si>
    <t>Mean under 12%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</si>
</sst>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$&quot;#,##0.00_);[Red]\(&quot;$&quot;#,##0.00\)"/>
    <numFmt numFmtId="164" formatCode="&quot;$&quot;#,##0.00"/>
    <numFmt numFmtId="165" formatCode="0.000"/>
    <numFmt numFmtId="166" formatCode="&quot;$&quot;#,##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8" fontId="0" fillId="0" borderId="0" xfId="0" applyNumberFormat="1"/>
    <xf numFmtId="0" fontId="2" fillId="0" borderId="0" xfId="0" applyFont="1"/>
    <xf numFmtId="0" fontId="1" fillId="0" borderId="0" xfId="0" applyFon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9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0447783721691276"/>
          <c:y val="3.5891588464031364E-2"/>
          <c:w val="0.72421603788076117"/>
          <c:h val="0.85183951497832233"/>
        </c:manualLayout>
      </c:layout>
      <c:scatterChart>
        <c:scatterStyle val="lineMarker"/>
        <c:varyColors val="0"/>
        <c:ser>
          <c:idx val="0"/>
          <c:order val="0"/>
          <c:tx>
            <c:strRef>
              <c:f>'Plotting Marginal CostsBenefits'!$E$1</c:f>
              <c:strCache>
                <c:ptCount val="1"/>
                <c:pt idx="0">
                  <c:v>Innovation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CostsBenefits'!$E$2:$E$29</c:f>
              <c:numCache>
                <c:formatCode>General</c:formatCode>
                <c:ptCount val="28"/>
                <c:pt idx="4" formatCode="&quot;$&quot;#,##0.00_);[Red]\(&quot;$&quot;#,##0.00\)">
                  <c:v>5.7182312864800897</c:v>
                </c:pt>
                <c:pt idx="5" formatCode="&quot;$&quot;#,##0.00_);[Red]\(&quot;$&quot;#,##0.00\)">
                  <c:v>6.1003980291767999</c:v>
                </c:pt>
                <c:pt idx="6" formatCode="&quot;$&quot;#,##0.00_);[Red]\(&quot;$&quot;#,##0.00\)">
                  <c:v>20.9724031247715</c:v>
                </c:pt>
                <c:pt idx="7" formatCode="&quot;$&quot;#,##0.00_);[Red]\(&quot;$&quot;#,##0.00\)">
                  <c:v>9.1759801601351985</c:v>
                </c:pt>
                <c:pt idx="8" formatCode="&quot;$&quot;#,##0.00_);[Red]\(&quot;$&quot;#,##0.00\)">
                  <c:v>10.472884531638799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02-4BEA-8473-035688DC5CEE}"/>
            </c:ext>
          </c:extLst>
        </c:ser>
        <c:ser>
          <c:idx val="1"/>
          <c:order val="1"/>
          <c:tx>
            <c:strRef>
              <c:f>'Plotting Marginal CostsBenefits'!$F$1</c:f>
              <c:strCache>
                <c:ptCount val="1"/>
                <c:pt idx="0">
                  <c:v>Subsidy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CostsBenefits'!$F$2:$F$29</c:f>
              <c:numCache>
                <c:formatCode>"$"#,##0.00_);[Red]\("$"#,##0.00\)</c:formatCode>
                <c:ptCount val="28"/>
                <c:pt idx="0">
                  <c:v>11.644658803537901</c:v>
                </c:pt>
                <c:pt idx="1">
                  <c:v>30.8488092279228</c:v>
                </c:pt>
                <c:pt idx="2">
                  <c:v>48.889259790475499</c:v>
                </c:pt>
                <c:pt idx="3">
                  <c:v>124.837112954951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02-4BEA-8473-035688DC5CEE}"/>
            </c:ext>
          </c:extLst>
        </c:ser>
        <c:ser>
          <c:idx val="2"/>
          <c:order val="2"/>
          <c:tx>
            <c:strRef>
              <c:f>'Plotting Marginal CostsBenefits'!$G$1</c:f>
              <c:strCache>
                <c:ptCount val="1"/>
                <c:pt idx="0">
                  <c:v>Procurement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CostsBenefits'!$G$2:$G$29</c:f>
              <c:numCache>
                <c:formatCode>General</c:formatCode>
                <c:ptCount val="28"/>
                <c:pt idx="10" formatCode="&quot;$&quot;#,##0.00_);[Red]\(&quot;$&quot;#,##0.00\)">
                  <c:v>3.2085743248811902E-2</c:v>
                </c:pt>
                <c:pt idx="11" formatCode="&quot;$&quot;#,##0.00_);[Red]\(&quot;$&quot;#,##0.00\)">
                  <c:v>-4.4606170443716504</c:v>
                </c:pt>
                <c:pt idx="12" formatCode="&quot;$&quot;#,##0.00_);[Red]\(&quot;$&quot;#,##0.00\)">
                  <c:v>0.18416268361230301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02-4BEA-8473-035688DC5CEE}"/>
            </c:ext>
          </c:extLst>
        </c:ser>
        <c:ser>
          <c:idx val="3"/>
          <c:order val="3"/>
          <c:tx>
            <c:strRef>
              <c:f>'Plotting Marginal CostsBenefits'!$H$1</c:f>
              <c:strCache>
                <c:ptCount val="1"/>
                <c:pt idx="0">
                  <c:v>Optimal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CostsBenefits'!$H$2:$H$29</c:f>
              <c:numCache>
                <c:formatCode>General</c:formatCode>
                <c:ptCount val="28"/>
                <c:pt idx="13" formatCode="&quot;$&quot;#,##0.00_);[Red]\(&quot;$&quot;#,##0.00\)">
                  <c:v>55.3942403007933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F02-4BEA-8473-035688DC5CEE}"/>
            </c:ext>
          </c:extLst>
        </c:ser>
        <c:ser>
          <c:idx val="4"/>
          <c:order val="4"/>
          <c:tx>
            <c:strRef>
              <c:f>'Plotting Marginal CostsBenefits'!$I$1</c:f>
              <c:strCache>
                <c:ptCount val="1"/>
                <c:pt idx="0">
                  <c:v>Baseline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CostsBenefits'!$I$2:$I$29</c:f>
              <c:numCache>
                <c:formatCode>General</c:formatCode>
                <c:ptCount val="28"/>
                <c:pt idx="9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F02-4BEA-8473-035688DC5CEE}"/>
            </c:ext>
          </c:extLst>
        </c:ser>
        <c:ser>
          <c:idx val="5"/>
          <c:order val="5"/>
          <c:tx>
            <c:strRef>
              <c:f>'Plotting Marginal CostsBenefits'!$J$1</c:f>
              <c:strCache>
                <c:ptCount val="1"/>
                <c:pt idx="0">
                  <c:v>Innovation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CostsBenefits'!$J$2:$J$29</c:f>
              <c:numCache>
                <c:formatCode>General</c:formatCode>
                <c:ptCount val="28"/>
                <c:pt idx="19" formatCode="&quot;$&quot;#,##0.00_);[Red]\(&quot;$&quot;#,##0.00\)">
                  <c:v>14.041807010664401</c:v>
                </c:pt>
                <c:pt idx="20" formatCode="&quot;$&quot;#,##0.00_);[Red]\(&quot;$&quot;#,##0.00\)">
                  <c:v>12.795920628411601</c:v>
                </c:pt>
                <c:pt idx="21" formatCode="&quot;$&quot;#,##0.00_);[Red]\(&quot;$&quot;#,##0.00\)">
                  <c:v>38.626101035459101</c:v>
                </c:pt>
                <c:pt idx="22" formatCode="&quot;$&quot;#,##0.00_);[Red]\(&quot;$&quot;#,##0.00\)">
                  <c:v>17.986986790839499</c:v>
                </c:pt>
                <c:pt idx="23" formatCode="&quot;$&quot;#,##0.00_);[Red]\(&quot;$&quot;#,##0.00\)">
                  <c:v>20.252154009836197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F02-4BEA-8473-035688DC5CEE}"/>
            </c:ext>
          </c:extLst>
        </c:ser>
        <c:ser>
          <c:idx val="6"/>
          <c:order val="6"/>
          <c:tx>
            <c:strRef>
              <c:f>'Plotting Marginal CostsBenefits'!$K$1</c:f>
              <c:strCache>
                <c:ptCount val="1"/>
                <c:pt idx="0">
                  <c:v>Subsidy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CostsBenefits'!$K$2:$K$29</c:f>
              <c:numCache>
                <c:formatCode>General</c:formatCode>
                <c:ptCount val="28"/>
                <c:pt idx="14" formatCode="&quot;$&quot;#,##0.00_);[Red]\(&quot;$&quot;#,##0.00\)">
                  <c:v>24.0124014868552</c:v>
                </c:pt>
                <c:pt idx="15" formatCode="&quot;$&quot;#,##0.00_);[Red]\(&quot;$&quot;#,##0.00\)">
                  <c:v>84.257525916830588</c:v>
                </c:pt>
                <c:pt idx="16" formatCode="&quot;$&quot;#,##0.00_);[Red]\(&quot;$&quot;#,##0.00\)">
                  <c:v>74.162147660175606</c:v>
                </c:pt>
                <c:pt idx="17" formatCode="&quot;$&quot;#,##0.00_);[Red]\(&quot;$&quot;#,##0.00\)">
                  <c:v>265.90276421105403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F02-4BEA-8473-035688DC5CEE}"/>
            </c:ext>
          </c:extLst>
        </c:ser>
        <c:ser>
          <c:idx val="7"/>
          <c:order val="7"/>
          <c:tx>
            <c:strRef>
              <c:f>'Plotting Marginal CostsBenefits'!$L$1</c:f>
              <c:strCache>
                <c:ptCount val="1"/>
                <c:pt idx="0">
                  <c:v>Procurement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CostsBenefits'!$L$2:$L$29</c:f>
              <c:numCache>
                <c:formatCode>General</c:formatCode>
                <c:ptCount val="28"/>
                <c:pt idx="24" formatCode="&quot;$&quot;#,##0.00_);[Red]\(&quot;$&quot;#,##0.00\)">
                  <c:v>2.5552191726661397</c:v>
                </c:pt>
                <c:pt idx="25" formatCode="&quot;$&quot;#,##0.00_);[Red]\(&quot;$&quot;#,##0.00\)">
                  <c:v>-5.1575221174354304</c:v>
                </c:pt>
                <c:pt idx="26" formatCode="&quot;$&quot;#,##0.00_);[Red]\(&quot;$&quot;#,##0.00\)">
                  <c:v>2.70791448460225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F02-4BEA-8473-035688DC5CEE}"/>
            </c:ext>
          </c:extLst>
        </c:ser>
        <c:ser>
          <c:idx val="8"/>
          <c:order val="8"/>
          <c:tx>
            <c:strRef>
              <c:f>'Plotting Marginal CostsBenefits'!$M$1</c:f>
              <c:strCache>
                <c:ptCount val="1"/>
                <c:pt idx="0">
                  <c:v>Optimal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CostsBenefits'!$M$2:$M$29</c:f>
              <c:numCache>
                <c:formatCode>General</c:formatCode>
                <c:ptCount val="28"/>
                <c:pt idx="27" formatCode="&quot;$&quot;#,##0.00_);[Red]\(&quot;$&quot;#,##0.00\)">
                  <c:v>100.07899781724501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F02-4BEA-8473-035688DC5CEE}"/>
            </c:ext>
          </c:extLst>
        </c:ser>
        <c:ser>
          <c:idx val="9"/>
          <c:order val="9"/>
          <c:tx>
            <c:strRef>
              <c:f>'Plotting Marginal CostsBenefits'!$N$1</c:f>
              <c:strCache>
                <c:ptCount val="1"/>
                <c:pt idx="0">
                  <c:v>Baseline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CostsBenefits'!$N$2:$N$29</c:f>
              <c:numCache>
                <c:formatCode>General</c:formatCode>
                <c:ptCount val="28"/>
                <c:pt idx="18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9F02-4BEA-8473-035688DC5C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4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Costs (Billion $ NPV)</a:t>
                </a:r>
              </a:p>
            </c:rich>
          </c:tx>
          <c:layout>
            <c:manualLayout>
              <c:xMode val="edge"/>
              <c:yMode val="edge"/>
              <c:x val="0.2957181115719314"/>
              <c:y val="0.940018680016107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2">
                      <a:lumMod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&quot;$&quot;#,##0_);[Red]\(&quot;$&quot;#,##0\)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50"/>
        <c:crossBetween val="midCat"/>
      </c:valAx>
      <c:valAx>
        <c:axId val="68835915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Benefits (Billion $ NPV)</a:t>
                </a:r>
              </a:p>
            </c:rich>
          </c:tx>
          <c:layout>
            <c:manualLayout>
              <c:xMode val="edge"/>
              <c:yMode val="edge"/>
              <c:x val="4.4969831580597853E-3"/>
              <c:y val="0.310426264322227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" sourceLinked="0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4256135921941052"/>
          <c:y val="0.15835430783364748"/>
          <c:w val="0.71286676951640582"/>
          <c:h val="0.11825775520630949"/>
        </c:manualLayout>
      </c:layout>
      <c:overlay val="0"/>
      <c:spPr>
        <a:solidFill>
          <a:schemeClr val="bg1">
            <a:alpha val="50000"/>
          </a:schemeClr>
        </a:solidFill>
        <a:ln>
          <a:solidFill>
            <a:schemeClr val="bg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0447783721691276"/>
          <c:y val="3.5891588464031364E-2"/>
          <c:w val="0.72421603788076117"/>
          <c:h val="0.85183951497832233"/>
        </c:manualLayout>
      </c:layout>
      <c:scatterChart>
        <c:scatterStyle val="lineMarker"/>
        <c:varyColors val="0"/>
        <c:ser>
          <c:idx val="0"/>
          <c:order val="0"/>
          <c:tx>
            <c:strRef>
              <c:f>'Plotting Marginal CostsBenefits'!$E$1</c:f>
              <c:strCache>
                <c:ptCount val="1"/>
                <c:pt idx="0">
                  <c:v>Innovation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CostsBenefits'!$E$2:$E$29</c:f>
              <c:numCache>
                <c:formatCode>General</c:formatCode>
                <c:ptCount val="28"/>
                <c:pt idx="4" formatCode="&quot;$&quot;#,##0.00_);[Red]\(&quot;$&quot;#,##0.00\)">
                  <c:v>5.7182312864800897</c:v>
                </c:pt>
                <c:pt idx="5" formatCode="&quot;$&quot;#,##0.00_);[Red]\(&quot;$&quot;#,##0.00\)">
                  <c:v>6.1003980291767999</c:v>
                </c:pt>
                <c:pt idx="6" formatCode="&quot;$&quot;#,##0.00_);[Red]\(&quot;$&quot;#,##0.00\)">
                  <c:v>20.9724031247715</c:v>
                </c:pt>
                <c:pt idx="7" formatCode="&quot;$&quot;#,##0.00_);[Red]\(&quot;$&quot;#,##0.00\)">
                  <c:v>9.1759801601351985</c:v>
                </c:pt>
                <c:pt idx="8" formatCode="&quot;$&quot;#,##0.00_);[Red]\(&quot;$&quot;#,##0.00\)">
                  <c:v>10.472884531638799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526-449D-95C0-FE50AEB6EDA4}"/>
            </c:ext>
          </c:extLst>
        </c:ser>
        <c:ser>
          <c:idx val="1"/>
          <c:order val="1"/>
          <c:tx>
            <c:strRef>
              <c:f>'Plotting Marginal CostsBenefits'!$F$1</c:f>
              <c:strCache>
                <c:ptCount val="1"/>
                <c:pt idx="0">
                  <c:v>Subsidy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CostsBenefits'!$F$2:$F$29</c:f>
              <c:numCache>
                <c:formatCode>"$"#,##0.00_);[Red]\("$"#,##0.00\)</c:formatCode>
                <c:ptCount val="28"/>
                <c:pt idx="0">
                  <c:v>11.644658803537901</c:v>
                </c:pt>
                <c:pt idx="1">
                  <c:v>30.8488092279228</c:v>
                </c:pt>
                <c:pt idx="2">
                  <c:v>48.889259790475499</c:v>
                </c:pt>
                <c:pt idx="3">
                  <c:v>124.837112954951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526-449D-95C0-FE50AEB6EDA4}"/>
            </c:ext>
          </c:extLst>
        </c:ser>
        <c:ser>
          <c:idx val="2"/>
          <c:order val="2"/>
          <c:tx>
            <c:strRef>
              <c:f>'Plotting Marginal CostsBenefits'!$G$1</c:f>
              <c:strCache>
                <c:ptCount val="1"/>
                <c:pt idx="0">
                  <c:v>Procurement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CostsBenefits'!$G$2:$G$29</c:f>
              <c:numCache>
                <c:formatCode>General</c:formatCode>
                <c:ptCount val="28"/>
                <c:pt idx="10" formatCode="&quot;$&quot;#,##0.00_);[Red]\(&quot;$&quot;#,##0.00\)">
                  <c:v>3.2085743248811902E-2</c:v>
                </c:pt>
                <c:pt idx="11" formatCode="&quot;$&quot;#,##0.00_);[Red]\(&quot;$&quot;#,##0.00\)">
                  <c:v>-4.4606170443716504</c:v>
                </c:pt>
                <c:pt idx="12" formatCode="&quot;$&quot;#,##0.00_);[Red]\(&quot;$&quot;#,##0.00\)">
                  <c:v>0.18416268361230301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526-449D-95C0-FE50AEB6EDA4}"/>
            </c:ext>
          </c:extLst>
        </c:ser>
        <c:ser>
          <c:idx val="3"/>
          <c:order val="3"/>
          <c:tx>
            <c:strRef>
              <c:f>'Plotting Marginal CostsBenefits'!$H$1</c:f>
              <c:strCache>
                <c:ptCount val="1"/>
                <c:pt idx="0">
                  <c:v>Optimal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CostsBenefits'!$H$2:$H$29</c:f>
              <c:numCache>
                <c:formatCode>General</c:formatCode>
                <c:ptCount val="28"/>
                <c:pt idx="13" formatCode="&quot;$&quot;#,##0.00_);[Red]\(&quot;$&quot;#,##0.00\)">
                  <c:v>55.3942403007933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526-449D-95C0-FE50AEB6EDA4}"/>
            </c:ext>
          </c:extLst>
        </c:ser>
        <c:ser>
          <c:idx val="4"/>
          <c:order val="4"/>
          <c:tx>
            <c:strRef>
              <c:f>'Plotting Marginal CostsBenefits'!$I$1</c:f>
              <c:strCache>
                <c:ptCount val="1"/>
                <c:pt idx="0">
                  <c:v>Baseline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CostsBenefits'!$I$2:$I$29</c:f>
              <c:numCache>
                <c:formatCode>General</c:formatCode>
                <c:ptCount val="28"/>
                <c:pt idx="9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526-449D-95C0-FE50AEB6EDA4}"/>
            </c:ext>
          </c:extLst>
        </c:ser>
        <c:ser>
          <c:idx val="5"/>
          <c:order val="5"/>
          <c:tx>
            <c:strRef>
              <c:f>'Plotting Marginal CostsBenefits'!$J$1</c:f>
              <c:strCache>
                <c:ptCount val="1"/>
                <c:pt idx="0">
                  <c:v>Innovation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CostsBenefits'!$J$2:$J$29</c:f>
              <c:numCache>
                <c:formatCode>General</c:formatCode>
                <c:ptCount val="28"/>
                <c:pt idx="19" formatCode="&quot;$&quot;#,##0.00_);[Red]\(&quot;$&quot;#,##0.00\)">
                  <c:v>14.041807010664401</c:v>
                </c:pt>
                <c:pt idx="20" formatCode="&quot;$&quot;#,##0.00_);[Red]\(&quot;$&quot;#,##0.00\)">
                  <c:v>12.795920628411601</c:v>
                </c:pt>
                <c:pt idx="21" formatCode="&quot;$&quot;#,##0.00_);[Red]\(&quot;$&quot;#,##0.00\)">
                  <c:v>38.626101035459101</c:v>
                </c:pt>
                <c:pt idx="22" formatCode="&quot;$&quot;#,##0.00_);[Red]\(&quot;$&quot;#,##0.00\)">
                  <c:v>17.986986790839499</c:v>
                </c:pt>
                <c:pt idx="23" formatCode="&quot;$&quot;#,##0.00_);[Red]\(&quot;$&quot;#,##0.00\)">
                  <c:v>20.252154009836197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526-449D-95C0-FE50AEB6EDA4}"/>
            </c:ext>
          </c:extLst>
        </c:ser>
        <c:ser>
          <c:idx val="6"/>
          <c:order val="6"/>
          <c:tx>
            <c:strRef>
              <c:f>'Plotting Marginal CostsBenefits'!$K$1</c:f>
              <c:strCache>
                <c:ptCount val="1"/>
                <c:pt idx="0">
                  <c:v>Subsidy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CostsBenefits'!$K$2:$K$29</c:f>
              <c:numCache>
                <c:formatCode>General</c:formatCode>
                <c:ptCount val="28"/>
                <c:pt idx="14" formatCode="&quot;$&quot;#,##0.00_);[Red]\(&quot;$&quot;#,##0.00\)">
                  <c:v>24.0124014868552</c:v>
                </c:pt>
                <c:pt idx="15" formatCode="&quot;$&quot;#,##0.00_);[Red]\(&quot;$&quot;#,##0.00\)">
                  <c:v>84.257525916830588</c:v>
                </c:pt>
                <c:pt idx="16" formatCode="&quot;$&quot;#,##0.00_);[Red]\(&quot;$&quot;#,##0.00\)">
                  <c:v>74.162147660175606</c:v>
                </c:pt>
                <c:pt idx="17" formatCode="&quot;$&quot;#,##0.00_);[Red]\(&quot;$&quot;#,##0.00\)">
                  <c:v>265.90276421105403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C526-449D-95C0-FE50AEB6EDA4}"/>
            </c:ext>
          </c:extLst>
        </c:ser>
        <c:ser>
          <c:idx val="7"/>
          <c:order val="7"/>
          <c:tx>
            <c:strRef>
              <c:f>'Plotting Marginal CostsBenefits'!$L$1</c:f>
              <c:strCache>
                <c:ptCount val="1"/>
                <c:pt idx="0">
                  <c:v>Procurement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CostsBenefits'!$L$2:$L$29</c:f>
              <c:numCache>
                <c:formatCode>General</c:formatCode>
                <c:ptCount val="28"/>
                <c:pt idx="24" formatCode="&quot;$&quot;#,##0.00_);[Red]\(&quot;$&quot;#,##0.00\)">
                  <c:v>2.5552191726661397</c:v>
                </c:pt>
                <c:pt idx="25" formatCode="&quot;$&quot;#,##0.00_);[Red]\(&quot;$&quot;#,##0.00\)">
                  <c:v>-5.1575221174354304</c:v>
                </c:pt>
                <c:pt idx="26" formatCode="&quot;$&quot;#,##0.00_);[Red]\(&quot;$&quot;#,##0.00\)">
                  <c:v>2.70791448460225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526-449D-95C0-FE50AEB6EDA4}"/>
            </c:ext>
          </c:extLst>
        </c:ser>
        <c:ser>
          <c:idx val="8"/>
          <c:order val="8"/>
          <c:tx>
            <c:strRef>
              <c:f>'Plotting Marginal CostsBenefits'!$M$1</c:f>
              <c:strCache>
                <c:ptCount val="1"/>
                <c:pt idx="0">
                  <c:v>Optimal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CostsBenefits'!$M$2:$M$29</c:f>
              <c:numCache>
                <c:formatCode>General</c:formatCode>
                <c:ptCount val="28"/>
                <c:pt idx="27" formatCode="&quot;$&quot;#,##0.00_);[Red]\(&quot;$&quot;#,##0.00\)">
                  <c:v>100.07899781724501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C526-449D-95C0-FE50AEB6EDA4}"/>
            </c:ext>
          </c:extLst>
        </c:ser>
        <c:ser>
          <c:idx val="9"/>
          <c:order val="9"/>
          <c:tx>
            <c:strRef>
              <c:f>'Plotting Marginal CostsBenefits'!$N$1</c:f>
              <c:strCache>
                <c:ptCount val="1"/>
                <c:pt idx="0">
                  <c:v>Baseline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CostsBenefits'!$N$2:$N$29</c:f>
              <c:numCache>
                <c:formatCode>General</c:formatCode>
                <c:ptCount val="28"/>
                <c:pt idx="18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526-449D-95C0-FE50AEB6ED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  <c:max val="30"/>
          <c:min val="0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&quot;$&quot;#,##0_);[Red]\(&quot;$&quot;#,##0\)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50"/>
        <c:crossBetween val="midCat"/>
      </c:valAx>
      <c:valAx>
        <c:axId val="688359152"/>
        <c:scaling>
          <c:orientation val="minMax"/>
          <c:max val="50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&quot;$&quot;#,##0" sourceLinked="0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2657268053416094"/>
          <c:y val="3.5891588464031364E-2"/>
          <c:w val="0.68818205548579736"/>
          <c:h val="0.85183951497832233"/>
        </c:manualLayout>
      </c:layout>
      <c:scatterChart>
        <c:scatterStyle val="lineMarker"/>
        <c:varyColors val="0"/>
        <c:ser>
          <c:idx val="0"/>
          <c:order val="0"/>
          <c:tx>
            <c:strRef>
              <c:f>'Plotting Marginal CostsBenefits'!$E$1</c:f>
              <c:strCache>
                <c:ptCount val="1"/>
                <c:pt idx="0">
                  <c:v>Innovation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CostsBenefits'!$E$34:$E$61</c:f>
              <c:numCache>
                <c:formatCode>General</c:formatCode>
                <c:ptCount val="28"/>
                <c:pt idx="4" formatCode="&quot;$&quot;#,##0.00_);[Red]\(&quot;$&quot;#,##0.00\)">
                  <c:v>23.639052484741402</c:v>
                </c:pt>
                <c:pt idx="5" formatCode="&quot;$&quot;#,##0.00_);[Red]\(&quot;$&quot;#,##0.00\)">
                  <c:v>30.682746255407402</c:v>
                </c:pt>
                <c:pt idx="6" formatCode="&quot;$&quot;#,##0.00_);[Red]\(&quot;$&quot;#,##0.00\)">
                  <c:v>97.079650583780889</c:v>
                </c:pt>
                <c:pt idx="7" formatCode="&quot;$&quot;#,##0.00_);[Red]\(&quot;$&quot;#,##0.00\)">
                  <c:v>43.683158017839396</c:v>
                </c:pt>
                <c:pt idx="8" formatCode="&quot;$&quot;#,##0.00_);[Red]\(&quot;$&quot;#,##0.00\)">
                  <c:v>50.470555104885598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0B-4289-9AA8-700F5A538146}"/>
            </c:ext>
          </c:extLst>
        </c:ser>
        <c:ser>
          <c:idx val="1"/>
          <c:order val="1"/>
          <c:tx>
            <c:strRef>
              <c:f>'Plotting Marginal CostsBenefits'!$F$1</c:f>
              <c:strCache>
                <c:ptCount val="1"/>
                <c:pt idx="0">
                  <c:v>Subsidy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CostsBenefits'!$F$34:$F$61</c:f>
              <c:numCache>
                <c:formatCode>"$"#,##0.00_);[Red]\("$"#,##0.00\)</c:formatCode>
                <c:ptCount val="28"/>
                <c:pt idx="0">
                  <c:v>40.991392169844005</c:v>
                </c:pt>
                <c:pt idx="1">
                  <c:v>190.30731757226701</c:v>
                </c:pt>
                <c:pt idx="2">
                  <c:v>112.322040618713</c:v>
                </c:pt>
                <c:pt idx="3">
                  <c:v>611.71112191152508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0B-4289-9AA8-700F5A538146}"/>
            </c:ext>
          </c:extLst>
        </c:ser>
        <c:ser>
          <c:idx val="2"/>
          <c:order val="2"/>
          <c:tx>
            <c:strRef>
              <c:f>'Plotting Marginal CostsBenefits'!$G$1</c:f>
              <c:strCache>
                <c:ptCount val="1"/>
                <c:pt idx="0">
                  <c:v>Procurement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CostsBenefits'!$G$34:$G$61</c:f>
              <c:numCache>
                <c:formatCode>General</c:formatCode>
                <c:ptCount val="28"/>
                <c:pt idx="10" formatCode="&quot;$&quot;#,##0.00_);[Red]\(&quot;$&quot;#,##0.00\)">
                  <c:v>1.4045679010868701</c:v>
                </c:pt>
                <c:pt idx="11" formatCode="&quot;$&quot;#,##0.00_);[Red]\(&quot;$&quot;#,##0.00\)">
                  <c:v>-40.603419309400401</c:v>
                </c:pt>
                <c:pt idx="12" formatCode="&quot;$&quot;#,##0.00_);[Red]\(&quot;$&quot;#,##0.00\)">
                  <c:v>2.6267782954144598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F0B-4289-9AA8-700F5A538146}"/>
            </c:ext>
          </c:extLst>
        </c:ser>
        <c:ser>
          <c:idx val="3"/>
          <c:order val="3"/>
          <c:tx>
            <c:strRef>
              <c:f>'Plotting Marginal CostsBenefits'!$H$1</c:f>
              <c:strCache>
                <c:ptCount val="1"/>
                <c:pt idx="0">
                  <c:v>Optimal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CostsBenefits'!$H$34:$H$61</c:f>
              <c:numCache>
                <c:formatCode>General</c:formatCode>
                <c:ptCount val="28"/>
                <c:pt idx="13" formatCode="&quot;$&quot;#,##0.00_);[Red]\(&quot;$&quot;#,##0.00\)">
                  <c:v>177.56027976733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F0B-4289-9AA8-700F5A538146}"/>
            </c:ext>
          </c:extLst>
        </c:ser>
        <c:ser>
          <c:idx val="4"/>
          <c:order val="4"/>
          <c:tx>
            <c:strRef>
              <c:f>'Plotting Marginal CostsBenefits'!$I$1</c:f>
              <c:strCache>
                <c:ptCount val="1"/>
                <c:pt idx="0">
                  <c:v>Baseline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CostsBenefits'!$I$34:$I$61</c:f>
              <c:numCache>
                <c:formatCode>General</c:formatCode>
                <c:ptCount val="28"/>
                <c:pt idx="9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F0B-4289-9AA8-700F5A538146}"/>
            </c:ext>
          </c:extLst>
        </c:ser>
        <c:ser>
          <c:idx val="5"/>
          <c:order val="5"/>
          <c:tx>
            <c:strRef>
              <c:f>'Plotting Marginal CostsBenefits'!$J$1</c:f>
              <c:strCache>
                <c:ptCount val="1"/>
                <c:pt idx="0">
                  <c:v>Innovation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CostsBenefits'!$J$34:$J$61</c:f>
              <c:numCache>
                <c:formatCode>General</c:formatCode>
                <c:ptCount val="28"/>
                <c:pt idx="19" formatCode="&quot;$&quot;#,##0.00_);[Red]\(&quot;$&quot;#,##0.00\)">
                  <c:v>81.711783899172602</c:v>
                </c:pt>
                <c:pt idx="20" formatCode="&quot;$&quot;#,##0.00_);[Red]\(&quot;$&quot;#,##0.00\)">
                  <c:v>74.78762320090479</c:v>
                </c:pt>
                <c:pt idx="21" formatCode="&quot;$&quot;#,##0.00_);[Red]\(&quot;$&quot;#,##0.00\)">
                  <c:v>201.38240255214799</c:v>
                </c:pt>
                <c:pt idx="22" formatCode="&quot;$&quot;#,##0.00_);[Red]\(&quot;$&quot;#,##0.00\)">
                  <c:v>98.338675448048605</c:v>
                </c:pt>
                <c:pt idx="23" formatCode="&quot;$&quot;#,##0.00_);[Red]\(&quot;$&quot;#,##0.00\)">
                  <c:v>112.560083841115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F0B-4289-9AA8-700F5A538146}"/>
            </c:ext>
          </c:extLst>
        </c:ser>
        <c:ser>
          <c:idx val="6"/>
          <c:order val="6"/>
          <c:tx>
            <c:strRef>
              <c:f>'Plotting Marginal CostsBenefits'!$K$1</c:f>
              <c:strCache>
                <c:ptCount val="1"/>
                <c:pt idx="0">
                  <c:v>Subsidy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CostsBenefits'!$K$34:$K$61</c:f>
              <c:numCache>
                <c:formatCode>General</c:formatCode>
                <c:ptCount val="28"/>
                <c:pt idx="14" formatCode="&quot;$&quot;#,##0.00_);[Red]\(&quot;$&quot;#,##0.00\)">
                  <c:v>94.8647314703082</c:v>
                </c:pt>
                <c:pt idx="15" formatCode="&quot;$&quot;#,##0.00_);[Red]\(&quot;$&quot;#,##0.00\)">
                  <c:v>573.81981405192494</c:v>
                </c:pt>
                <c:pt idx="16" formatCode="&quot;$&quot;#,##0.00_);[Red]\(&quot;$&quot;#,##0.00\)">
                  <c:v>189.54767770812401</c:v>
                </c:pt>
                <c:pt idx="17" formatCode="&quot;$&quot;#,##0.00_);[Red]\(&quot;$&quot;#,##0.00\)">
                  <c:v>1529.26070418628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F0B-4289-9AA8-700F5A538146}"/>
            </c:ext>
          </c:extLst>
        </c:ser>
        <c:ser>
          <c:idx val="7"/>
          <c:order val="7"/>
          <c:tx>
            <c:strRef>
              <c:f>'Plotting Marginal CostsBenefits'!$L$1</c:f>
              <c:strCache>
                <c:ptCount val="1"/>
                <c:pt idx="0">
                  <c:v>Procurement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CostsBenefits'!$L$34:$L$61</c:f>
              <c:numCache>
                <c:formatCode>General</c:formatCode>
                <c:ptCount val="28"/>
                <c:pt idx="24" formatCode="&quot;$&quot;#,##0.00_);[Red]\(&quot;$&quot;#,##0.00\)">
                  <c:v>20.6128411262535</c:v>
                </c:pt>
                <c:pt idx="25" formatCode="&quot;$&quot;#,##0.00_);[Red]\(&quot;$&quot;#,##0.00\)">
                  <c:v>-33.750559282223406</c:v>
                </c:pt>
                <c:pt idx="26" formatCode="&quot;$&quot;#,##0.00_);[Red]\(&quot;$&quot;#,##0.00\)">
                  <c:v>22.101075343330997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F0B-4289-9AA8-700F5A538146}"/>
            </c:ext>
          </c:extLst>
        </c:ser>
        <c:ser>
          <c:idx val="8"/>
          <c:order val="8"/>
          <c:tx>
            <c:strRef>
              <c:f>'Plotting Marginal CostsBenefits'!$M$1</c:f>
              <c:strCache>
                <c:ptCount val="1"/>
                <c:pt idx="0">
                  <c:v>Optimal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CostsBenefits'!$M$34:$M$61</c:f>
              <c:numCache>
                <c:formatCode>General</c:formatCode>
                <c:ptCount val="28"/>
                <c:pt idx="27" formatCode="&quot;$&quot;#,##0.00_);[Red]\(&quot;$&quot;#,##0.00\)">
                  <c:v>343.06427648368401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F0B-4289-9AA8-700F5A538146}"/>
            </c:ext>
          </c:extLst>
        </c:ser>
        <c:ser>
          <c:idx val="9"/>
          <c:order val="9"/>
          <c:tx>
            <c:strRef>
              <c:f>'Plotting Marginal CostsBenefits'!$N$1</c:f>
              <c:strCache>
                <c:ptCount val="1"/>
                <c:pt idx="0">
                  <c:v>Baseline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CostsBenefits'!$N$34:$N$61</c:f>
              <c:numCache>
                <c:formatCode>General</c:formatCode>
                <c:ptCount val="28"/>
                <c:pt idx="18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F0B-4289-9AA8-700F5A5381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  <c:max val="1600"/>
          <c:min val="0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4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Costs (Billion $ NPV)</a:t>
                </a:r>
              </a:p>
            </c:rich>
          </c:tx>
          <c:layout>
            <c:manualLayout>
              <c:xMode val="edge"/>
              <c:yMode val="edge"/>
              <c:x val="0.2957181115719314"/>
              <c:y val="0.940018680016107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2">
                      <a:lumMod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&quot;$&quot;#,##0_);[Red]\(&quot;$&quot;#,##0\)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200"/>
        <c:crossBetween val="midCat"/>
      </c:valAx>
      <c:valAx>
        <c:axId val="688359152"/>
        <c:scaling>
          <c:orientation val="minMax"/>
          <c:max val="160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Benefits (Billion $ NPV)</a:t>
                </a:r>
              </a:p>
            </c:rich>
          </c:tx>
          <c:layout>
            <c:manualLayout>
              <c:xMode val="edge"/>
              <c:yMode val="edge"/>
              <c:x val="4.4969831580597853E-3"/>
              <c:y val="0.310426264322227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" sourceLinked="0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0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4583712073923281"/>
          <c:y val="9.361730826614241E-2"/>
          <c:w val="0.71286676951640582"/>
          <c:h val="0.11825775520630949"/>
        </c:manualLayout>
      </c:layout>
      <c:overlay val="0"/>
      <c:spPr>
        <a:solidFill>
          <a:schemeClr val="bg1">
            <a:alpha val="50000"/>
          </a:schemeClr>
        </a:solidFill>
        <a:ln>
          <a:solidFill>
            <a:schemeClr val="bg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620728399405295"/>
          <c:y val="3.5891588464031364E-2"/>
          <c:w val="0.81587610049720338"/>
          <c:h val="0.88171813016332468"/>
        </c:manualLayout>
      </c:layout>
      <c:scatterChart>
        <c:scatterStyle val="lineMarker"/>
        <c:varyColors val="0"/>
        <c:ser>
          <c:idx val="0"/>
          <c:order val="0"/>
          <c:tx>
            <c:strRef>
              <c:f>'Plotting Marginal CostsBenefits'!$E$1</c:f>
              <c:strCache>
                <c:ptCount val="1"/>
                <c:pt idx="0">
                  <c:v>Innovation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CostsBenefits'!$E$34:$E$61</c:f>
              <c:numCache>
                <c:formatCode>General</c:formatCode>
                <c:ptCount val="28"/>
                <c:pt idx="4" formatCode="&quot;$&quot;#,##0.00_);[Red]\(&quot;$&quot;#,##0.00\)">
                  <c:v>23.639052484741402</c:v>
                </c:pt>
                <c:pt idx="5" formatCode="&quot;$&quot;#,##0.00_);[Red]\(&quot;$&quot;#,##0.00\)">
                  <c:v>30.682746255407402</c:v>
                </c:pt>
                <c:pt idx="6" formatCode="&quot;$&quot;#,##0.00_);[Red]\(&quot;$&quot;#,##0.00\)">
                  <c:v>97.079650583780889</c:v>
                </c:pt>
                <c:pt idx="7" formatCode="&quot;$&quot;#,##0.00_);[Red]\(&quot;$&quot;#,##0.00\)">
                  <c:v>43.683158017839396</c:v>
                </c:pt>
                <c:pt idx="8" formatCode="&quot;$&quot;#,##0.00_);[Red]\(&quot;$&quot;#,##0.00\)">
                  <c:v>50.470555104885598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780-4B72-95A3-6A71B05277E2}"/>
            </c:ext>
          </c:extLst>
        </c:ser>
        <c:ser>
          <c:idx val="1"/>
          <c:order val="1"/>
          <c:tx>
            <c:strRef>
              <c:f>'Plotting Marginal CostsBenefits'!$F$1</c:f>
              <c:strCache>
                <c:ptCount val="1"/>
                <c:pt idx="0">
                  <c:v>Subsidy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CostsBenefits'!$F$34:$F$61</c:f>
              <c:numCache>
                <c:formatCode>"$"#,##0.00_);[Red]\("$"#,##0.00\)</c:formatCode>
                <c:ptCount val="28"/>
                <c:pt idx="0">
                  <c:v>40.991392169844005</c:v>
                </c:pt>
                <c:pt idx="1">
                  <c:v>190.30731757226701</c:v>
                </c:pt>
                <c:pt idx="2">
                  <c:v>112.322040618713</c:v>
                </c:pt>
                <c:pt idx="3">
                  <c:v>611.71112191152508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780-4B72-95A3-6A71B05277E2}"/>
            </c:ext>
          </c:extLst>
        </c:ser>
        <c:ser>
          <c:idx val="2"/>
          <c:order val="2"/>
          <c:tx>
            <c:strRef>
              <c:f>'Plotting Marginal CostsBenefits'!$G$1</c:f>
              <c:strCache>
                <c:ptCount val="1"/>
                <c:pt idx="0">
                  <c:v>Procurement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CostsBenefits'!$G$34:$G$61</c:f>
              <c:numCache>
                <c:formatCode>General</c:formatCode>
                <c:ptCount val="28"/>
                <c:pt idx="10" formatCode="&quot;$&quot;#,##0.00_);[Red]\(&quot;$&quot;#,##0.00\)">
                  <c:v>1.4045679010868701</c:v>
                </c:pt>
                <c:pt idx="11" formatCode="&quot;$&quot;#,##0.00_);[Red]\(&quot;$&quot;#,##0.00\)">
                  <c:v>-40.603419309400401</c:v>
                </c:pt>
                <c:pt idx="12" formatCode="&quot;$&quot;#,##0.00_);[Red]\(&quot;$&quot;#,##0.00\)">
                  <c:v>2.6267782954144598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780-4B72-95A3-6A71B05277E2}"/>
            </c:ext>
          </c:extLst>
        </c:ser>
        <c:ser>
          <c:idx val="3"/>
          <c:order val="3"/>
          <c:tx>
            <c:strRef>
              <c:f>'Plotting Marginal CostsBenefits'!$H$1</c:f>
              <c:strCache>
                <c:ptCount val="1"/>
                <c:pt idx="0">
                  <c:v>Optimal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CostsBenefits'!$H$34:$H$61</c:f>
              <c:numCache>
                <c:formatCode>General</c:formatCode>
                <c:ptCount val="28"/>
                <c:pt idx="13" formatCode="&quot;$&quot;#,##0.00_);[Red]\(&quot;$&quot;#,##0.00\)">
                  <c:v>177.56027976733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780-4B72-95A3-6A71B05277E2}"/>
            </c:ext>
          </c:extLst>
        </c:ser>
        <c:ser>
          <c:idx val="4"/>
          <c:order val="4"/>
          <c:tx>
            <c:strRef>
              <c:f>'Plotting Marginal CostsBenefits'!$I$1</c:f>
              <c:strCache>
                <c:ptCount val="1"/>
                <c:pt idx="0">
                  <c:v>Baseline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CostsBenefits'!$I$34:$I$61</c:f>
              <c:numCache>
                <c:formatCode>General</c:formatCode>
                <c:ptCount val="28"/>
                <c:pt idx="9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780-4B72-95A3-6A71B05277E2}"/>
            </c:ext>
          </c:extLst>
        </c:ser>
        <c:ser>
          <c:idx val="5"/>
          <c:order val="5"/>
          <c:tx>
            <c:strRef>
              <c:f>'Plotting Marginal CostsBenefits'!$J$1</c:f>
              <c:strCache>
                <c:ptCount val="1"/>
                <c:pt idx="0">
                  <c:v>Innovation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CostsBenefits'!$J$34:$J$61</c:f>
              <c:numCache>
                <c:formatCode>General</c:formatCode>
                <c:ptCount val="28"/>
                <c:pt idx="19" formatCode="&quot;$&quot;#,##0.00_);[Red]\(&quot;$&quot;#,##0.00\)">
                  <c:v>81.711783899172602</c:v>
                </c:pt>
                <c:pt idx="20" formatCode="&quot;$&quot;#,##0.00_);[Red]\(&quot;$&quot;#,##0.00\)">
                  <c:v>74.78762320090479</c:v>
                </c:pt>
                <c:pt idx="21" formatCode="&quot;$&quot;#,##0.00_);[Red]\(&quot;$&quot;#,##0.00\)">
                  <c:v>201.38240255214799</c:v>
                </c:pt>
                <c:pt idx="22" formatCode="&quot;$&quot;#,##0.00_);[Red]\(&quot;$&quot;#,##0.00\)">
                  <c:v>98.338675448048605</c:v>
                </c:pt>
                <c:pt idx="23" formatCode="&quot;$&quot;#,##0.00_);[Red]\(&quot;$&quot;#,##0.00\)">
                  <c:v>112.560083841115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780-4B72-95A3-6A71B05277E2}"/>
            </c:ext>
          </c:extLst>
        </c:ser>
        <c:ser>
          <c:idx val="6"/>
          <c:order val="6"/>
          <c:tx>
            <c:strRef>
              <c:f>'Plotting Marginal CostsBenefits'!$K$1</c:f>
              <c:strCache>
                <c:ptCount val="1"/>
                <c:pt idx="0">
                  <c:v>Subsidy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CostsBenefits'!$K$34:$K$61</c:f>
              <c:numCache>
                <c:formatCode>General</c:formatCode>
                <c:ptCount val="28"/>
                <c:pt idx="14" formatCode="&quot;$&quot;#,##0.00_);[Red]\(&quot;$&quot;#,##0.00\)">
                  <c:v>94.8647314703082</c:v>
                </c:pt>
                <c:pt idx="15" formatCode="&quot;$&quot;#,##0.00_);[Red]\(&quot;$&quot;#,##0.00\)">
                  <c:v>573.81981405192494</c:v>
                </c:pt>
                <c:pt idx="16" formatCode="&quot;$&quot;#,##0.00_);[Red]\(&quot;$&quot;#,##0.00\)">
                  <c:v>189.54767770812401</c:v>
                </c:pt>
                <c:pt idx="17" formatCode="&quot;$&quot;#,##0.00_);[Red]\(&quot;$&quot;#,##0.00\)">
                  <c:v>1529.26070418628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780-4B72-95A3-6A71B05277E2}"/>
            </c:ext>
          </c:extLst>
        </c:ser>
        <c:ser>
          <c:idx val="7"/>
          <c:order val="7"/>
          <c:tx>
            <c:strRef>
              <c:f>'Plotting Marginal CostsBenefits'!$L$1</c:f>
              <c:strCache>
                <c:ptCount val="1"/>
                <c:pt idx="0">
                  <c:v>Procurement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CostsBenefits'!$L$34:$L$61</c:f>
              <c:numCache>
                <c:formatCode>General</c:formatCode>
                <c:ptCount val="28"/>
                <c:pt idx="24" formatCode="&quot;$&quot;#,##0.00_);[Red]\(&quot;$&quot;#,##0.00\)">
                  <c:v>20.6128411262535</c:v>
                </c:pt>
                <c:pt idx="25" formatCode="&quot;$&quot;#,##0.00_);[Red]\(&quot;$&quot;#,##0.00\)">
                  <c:v>-33.750559282223406</c:v>
                </c:pt>
                <c:pt idx="26" formatCode="&quot;$&quot;#,##0.00_);[Red]\(&quot;$&quot;#,##0.00\)">
                  <c:v>22.101075343330997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780-4B72-95A3-6A71B05277E2}"/>
            </c:ext>
          </c:extLst>
        </c:ser>
        <c:ser>
          <c:idx val="8"/>
          <c:order val="8"/>
          <c:tx>
            <c:strRef>
              <c:f>'Plotting Marginal CostsBenefits'!$M$1</c:f>
              <c:strCache>
                <c:ptCount val="1"/>
                <c:pt idx="0">
                  <c:v>Optimal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CostsBenefits'!$M$34:$M$61</c:f>
              <c:numCache>
                <c:formatCode>General</c:formatCode>
                <c:ptCount val="28"/>
                <c:pt idx="27" formatCode="&quot;$&quot;#,##0.00_);[Red]\(&quot;$&quot;#,##0.00\)">
                  <c:v>343.06427648368401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780-4B72-95A3-6A71B05277E2}"/>
            </c:ext>
          </c:extLst>
        </c:ser>
        <c:ser>
          <c:idx val="9"/>
          <c:order val="9"/>
          <c:tx>
            <c:strRef>
              <c:f>'Plotting Marginal CostsBenefits'!$N$1</c:f>
              <c:strCache>
                <c:ptCount val="1"/>
                <c:pt idx="0">
                  <c:v>Baseline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CostsBenefits'!$N$34:$N$61</c:f>
              <c:numCache>
                <c:formatCode>General</c:formatCode>
                <c:ptCount val="28"/>
                <c:pt idx="18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780-4B72-95A3-6A71B05277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  <c:max val="50"/>
          <c:min val="0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&quot;$&quot;#,##0_);[Red]\(&quot;$&quot;#,##0\)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200"/>
        <c:crossBetween val="midCat"/>
      </c:valAx>
      <c:valAx>
        <c:axId val="688359152"/>
        <c:scaling>
          <c:orientation val="minMax"/>
          <c:max val="120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&quot;$&quot;#,##0" sourceLinked="0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2">
          <a:lumMod val="9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938144138436951"/>
          <c:y val="3.5891588464031364E-2"/>
          <c:w val="0.72094032217626325"/>
          <c:h val="0.85183951497832233"/>
        </c:manualLayout>
      </c:layout>
      <c:scatterChart>
        <c:scatterStyle val="lineMarker"/>
        <c:varyColors val="0"/>
        <c:ser>
          <c:idx val="0"/>
          <c:order val="0"/>
          <c:tx>
            <c:strRef>
              <c:f>'Plotting Marginal CostsBenefits'!$E$1</c:f>
              <c:strCache>
                <c:ptCount val="1"/>
                <c:pt idx="0">
                  <c:v>Innovation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CostsBenefits'!$E$71:$E$98</c:f>
              <c:numCache>
                <c:formatCode>General</c:formatCode>
                <c:ptCount val="28"/>
                <c:pt idx="4" formatCode="&quot;$&quot;#,##0.00_);[Red]\(&quot;$&quot;#,##0.00\)">
                  <c:v>2.7903663637267599</c:v>
                </c:pt>
                <c:pt idx="5" formatCode="&quot;$&quot;#,##0.00_);[Red]\(&quot;$&quot;#,##0.00\)">
                  <c:v>2.3607973050558697</c:v>
                </c:pt>
                <c:pt idx="6" formatCode="&quot;$&quot;#,##0.00_);[Red]\(&quot;$&quot;#,##0.00\)">
                  <c:v>8.4064334333911788</c:v>
                </c:pt>
                <c:pt idx="7" formatCode="&quot;$&quot;#,##0.00_);[Red]\(&quot;$&quot;#,##0.00\)">
                  <c:v>3.6100129557775897</c:v>
                </c:pt>
                <c:pt idx="8" formatCode="&quot;$&quot;#,##0.00_);[Red]\(&quot;$&quot;#,##0.00\)">
                  <c:v>4.2134803805597603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F5-4451-BD4A-48C7DB21EC86}"/>
            </c:ext>
          </c:extLst>
        </c:ser>
        <c:ser>
          <c:idx val="1"/>
          <c:order val="1"/>
          <c:tx>
            <c:strRef>
              <c:f>'Plotting Marginal CostsBenefits'!$F$1</c:f>
              <c:strCache>
                <c:ptCount val="1"/>
                <c:pt idx="0">
                  <c:v>Subsidy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CostsBenefits'!$F$71:$F$98</c:f>
              <c:numCache>
                <c:formatCode>"$"#,##0.00_);[Red]\("$"#,##0.00\)</c:formatCode>
                <c:ptCount val="28"/>
                <c:pt idx="0">
                  <c:v>5.0021063151110798</c:v>
                </c:pt>
                <c:pt idx="1">
                  <c:v>9.3940921605190795</c:v>
                </c:pt>
                <c:pt idx="2">
                  <c:v>28.941918173507901</c:v>
                </c:pt>
                <c:pt idx="3">
                  <c:v>49.513350620204001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F5-4451-BD4A-48C7DB21EC86}"/>
            </c:ext>
          </c:extLst>
        </c:ser>
        <c:ser>
          <c:idx val="2"/>
          <c:order val="2"/>
          <c:tx>
            <c:strRef>
              <c:f>'Plotting Marginal CostsBenefits'!$G$1</c:f>
              <c:strCache>
                <c:ptCount val="1"/>
                <c:pt idx="0">
                  <c:v>Procurement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CostsBenefits'!$G$71:$G$98</c:f>
              <c:numCache>
                <c:formatCode>General</c:formatCode>
                <c:ptCount val="28"/>
                <c:pt idx="10" formatCode="&quot;$&quot;#,##0.00_);[Red]\(&quot;$&quot;#,##0.00\)">
                  <c:v>0.22743782558660999</c:v>
                </c:pt>
                <c:pt idx="11" formatCode="&quot;$&quot;#,##0.00_);[Red]\(&quot;$&quot;#,##0.00\)">
                  <c:v>1.03107110519603</c:v>
                </c:pt>
                <c:pt idx="12" formatCode="&quot;$&quot;#,##0.00_);[Red]\(&quot;$&quot;#,##0.00\)">
                  <c:v>0.125237709722896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5F5-4451-BD4A-48C7DB21EC86}"/>
            </c:ext>
          </c:extLst>
        </c:ser>
        <c:ser>
          <c:idx val="3"/>
          <c:order val="3"/>
          <c:tx>
            <c:strRef>
              <c:f>'Plotting Marginal CostsBenefits'!$H$1</c:f>
              <c:strCache>
                <c:ptCount val="1"/>
                <c:pt idx="0">
                  <c:v>Optimal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CostsBenefits'!$H$71:$H$98</c:f>
              <c:numCache>
                <c:formatCode>General</c:formatCode>
                <c:ptCount val="28"/>
                <c:pt idx="13" formatCode="&quot;$&quot;#,##0.00_);[Red]\(&quot;$&quot;#,##0.00\)">
                  <c:v>27.847218892906103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5F5-4451-BD4A-48C7DB21EC86}"/>
            </c:ext>
          </c:extLst>
        </c:ser>
        <c:ser>
          <c:idx val="4"/>
          <c:order val="4"/>
          <c:tx>
            <c:strRef>
              <c:f>'Plotting Marginal CostsBenefits'!$I$1</c:f>
              <c:strCache>
                <c:ptCount val="1"/>
                <c:pt idx="0">
                  <c:v>Baseline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CostsBenefits'!$I$71:$I$98</c:f>
              <c:numCache>
                <c:formatCode>General</c:formatCode>
                <c:ptCount val="28"/>
                <c:pt idx="9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5F5-4451-BD4A-48C7DB21EC86}"/>
            </c:ext>
          </c:extLst>
        </c:ser>
        <c:ser>
          <c:idx val="5"/>
          <c:order val="5"/>
          <c:tx>
            <c:strRef>
              <c:f>'Plotting Marginal CostsBenefits'!$J$1</c:f>
              <c:strCache>
                <c:ptCount val="1"/>
                <c:pt idx="0">
                  <c:v>Innovation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CostsBenefits'!$J$71:$J$98</c:f>
              <c:numCache>
                <c:formatCode>General</c:formatCode>
                <c:ptCount val="28"/>
                <c:pt idx="19" formatCode="&quot;$&quot;#,##0.00_);[Red]\(&quot;$&quot;#,##0.00\)">
                  <c:v>5.0673328268512492</c:v>
                </c:pt>
                <c:pt idx="20" formatCode="&quot;$&quot;#,##0.00_);[Red]\(&quot;$&quot;#,##0.00\)">
                  <c:v>4.2773243685469495</c:v>
                </c:pt>
                <c:pt idx="21" formatCode="&quot;$&quot;#,##0.00_);[Red]\(&quot;$&quot;#,##0.00\)">
                  <c:v>14.1048743016727</c:v>
                </c:pt>
                <c:pt idx="22" formatCode="&quot;$&quot;#,##0.00_);[Red]\(&quot;$&quot;#,##0.00\)">
                  <c:v>6.3020903447309804</c:v>
                </c:pt>
                <c:pt idx="23" formatCode="&quot;$&quot;#,##0.00_);[Red]\(&quot;$&quot;#,##0.00\)">
                  <c:v>7.1335598014398505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5F5-4451-BD4A-48C7DB21EC86}"/>
            </c:ext>
          </c:extLst>
        </c:ser>
        <c:ser>
          <c:idx val="6"/>
          <c:order val="6"/>
          <c:tx>
            <c:strRef>
              <c:f>'Plotting Marginal CostsBenefits'!$K$1</c:f>
              <c:strCache>
                <c:ptCount val="1"/>
                <c:pt idx="0">
                  <c:v>Subsidy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CostsBenefits'!$K$71:$K$98</c:f>
              <c:numCache>
                <c:formatCode>General</c:formatCode>
                <c:ptCount val="28"/>
                <c:pt idx="14" formatCode="&quot;$&quot;#,##0.00_);[Red]\(&quot;$&quot;#,##0.00\)">
                  <c:v>9.6861108143464012</c:v>
                </c:pt>
                <c:pt idx="15" formatCode="&quot;$&quot;#,##0.00_);[Red]\(&quot;$&quot;#,##0.00\)">
                  <c:v>23.2048464252616</c:v>
                </c:pt>
                <c:pt idx="16" formatCode="&quot;$&quot;#,##0.00_);[Red]\(&quot;$&quot;#,##0.00\)">
                  <c:v>41.535203838220703</c:v>
                </c:pt>
                <c:pt idx="17" formatCode="&quot;$&quot;#,##0.00_);[Red]\(&quot;$&quot;#,##0.00\)">
                  <c:v>90.741464406757501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5F5-4451-BD4A-48C7DB21EC86}"/>
            </c:ext>
          </c:extLst>
        </c:ser>
        <c:ser>
          <c:idx val="7"/>
          <c:order val="7"/>
          <c:tx>
            <c:strRef>
              <c:f>'Plotting Marginal CostsBenefits'!$L$1</c:f>
              <c:strCache>
                <c:ptCount val="1"/>
                <c:pt idx="0">
                  <c:v>Procurement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CostsBenefits'!$L$71:$L$98</c:f>
              <c:numCache>
                <c:formatCode>General</c:formatCode>
                <c:ptCount val="28"/>
                <c:pt idx="24" formatCode="&quot;$&quot;#,##0.00_);[Red]\(&quot;$&quot;#,##0.00\)">
                  <c:v>0.81700285092435609</c:v>
                </c:pt>
                <c:pt idx="25" formatCode="&quot;$&quot;#,##0.00_);[Red]\(&quot;$&quot;#,##0.00\)">
                  <c:v>0.354460813324316</c:v>
                </c:pt>
                <c:pt idx="26" formatCode="&quot;$&quot;#,##0.00_);[Red]\(&quot;$&quot;#,##0.00\)">
                  <c:v>0.69201167725153201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5F5-4451-BD4A-48C7DB21EC86}"/>
            </c:ext>
          </c:extLst>
        </c:ser>
        <c:ser>
          <c:idx val="8"/>
          <c:order val="8"/>
          <c:tx>
            <c:strRef>
              <c:f>'Plotting Marginal CostsBenefits'!$M$1</c:f>
              <c:strCache>
                <c:ptCount val="1"/>
                <c:pt idx="0">
                  <c:v>Optimal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CostsBenefits'!$M$71:$M$98</c:f>
              <c:numCache>
                <c:formatCode>General</c:formatCode>
                <c:ptCount val="28"/>
                <c:pt idx="27" formatCode="&quot;$&quot;#,##0.00_);[Red]\(&quot;$&quot;#,##0.00\)">
                  <c:v>49.751588765194498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5F5-4451-BD4A-48C7DB21EC86}"/>
            </c:ext>
          </c:extLst>
        </c:ser>
        <c:ser>
          <c:idx val="9"/>
          <c:order val="9"/>
          <c:tx>
            <c:strRef>
              <c:f>'Plotting Marginal CostsBenefits'!$N$1</c:f>
              <c:strCache>
                <c:ptCount val="1"/>
                <c:pt idx="0">
                  <c:v>Baseline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CostsBenefits'!$N$71:$N$98</c:f>
              <c:numCache>
                <c:formatCode>General</c:formatCode>
                <c:ptCount val="28"/>
                <c:pt idx="18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5F5-4451-BD4A-48C7DB21EC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4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Costs (Billion $ NPV)</a:t>
                </a:r>
              </a:p>
            </c:rich>
          </c:tx>
          <c:layout>
            <c:manualLayout>
              <c:xMode val="edge"/>
              <c:yMode val="edge"/>
              <c:x val="0.2957181115719314"/>
              <c:y val="0.940018680016107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2">
                      <a:lumMod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&quot;$&quot;#,##0_);[Red]\(&quot;$&quot;#,##0\)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 val="autoZero"/>
        <c:crossBetween val="midCat"/>
      </c:valAx>
      <c:valAx>
        <c:axId val="68835915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Benefits (Billion $ NPV)</a:t>
                </a:r>
              </a:p>
            </c:rich>
          </c:tx>
          <c:layout>
            <c:manualLayout>
              <c:xMode val="edge"/>
              <c:yMode val="edge"/>
              <c:x val="4.4969831580597853E-3"/>
              <c:y val="0.310426264322227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" sourceLinked="0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0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4911294740827941"/>
          <c:y val="0.14341500024114631"/>
          <c:w val="0.71286676951640582"/>
          <c:h val="0.11825775520630949"/>
        </c:manualLayout>
      </c:layout>
      <c:overlay val="0"/>
      <c:spPr>
        <a:solidFill>
          <a:schemeClr val="bg1">
            <a:alpha val="50000"/>
          </a:schemeClr>
        </a:solidFill>
        <a:ln>
          <a:solidFill>
            <a:schemeClr val="bg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829788046276341"/>
          <c:y val="1.6694774261572769E-2"/>
          <c:w val="0.8028524970053269"/>
          <c:h val="0.92814585155817764"/>
        </c:manualLayout>
      </c:layout>
      <c:scatterChart>
        <c:scatterStyle val="lineMarker"/>
        <c:varyColors val="0"/>
        <c:ser>
          <c:idx val="0"/>
          <c:order val="0"/>
          <c:tx>
            <c:strRef>
              <c:f>'Plotting Marginal CostsBenefits'!$E$1</c:f>
              <c:strCache>
                <c:ptCount val="1"/>
                <c:pt idx="0">
                  <c:v>Innovation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CostsBenefits'!$E$71:$E$98</c:f>
              <c:numCache>
                <c:formatCode>General</c:formatCode>
                <c:ptCount val="28"/>
                <c:pt idx="4" formatCode="&quot;$&quot;#,##0.00_);[Red]\(&quot;$&quot;#,##0.00\)">
                  <c:v>2.7903663637267599</c:v>
                </c:pt>
                <c:pt idx="5" formatCode="&quot;$&quot;#,##0.00_);[Red]\(&quot;$&quot;#,##0.00\)">
                  <c:v>2.3607973050558697</c:v>
                </c:pt>
                <c:pt idx="6" formatCode="&quot;$&quot;#,##0.00_);[Red]\(&quot;$&quot;#,##0.00\)">
                  <c:v>8.4064334333911788</c:v>
                </c:pt>
                <c:pt idx="7" formatCode="&quot;$&quot;#,##0.00_);[Red]\(&quot;$&quot;#,##0.00\)">
                  <c:v>3.6100129557775897</c:v>
                </c:pt>
                <c:pt idx="8" formatCode="&quot;$&quot;#,##0.00_);[Red]\(&quot;$&quot;#,##0.00\)">
                  <c:v>4.2134803805597603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AB8-4E5B-9826-91639B230F7E}"/>
            </c:ext>
          </c:extLst>
        </c:ser>
        <c:ser>
          <c:idx val="1"/>
          <c:order val="1"/>
          <c:tx>
            <c:strRef>
              <c:f>'Plotting Marginal CostsBenefits'!$F$1</c:f>
              <c:strCache>
                <c:ptCount val="1"/>
                <c:pt idx="0">
                  <c:v>Subsidy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CostsBenefits'!$F$71:$F$98</c:f>
              <c:numCache>
                <c:formatCode>"$"#,##0.00_);[Red]\("$"#,##0.00\)</c:formatCode>
                <c:ptCount val="28"/>
                <c:pt idx="0">
                  <c:v>5.0021063151110798</c:v>
                </c:pt>
                <c:pt idx="1">
                  <c:v>9.3940921605190795</c:v>
                </c:pt>
                <c:pt idx="2">
                  <c:v>28.941918173507901</c:v>
                </c:pt>
                <c:pt idx="3">
                  <c:v>49.513350620204001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AB8-4E5B-9826-91639B230F7E}"/>
            </c:ext>
          </c:extLst>
        </c:ser>
        <c:ser>
          <c:idx val="2"/>
          <c:order val="2"/>
          <c:tx>
            <c:strRef>
              <c:f>'Plotting Marginal CostsBenefits'!$G$1</c:f>
              <c:strCache>
                <c:ptCount val="1"/>
                <c:pt idx="0">
                  <c:v>Procurement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CostsBenefits'!$G$71:$G$98</c:f>
              <c:numCache>
                <c:formatCode>General</c:formatCode>
                <c:ptCount val="28"/>
                <c:pt idx="10" formatCode="&quot;$&quot;#,##0.00_);[Red]\(&quot;$&quot;#,##0.00\)">
                  <c:v>0.22743782558660999</c:v>
                </c:pt>
                <c:pt idx="11" formatCode="&quot;$&quot;#,##0.00_);[Red]\(&quot;$&quot;#,##0.00\)">
                  <c:v>1.03107110519603</c:v>
                </c:pt>
                <c:pt idx="12" formatCode="&quot;$&quot;#,##0.00_);[Red]\(&quot;$&quot;#,##0.00\)">
                  <c:v>0.125237709722896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AB8-4E5B-9826-91639B230F7E}"/>
            </c:ext>
          </c:extLst>
        </c:ser>
        <c:ser>
          <c:idx val="3"/>
          <c:order val="3"/>
          <c:tx>
            <c:strRef>
              <c:f>'Plotting Marginal CostsBenefits'!$H$1</c:f>
              <c:strCache>
                <c:ptCount val="1"/>
                <c:pt idx="0">
                  <c:v>Optimal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CostsBenefits'!$H$71:$H$98</c:f>
              <c:numCache>
                <c:formatCode>General</c:formatCode>
                <c:ptCount val="28"/>
                <c:pt idx="13" formatCode="&quot;$&quot;#,##0.00_);[Red]\(&quot;$&quot;#,##0.00\)">
                  <c:v>27.847218892906103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AB8-4E5B-9826-91639B230F7E}"/>
            </c:ext>
          </c:extLst>
        </c:ser>
        <c:ser>
          <c:idx val="4"/>
          <c:order val="4"/>
          <c:tx>
            <c:strRef>
              <c:f>'Plotting Marginal CostsBenefits'!$I$1</c:f>
              <c:strCache>
                <c:ptCount val="1"/>
                <c:pt idx="0">
                  <c:v>Baseline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CostsBenefits'!$I$71:$I$98</c:f>
              <c:numCache>
                <c:formatCode>General</c:formatCode>
                <c:ptCount val="28"/>
                <c:pt idx="9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AB8-4E5B-9826-91639B230F7E}"/>
            </c:ext>
          </c:extLst>
        </c:ser>
        <c:ser>
          <c:idx val="5"/>
          <c:order val="5"/>
          <c:tx>
            <c:strRef>
              <c:f>'Plotting Marginal CostsBenefits'!$J$1</c:f>
              <c:strCache>
                <c:ptCount val="1"/>
                <c:pt idx="0">
                  <c:v>Innovation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CostsBenefits'!$J$71:$J$98</c:f>
              <c:numCache>
                <c:formatCode>General</c:formatCode>
                <c:ptCount val="28"/>
                <c:pt idx="19" formatCode="&quot;$&quot;#,##0.00_);[Red]\(&quot;$&quot;#,##0.00\)">
                  <c:v>5.0673328268512492</c:v>
                </c:pt>
                <c:pt idx="20" formatCode="&quot;$&quot;#,##0.00_);[Red]\(&quot;$&quot;#,##0.00\)">
                  <c:v>4.2773243685469495</c:v>
                </c:pt>
                <c:pt idx="21" formatCode="&quot;$&quot;#,##0.00_);[Red]\(&quot;$&quot;#,##0.00\)">
                  <c:v>14.1048743016727</c:v>
                </c:pt>
                <c:pt idx="22" formatCode="&quot;$&quot;#,##0.00_);[Red]\(&quot;$&quot;#,##0.00\)">
                  <c:v>6.3020903447309804</c:v>
                </c:pt>
                <c:pt idx="23" formatCode="&quot;$&quot;#,##0.00_);[Red]\(&quot;$&quot;#,##0.00\)">
                  <c:v>7.1335598014398505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AB8-4E5B-9826-91639B230F7E}"/>
            </c:ext>
          </c:extLst>
        </c:ser>
        <c:ser>
          <c:idx val="6"/>
          <c:order val="6"/>
          <c:tx>
            <c:strRef>
              <c:f>'Plotting Marginal CostsBenefits'!$K$1</c:f>
              <c:strCache>
                <c:ptCount val="1"/>
                <c:pt idx="0">
                  <c:v>Subsidy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CostsBenefits'!$K$71:$K$98</c:f>
              <c:numCache>
                <c:formatCode>General</c:formatCode>
                <c:ptCount val="28"/>
                <c:pt idx="14" formatCode="&quot;$&quot;#,##0.00_);[Red]\(&quot;$&quot;#,##0.00\)">
                  <c:v>9.6861108143464012</c:v>
                </c:pt>
                <c:pt idx="15" formatCode="&quot;$&quot;#,##0.00_);[Red]\(&quot;$&quot;#,##0.00\)">
                  <c:v>23.2048464252616</c:v>
                </c:pt>
                <c:pt idx="16" formatCode="&quot;$&quot;#,##0.00_);[Red]\(&quot;$&quot;#,##0.00\)">
                  <c:v>41.535203838220703</c:v>
                </c:pt>
                <c:pt idx="17" formatCode="&quot;$&quot;#,##0.00_);[Red]\(&quot;$&quot;#,##0.00\)">
                  <c:v>90.741464406757501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AB8-4E5B-9826-91639B230F7E}"/>
            </c:ext>
          </c:extLst>
        </c:ser>
        <c:ser>
          <c:idx val="7"/>
          <c:order val="7"/>
          <c:tx>
            <c:strRef>
              <c:f>'Plotting Marginal CostsBenefits'!$L$1</c:f>
              <c:strCache>
                <c:ptCount val="1"/>
                <c:pt idx="0">
                  <c:v>Procurement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CostsBenefits'!$L$71:$L$98</c:f>
              <c:numCache>
                <c:formatCode>General</c:formatCode>
                <c:ptCount val="28"/>
                <c:pt idx="24" formatCode="&quot;$&quot;#,##0.00_);[Red]\(&quot;$&quot;#,##0.00\)">
                  <c:v>0.81700285092435609</c:v>
                </c:pt>
                <c:pt idx="25" formatCode="&quot;$&quot;#,##0.00_);[Red]\(&quot;$&quot;#,##0.00\)">
                  <c:v>0.354460813324316</c:v>
                </c:pt>
                <c:pt idx="26" formatCode="&quot;$&quot;#,##0.00_);[Red]\(&quot;$&quot;#,##0.00\)">
                  <c:v>0.69201167725153201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AB8-4E5B-9826-91639B230F7E}"/>
            </c:ext>
          </c:extLst>
        </c:ser>
        <c:ser>
          <c:idx val="8"/>
          <c:order val="8"/>
          <c:tx>
            <c:strRef>
              <c:f>'Plotting Marginal CostsBenefits'!$M$1</c:f>
              <c:strCache>
                <c:ptCount val="1"/>
                <c:pt idx="0">
                  <c:v>Optimal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CostsBenefits'!$M$71:$M$98</c:f>
              <c:numCache>
                <c:formatCode>General</c:formatCode>
                <c:ptCount val="28"/>
                <c:pt idx="27" formatCode="&quot;$&quot;#,##0.00_);[Red]\(&quot;$&quot;#,##0.00\)">
                  <c:v>49.751588765194498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5AB8-4E5B-9826-91639B230F7E}"/>
            </c:ext>
          </c:extLst>
        </c:ser>
        <c:ser>
          <c:idx val="9"/>
          <c:order val="9"/>
          <c:tx>
            <c:strRef>
              <c:f>'Plotting Marginal CostsBenefits'!$N$1</c:f>
              <c:strCache>
                <c:ptCount val="1"/>
                <c:pt idx="0">
                  <c:v>Baseline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CostsBenefits'!$D$71:$D$98</c:f>
              <c:numCache>
                <c:formatCode>"$"#,##0.00_);[Red]\("$"#,##0.00\)</c:formatCode>
                <c:ptCount val="28"/>
                <c:pt idx="0">
                  <c:v>10.203174483434049</c:v>
                </c:pt>
                <c:pt idx="1">
                  <c:v>18.899450639673852</c:v>
                </c:pt>
                <c:pt idx="2">
                  <c:v>8.1479350694003507</c:v>
                </c:pt>
                <c:pt idx="3">
                  <c:v>37.966275643994955</c:v>
                </c:pt>
                <c:pt idx="4">
                  <c:v>3.5888208597516513</c:v>
                </c:pt>
                <c:pt idx="5">
                  <c:v>0.81423624224365088</c:v>
                </c:pt>
                <c:pt idx="6">
                  <c:v>3.9576675821073515</c:v>
                </c:pt>
                <c:pt idx="7">
                  <c:v>1.3515964489735506</c:v>
                </c:pt>
                <c:pt idx="8">
                  <c:v>2.2893718320445515</c:v>
                </c:pt>
                <c:pt idx="9">
                  <c:v>0</c:v>
                </c:pt>
                <c:pt idx="10">
                  <c:v>16.410750520843852</c:v>
                </c:pt>
                <c:pt idx="11">
                  <c:v>98.908904641411851</c:v>
                </c:pt>
                <c:pt idx="12">
                  <c:v>4.2883705311750511</c:v>
                </c:pt>
                <c:pt idx="13">
                  <c:v>19.04779606237355</c:v>
                </c:pt>
                <c:pt idx="14">
                  <c:v>16.925729540503301</c:v>
                </c:pt>
                <c:pt idx="15">
                  <c:v>38.662374986253099</c:v>
                </c:pt>
                <c:pt idx="16">
                  <c:v>13.708461255472802</c:v>
                </c:pt>
                <c:pt idx="17">
                  <c:v>78.332000371381497</c:v>
                </c:pt>
                <c:pt idx="18">
                  <c:v>0</c:v>
                </c:pt>
                <c:pt idx="19">
                  <c:v>3.820039274949</c:v>
                </c:pt>
                <c:pt idx="20">
                  <c:v>0.8344883380848005</c:v>
                </c:pt>
                <c:pt idx="21">
                  <c:v>4.0286001936125011</c:v>
                </c:pt>
                <c:pt idx="22">
                  <c:v>1.3812443078485013</c:v>
                </c:pt>
                <c:pt idx="23">
                  <c:v>2.3209136639806003</c:v>
                </c:pt>
                <c:pt idx="24">
                  <c:v>16.421397322411298</c:v>
                </c:pt>
                <c:pt idx="25">
                  <c:v>102.1177423380357</c:v>
                </c:pt>
                <c:pt idx="26">
                  <c:v>4.2940256378068007</c:v>
                </c:pt>
                <c:pt idx="27">
                  <c:v>17.341505146567602</c:v>
                </c:pt>
              </c:numCache>
            </c:numRef>
          </c:xVal>
          <c:yVal>
            <c:numRef>
              <c:f>'Plotting Marginal CostsBenefits'!$N$71:$N$98</c:f>
              <c:numCache>
                <c:formatCode>General</c:formatCode>
                <c:ptCount val="28"/>
                <c:pt idx="18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5AB8-4E5B-9826-91639B230F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  <c:max val="25"/>
          <c:min val="0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&quot;$&quot;#,##0_);[Red]\(&quot;$&quot;#,##0\)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200"/>
        <c:crossBetween val="midCat"/>
      </c:valAx>
      <c:valAx>
        <c:axId val="688359152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&quot;$&quot;#,##0" sourceLinked="0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2">
          <a:lumMod val="9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398616723931959"/>
          <c:y val="3.5891588464031364E-2"/>
          <c:w val="0.83992277852189623"/>
          <c:h val="0.86428893797207329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Mandate'!$E$31</c:f>
              <c:strCache>
                <c:ptCount val="1"/>
                <c:pt idx="0">
                  <c:v>Innovation Scenarios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Mandate'!$E$32:$E$58</c:f>
              <c:numCache>
                <c:formatCode>General</c:formatCode>
                <c:ptCount val="27"/>
                <c:pt idx="3">
                  <c:v>0.27657518865875208</c:v>
                </c:pt>
                <c:pt idx="4">
                  <c:v>0.9215502090713279</c:v>
                </c:pt>
                <c:pt idx="5">
                  <c:v>0.94967366043744428</c:v>
                </c:pt>
                <c:pt idx="6">
                  <c:v>0.97652041402801693</c:v>
                </c:pt>
                <c:pt idx="7">
                  <c:v>0.93865673606761379</c:v>
                </c:pt>
                <c:pt idx="15">
                  <c:v>1.5168971205588402</c:v>
                </c:pt>
                <c:pt idx="16">
                  <c:v>2.4135908453433994</c:v>
                </c:pt>
                <c:pt idx="17">
                  <c:v>0.84946898979441365</c:v>
                </c:pt>
                <c:pt idx="18">
                  <c:v>2.1835418404233824</c:v>
                </c:pt>
                <c:pt idx="19">
                  <c:v>1.950927275789899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B5-412D-B7FE-A27E6D86BF66}"/>
            </c:ext>
          </c:extLst>
        </c:ser>
        <c:ser>
          <c:idx val="1"/>
          <c:order val="1"/>
          <c:tx>
            <c:strRef>
              <c:f>'Net-Zero Mandate'!$F$31</c:f>
              <c:strCache>
                <c:ptCount val="1"/>
                <c:pt idx="0">
                  <c:v>Subsidy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Mandate'!$F$32:$F$58</c:f>
              <c:numCache>
                <c:formatCode>General</c:formatCode>
                <c:ptCount val="27"/>
                <c:pt idx="1">
                  <c:v>0.64785695536394483</c:v>
                </c:pt>
                <c:pt idx="2">
                  <c:v>2.2459408657409443E-3</c:v>
                </c:pt>
                <c:pt idx="12">
                  <c:v>2.2923311819484971</c:v>
                </c:pt>
                <c:pt idx="13">
                  <c:v>2.3877980534629502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B5-412D-B7FE-A27E6D86BF66}"/>
            </c:ext>
          </c:extLst>
        </c:ser>
        <c:ser>
          <c:idx val="2"/>
          <c:order val="2"/>
          <c:tx>
            <c:strRef>
              <c:f>'Net-Zero Mandate'!$G$31</c:f>
              <c:strCache>
                <c:ptCount val="1"/>
                <c:pt idx="0">
                  <c:v>Procurement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Mandate'!$G$32:$G$58</c:f>
              <c:numCache>
                <c:formatCode>General</c:formatCode>
                <c:ptCount val="27"/>
                <c:pt idx="9">
                  <c:v>1.4931934230901602</c:v>
                </c:pt>
                <c:pt idx="10">
                  <c:v>5.6634142557350327</c:v>
                </c:pt>
                <c:pt idx="11">
                  <c:v>1.176004777856402</c:v>
                </c:pt>
                <c:pt idx="20">
                  <c:v>3.5884223603825314</c:v>
                </c:pt>
                <c:pt idx="21">
                  <c:v>7.3663055742243611</c:v>
                </c:pt>
                <c:pt idx="22">
                  <c:v>3.341043929529071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EB5-412D-B7FE-A27E6D86BF66}"/>
            </c:ext>
          </c:extLst>
        </c:ser>
        <c:ser>
          <c:idx val="3"/>
          <c:order val="3"/>
          <c:tx>
            <c:strRef>
              <c:f>'Net-Zero Mandate'!$H$31</c:f>
              <c:strCache>
                <c:ptCount val="1"/>
                <c:pt idx="0">
                  <c:v>Optimal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9050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Mandate'!$H$32:$H$58</c:f>
              <c:numCache>
                <c:formatCode>General</c:formatCode>
                <c:ptCount val="27"/>
                <c:pt idx="25">
                  <c:v>-2.1509758877512724</c:v>
                </c:pt>
                <c:pt idx="26">
                  <c:v>2.4526831516616943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EB5-412D-B7FE-A27E6D86BF66}"/>
            </c:ext>
          </c:extLst>
        </c:ser>
        <c:ser>
          <c:idx val="4"/>
          <c:order val="4"/>
          <c:tx>
            <c:strRef>
              <c:f>'Net-Zero Mandate'!$I$31</c:f>
              <c:strCache>
                <c:ptCount val="1"/>
                <c:pt idx="0">
                  <c:v>Baseline Pathways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Mandate'!$I$32:$I$58</c:f>
              <c:numCache>
                <c:formatCode>General</c:formatCode>
                <c:ptCount val="27"/>
                <c:pt idx="8">
                  <c:v>1.5349199946093965</c:v>
                </c:pt>
                <c:pt idx="14">
                  <c:v>4.073413175736218</c:v>
                </c:pt>
                <c:pt idx="23">
                  <c:v>3.3410490344405526</c:v>
                </c:pt>
                <c:pt idx="24">
                  <c:v>4.778714292207316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EB5-412D-B7FE-A27E6D86BF66}"/>
            </c:ext>
          </c:extLst>
        </c:ser>
        <c:ser>
          <c:idx val="5"/>
          <c:order val="5"/>
          <c:tx>
            <c:strRef>
              <c:f>'Net-Zero Mandate'!$J$31</c:f>
              <c:strCache>
                <c:ptCount val="1"/>
                <c:pt idx="0">
                  <c:v>Efficient Pathway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9050">
                <a:solidFill>
                  <a:schemeClr val="accent6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Mandate'!$J$32:$J$58</c:f>
              <c:numCache>
                <c:formatCode>General</c:formatCode>
                <c:ptCount val="27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36-407F-94DA-4FE9742D9C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40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NPV Ratio</a:t>
                </a:r>
                <a:r>
                  <a:rPr lang="en-US" sz="14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as</a:t>
                </a:r>
                <a:r>
                  <a:rPr lang="en-US" sz="140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Snapshot of CDR Prices in 2050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2">
                      <a:lumMod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4"/>
        <c:crossBetween val="midCat"/>
      </c:valAx>
      <c:valAx>
        <c:axId val="68835915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NPV Ratio to Most Efficient Pathway (%)</a:t>
                </a:r>
              </a:p>
            </c:rich>
          </c:tx>
          <c:layout>
            <c:manualLayout>
              <c:xMode val="edge"/>
              <c:yMode val="edge"/>
              <c:x val="2.5312701902139308E-2"/>
              <c:y val="0.146093880804715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3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0312921934495736"/>
          <c:y val="2.1410654902386739E-2"/>
          <c:w val="0.35847707433483322"/>
          <c:h val="0.29509347654156204"/>
        </c:manualLayout>
      </c:layout>
      <c:overlay val="0"/>
      <c:spPr>
        <a:solidFill>
          <a:schemeClr val="bg1">
            <a:alpha val="50000"/>
          </a:schemeClr>
        </a:solidFill>
        <a:ln>
          <a:solidFill>
            <a:schemeClr val="bg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398616723931959"/>
          <c:y val="3.5891588464031364E-2"/>
          <c:w val="0.83992277852189623"/>
          <c:h val="0.86428893797207329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Mandate'!$E$31</c:f>
              <c:strCache>
                <c:ptCount val="1"/>
                <c:pt idx="0">
                  <c:v>Innovation Scenarios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Mandate'!$E$32:$E$58</c:f>
              <c:numCache>
                <c:formatCode>General</c:formatCode>
                <c:ptCount val="27"/>
                <c:pt idx="3">
                  <c:v>0.27657518865875208</c:v>
                </c:pt>
                <c:pt idx="4">
                  <c:v>0.9215502090713279</c:v>
                </c:pt>
                <c:pt idx="5">
                  <c:v>0.94967366043744428</c:v>
                </c:pt>
                <c:pt idx="6">
                  <c:v>0.97652041402801693</c:v>
                </c:pt>
                <c:pt idx="7">
                  <c:v>0.93865673606761379</c:v>
                </c:pt>
                <c:pt idx="15">
                  <c:v>1.5168971205588402</c:v>
                </c:pt>
                <c:pt idx="16">
                  <c:v>2.4135908453433994</c:v>
                </c:pt>
                <c:pt idx="17">
                  <c:v>0.84946898979441365</c:v>
                </c:pt>
                <c:pt idx="18">
                  <c:v>2.1835418404233824</c:v>
                </c:pt>
                <c:pt idx="19">
                  <c:v>1.950927275789899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69-4630-A422-526D25E52A1C}"/>
            </c:ext>
          </c:extLst>
        </c:ser>
        <c:ser>
          <c:idx val="1"/>
          <c:order val="1"/>
          <c:tx>
            <c:strRef>
              <c:f>'Net-Zero Mandate'!$F$31</c:f>
              <c:strCache>
                <c:ptCount val="1"/>
                <c:pt idx="0">
                  <c:v>Subsidy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Mandate'!$F$32:$F$58</c:f>
              <c:numCache>
                <c:formatCode>General</c:formatCode>
                <c:ptCount val="27"/>
                <c:pt idx="1">
                  <c:v>0.64785695536394483</c:v>
                </c:pt>
                <c:pt idx="2">
                  <c:v>2.2459408657409443E-3</c:v>
                </c:pt>
                <c:pt idx="12">
                  <c:v>2.2923311819484971</c:v>
                </c:pt>
                <c:pt idx="13">
                  <c:v>2.3877980534629502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69-4630-A422-526D25E52A1C}"/>
            </c:ext>
          </c:extLst>
        </c:ser>
        <c:ser>
          <c:idx val="2"/>
          <c:order val="2"/>
          <c:tx>
            <c:strRef>
              <c:f>'Net-Zero Mandate'!$G$31</c:f>
              <c:strCache>
                <c:ptCount val="1"/>
                <c:pt idx="0">
                  <c:v>Procurement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Mandate'!$G$32:$G$58</c:f>
              <c:numCache>
                <c:formatCode>General</c:formatCode>
                <c:ptCount val="27"/>
                <c:pt idx="9">
                  <c:v>1.4931934230901602</c:v>
                </c:pt>
                <c:pt idx="10">
                  <c:v>5.6634142557350327</c:v>
                </c:pt>
                <c:pt idx="11">
                  <c:v>1.176004777856402</c:v>
                </c:pt>
                <c:pt idx="20">
                  <c:v>3.5884223603825314</c:v>
                </c:pt>
                <c:pt idx="21">
                  <c:v>7.3663055742243611</c:v>
                </c:pt>
                <c:pt idx="22">
                  <c:v>3.341043929529071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B69-4630-A422-526D25E52A1C}"/>
            </c:ext>
          </c:extLst>
        </c:ser>
        <c:ser>
          <c:idx val="3"/>
          <c:order val="3"/>
          <c:tx>
            <c:strRef>
              <c:f>'Net-Zero Mandate'!$H$31</c:f>
              <c:strCache>
                <c:ptCount val="1"/>
                <c:pt idx="0">
                  <c:v>Optimal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9050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Mandate'!$H$32:$H$58</c:f>
              <c:numCache>
                <c:formatCode>General</c:formatCode>
                <c:ptCount val="27"/>
                <c:pt idx="25">
                  <c:v>-2.1509758877512724</c:v>
                </c:pt>
                <c:pt idx="26">
                  <c:v>2.4526831516616943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B69-4630-A422-526D25E52A1C}"/>
            </c:ext>
          </c:extLst>
        </c:ser>
        <c:ser>
          <c:idx val="4"/>
          <c:order val="4"/>
          <c:tx>
            <c:strRef>
              <c:f>'Net-Zero Mandate'!$I$31</c:f>
              <c:strCache>
                <c:ptCount val="1"/>
                <c:pt idx="0">
                  <c:v>Baseline Pathways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Mandate'!$I$32:$I$58</c:f>
              <c:numCache>
                <c:formatCode>General</c:formatCode>
                <c:ptCount val="27"/>
                <c:pt idx="8">
                  <c:v>1.5349199946093965</c:v>
                </c:pt>
                <c:pt idx="14">
                  <c:v>4.073413175736218</c:v>
                </c:pt>
                <c:pt idx="23">
                  <c:v>3.3410490344405526</c:v>
                </c:pt>
                <c:pt idx="24">
                  <c:v>4.778714292207316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B69-4630-A422-526D25E52A1C}"/>
            </c:ext>
          </c:extLst>
        </c:ser>
        <c:ser>
          <c:idx val="5"/>
          <c:order val="5"/>
          <c:tx>
            <c:strRef>
              <c:f>'Net-Zero Mandate'!$J$31</c:f>
              <c:strCache>
                <c:ptCount val="1"/>
                <c:pt idx="0">
                  <c:v>Efficient Pathway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9050">
                <a:solidFill>
                  <a:schemeClr val="accent6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Mandate'!$J$32:$J$58</c:f>
              <c:numCache>
                <c:formatCode>General</c:formatCode>
                <c:ptCount val="27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B69-4630-A422-526D25E52A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  <c:max val="2"/>
          <c:min val="-6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4"/>
        <c:crossBetween val="midCat"/>
      </c:valAx>
      <c:valAx>
        <c:axId val="688359152"/>
        <c:scaling>
          <c:orientation val="minMax"/>
          <c:max val="4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398616723931959"/>
          <c:y val="3.5891588464031364E-2"/>
          <c:w val="0.83992277852189623"/>
          <c:h val="0.86428893797207329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Mandate'!$E$31</c:f>
              <c:strCache>
                <c:ptCount val="1"/>
                <c:pt idx="0">
                  <c:v>Innovation Scenarios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Mandate'!$E$61:$E$87</c:f>
              <c:numCache>
                <c:formatCode>General</c:formatCode>
                <c:ptCount val="27"/>
                <c:pt idx="3" formatCode="0.00">
                  <c:v>0.64724767761331869</c:v>
                </c:pt>
                <c:pt idx="4" formatCode="0.00">
                  <c:v>1.3577275897072081</c:v>
                </c:pt>
                <c:pt idx="5" formatCode="0.00">
                  <c:v>2.3153381298881297</c:v>
                </c:pt>
                <c:pt idx="6" formatCode="0.00">
                  <c:v>1.6348546043849213</c:v>
                </c:pt>
                <c:pt idx="7" formatCode="0.00">
                  <c:v>1.6529080927729902</c:v>
                </c:pt>
                <c:pt idx="15" formatCode="0.00">
                  <c:v>2.1220956593986737</c:v>
                </c:pt>
                <c:pt idx="16" formatCode="0.00">
                  <c:v>3.0824499174664326</c:v>
                </c:pt>
                <c:pt idx="17" formatCode="0.00">
                  <c:v>2.9048414488544982</c:v>
                </c:pt>
                <c:pt idx="18" formatCode="0.00">
                  <c:v>3.1400272434202559</c:v>
                </c:pt>
                <c:pt idx="19" formatCode="0.00">
                  <c:v>3.0444641251640361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A63-4DD8-ABE7-3D78BE972182}"/>
            </c:ext>
          </c:extLst>
        </c:ser>
        <c:ser>
          <c:idx val="1"/>
          <c:order val="1"/>
          <c:tx>
            <c:strRef>
              <c:f>'Net-Zero Mandate'!$F$31</c:f>
              <c:strCache>
                <c:ptCount val="1"/>
                <c:pt idx="0">
                  <c:v>Subsidy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Mandate'!$F$61:$F$87</c:f>
              <c:numCache>
                <c:formatCode>0.00</c:formatCode>
                <c:ptCount val="27"/>
                <c:pt idx="1">
                  <c:v>0.98599472057171911</c:v>
                </c:pt>
                <c:pt idx="2">
                  <c:v>0.44448412606722876</c:v>
                </c:pt>
                <c:pt idx="12">
                  <c:v>2.5637816421080228</c:v>
                </c:pt>
                <c:pt idx="13">
                  <c:v>2.8356658504593448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A63-4DD8-ABE7-3D78BE972182}"/>
            </c:ext>
          </c:extLst>
        </c:ser>
        <c:ser>
          <c:idx val="2"/>
          <c:order val="2"/>
          <c:tx>
            <c:strRef>
              <c:f>'Net-Zero Mandate'!$G$31</c:f>
              <c:strCache>
                <c:ptCount val="1"/>
                <c:pt idx="0">
                  <c:v>Procurement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Mandate'!$G$61:$G$87</c:f>
              <c:numCache>
                <c:formatCode>General</c:formatCode>
                <c:ptCount val="27"/>
                <c:pt idx="9" formatCode="0.00">
                  <c:v>2.5994756304123183</c:v>
                </c:pt>
                <c:pt idx="10" formatCode="0.00">
                  <c:v>8.3515011746760219</c:v>
                </c:pt>
                <c:pt idx="11" formatCode="0.00">
                  <c:v>1.5468320344764317</c:v>
                </c:pt>
                <c:pt idx="20" formatCode="0.00">
                  <c:v>4.7171586472895424</c:v>
                </c:pt>
                <c:pt idx="21" formatCode="0.00">
                  <c:v>10.029059099755278</c:v>
                </c:pt>
                <c:pt idx="22" formatCode="0.00">
                  <c:v>3.8789631751289115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A63-4DD8-ABE7-3D78BE972182}"/>
            </c:ext>
          </c:extLst>
        </c:ser>
        <c:ser>
          <c:idx val="3"/>
          <c:order val="3"/>
          <c:tx>
            <c:strRef>
              <c:f>'Net-Zero Mandate'!$H$31</c:f>
              <c:strCache>
                <c:ptCount val="1"/>
                <c:pt idx="0">
                  <c:v>Optimal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9050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Mandate'!$H$61:$H$87</c:f>
              <c:numCache>
                <c:formatCode>General</c:formatCode>
                <c:ptCount val="27"/>
                <c:pt idx="25" formatCode="0.00">
                  <c:v>-3.4159600524698353</c:v>
                </c:pt>
                <c:pt idx="26" formatCode="0.00">
                  <c:v>6.0516224069731308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A63-4DD8-ABE7-3D78BE972182}"/>
            </c:ext>
          </c:extLst>
        </c:ser>
        <c:ser>
          <c:idx val="4"/>
          <c:order val="4"/>
          <c:tx>
            <c:strRef>
              <c:f>'Net-Zero Mandate'!$I$31</c:f>
              <c:strCache>
                <c:ptCount val="1"/>
                <c:pt idx="0">
                  <c:v>Baseline Pathways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Mandate'!$I$61:$I$87</c:f>
              <c:numCache>
                <c:formatCode>General</c:formatCode>
                <c:ptCount val="27"/>
                <c:pt idx="8" formatCode="0.00">
                  <c:v>1.5453796931733457</c:v>
                </c:pt>
                <c:pt idx="14" formatCode="0.00">
                  <c:v>4.0706852143436585</c:v>
                </c:pt>
                <c:pt idx="23" formatCode="0.00">
                  <c:v>4.3174474451754374</c:v>
                </c:pt>
                <c:pt idx="24" formatCode="0.00">
                  <c:v>5.0029688506972843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A63-4DD8-ABE7-3D78BE972182}"/>
            </c:ext>
          </c:extLst>
        </c:ser>
        <c:ser>
          <c:idx val="5"/>
          <c:order val="5"/>
          <c:tx>
            <c:strRef>
              <c:f>'Net-Zero Mandate'!$J$31</c:f>
              <c:strCache>
                <c:ptCount val="1"/>
                <c:pt idx="0">
                  <c:v>Efficient Pathway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9050">
                <a:solidFill>
                  <a:schemeClr val="accent6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Mandate'!$J$61:$J$87</c:f>
              <c:numCache>
                <c:formatCode>General</c:formatCode>
                <c:ptCount val="27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A63-4DD8-ABE7-3D78BE9721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40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NPV Ratio</a:t>
                </a:r>
                <a:r>
                  <a:rPr lang="en-US" sz="14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as</a:t>
                </a:r>
                <a:r>
                  <a:rPr lang="en-US" sz="140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Snapshot of CDR Prices in 2050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2">
                      <a:lumMod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6"/>
        <c:crossBetween val="midCat"/>
      </c:valAx>
      <c:valAx>
        <c:axId val="68835915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NPV Ratio to Most Efficient Pathway (%)</a:t>
                </a:r>
              </a:p>
            </c:rich>
          </c:tx>
          <c:layout>
            <c:manualLayout>
              <c:xMode val="edge"/>
              <c:yMode val="edge"/>
              <c:x val="2.5312701902139308E-2"/>
              <c:y val="0.146093880804715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3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1909728178313508"/>
          <c:y val="3.6349962494887894E-2"/>
          <c:w val="0.35847707433483322"/>
          <c:h val="0.29509347654156204"/>
        </c:manualLayout>
      </c:layout>
      <c:overlay val="0"/>
      <c:spPr>
        <a:solidFill>
          <a:schemeClr val="bg1">
            <a:alpha val="50000"/>
          </a:schemeClr>
        </a:solidFill>
        <a:ln>
          <a:solidFill>
            <a:schemeClr val="bg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0644283478551695E-2"/>
          <c:y val="3.5891588464031364E-2"/>
          <c:w val="0.88326466228266431"/>
          <c:h val="0.90894903735571908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Mandate'!$E$31</c:f>
              <c:strCache>
                <c:ptCount val="1"/>
                <c:pt idx="0">
                  <c:v>Innovation Scenarios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Mandate'!$E$61:$E$87</c:f>
              <c:numCache>
                <c:formatCode>General</c:formatCode>
                <c:ptCount val="27"/>
                <c:pt idx="3" formatCode="0.00">
                  <c:v>0.64724767761331869</c:v>
                </c:pt>
                <c:pt idx="4" formatCode="0.00">
                  <c:v>1.3577275897072081</c:v>
                </c:pt>
                <c:pt idx="5" formatCode="0.00">
                  <c:v>2.3153381298881297</c:v>
                </c:pt>
                <c:pt idx="6" formatCode="0.00">
                  <c:v>1.6348546043849213</c:v>
                </c:pt>
                <c:pt idx="7" formatCode="0.00">
                  <c:v>1.6529080927729902</c:v>
                </c:pt>
                <c:pt idx="15" formatCode="0.00">
                  <c:v>2.1220956593986737</c:v>
                </c:pt>
                <c:pt idx="16" formatCode="0.00">
                  <c:v>3.0824499174664326</c:v>
                </c:pt>
                <c:pt idx="17" formatCode="0.00">
                  <c:v>2.9048414488544982</c:v>
                </c:pt>
                <c:pt idx="18" formatCode="0.00">
                  <c:v>3.1400272434202559</c:v>
                </c:pt>
                <c:pt idx="19" formatCode="0.00">
                  <c:v>3.0444641251640361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A8-4728-8741-439E240FC25B}"/>
            </c:ext>
          </c:extLst>
        </c:ser>
        <c:ser>
          <c:idx val="1"/>
          <c:order val="1"/>
          <c:tx>
            <c:strRef>
              <c:f>'Net-Zero Mandate'!$F$31</c:f>
              <c:strCache>
                <c:ptCount val="1"/>
                <c:pt idx="0">
                  <c:v>Subsidy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Mandate'!$F$61:$F$87</c:f>
              <c:numCache>
                <c:formatCode>0.00</c:formatCode>
                <c:ptCount val="27"/>
                <c:pt idx="1">
                  <c:v>0.98599472057171911</c:v>
                </c:pt>
                <c:pt idx="2">
                  <c:v>0.44448412606722876</c:v>
                </c:pt>
                <c:pt idx="12">
                  <c:v>2.5637816421080228</c:v>
                </c:pt>
                <c:pt idx="13">
                  <c:v>2.8356658504593448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A8-4728-8741-439E240FC25B}"/>
            </c:ext>
          </c:extLst>
        </c:ser>
        <c:ser>
          <c:idx val="2"/>
          <c:order val="2"/>
          <c:tx>
            <c:strRef>
              <c:f>'Net-Zero Mandate'!$G$31</c:f>
              <c:strCache>
                <c:ptCount val="1"/>
                <c:pt idx="0">
                  <c:v>Procurement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Mandate'!$G$61:$G$87</c:f>
              <c:numCache>
                <c:formatCode>General</c:formatCode>
                <c:ptCount val="27"/>
                <c:pt idx="9" formatCode="0.00">
                  <c:v>2.5994756304123183</c:v>
                </c:pt>
                <c:pt idx="10" formatCode="0.00">
                  <c:v>8.3515011746760219</c:v>
                </c:pt>
                <c:pt idx="11" formatCode="0.00">
                  <c:v>1.5468320344764317</c:v>
                </c:pt>
                <c:pt idx="20" formatCode="0.00">
                  <c:v>4.7171586472895424</c:v>
                </c:pt>
                <c:pt idx="21" formatCode="0.00">
                  <c:v>10.029059099755278</c:v>
                </c:pt>
                <c:pt idx="22" formatCode="0.00">
                  <c:v>3.8789631751289115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6A8-4728-8741-439E240FC25B}"/>
            </c:ext>
          </c:extLst>
        </c:ser>
        <c:ser>
          <c:idx val="3"/>
          <c:order val="3"/>
          <c:tx>
            <c:strRef>
              <c:f>'Net-Zero Mandate'!$H$31</c:f>
              <c:strCache>
                <c:ptCount val="1"/>
                <c:pt idx="0">
                  <c:v>Optimal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9050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Mandate'!$H$61:$H$87</c:f>
              <c:numCache>
                <c:formatCode>General</c:formatCode>
                <c:ptCount val="27"/>
                <c:pt idx="25" formatCode="0.00">
                  <c:v>-3.4159600524698353</c:v>
                </c:pt>
                <c:pt idx="26" formatCode="0.00">
                  <c:v>6.0516224069731308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6A8-4728-8741-439E240FC25B}"/>
            </c:ext>
          </c:extLst>
        </c:ser>
        <c:ser>
          <c:idx val="4"/>
          <c:order val="4"/>
          <c:tx>
            <c:strRef>
              <c:f>'Net-Zero Mandate'!$I$31</c:f>
              <c:strCache>
                <c:ptCount val="1"/>
                <c:pt idx="0">
                  <c:v>Baseline Pathways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Mandate'!$I$61:$I$87</c:f>
              <c:numCache>
                <c:formatCode>General</c:formatCode>
                <c:ptCount val="27"/>
                <c:pt idx="8" formatCode="0.00">
                  <c:v>1.5453796931733457</c:v>
                </c:pt>
                <c:pt idx="14" formatCode="0.00">
                  <c:v>4.0706852143436585</c:v>
                </c:pt>
                <c:pt idx="23" formatCode="0.00">
                  <c:v>4.3174474451754374</c:v>
                </c:pt>
                <c:pt idx="24" formatCode="0.00">
                  <c:v>5.0029688506972843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6A8-4728-8741-439E240FC25B}"/>
            </c:ext>
          </c:extLst>
        </c:ser>
        <c:ser>
          <c:idx val="5"/>
          <c:order val="5"/>
          <c:tx>
            <c:strRef>
              <c:f>'Net-Zero Mandate'!$J$31</c:f>
              <c:strCache>
                <c:ptCount val="1"/>
                <c:pt idx="0">
                  <c:v>Efficient Pathway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9050">
                <a:solidFill>
                  <a:schemeClr val="accent6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Mandate'!$J$61:$J$87</c:f>
              <c:numCache>
                <c:formatCode>General</c:formatCode>
                <c:ptCount val="27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6A8-4728-8741-439E240FC2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  <c:max val="3"/>
          <c:min val="-5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6"/>
        <c:crossBetween val="midCat"/>
      </c:valAx>
      <c:valAx>
        <c:axId val="688359152"/>
        <c:scaling>
          <c:orientation val="minMax"/>
          <c:max val="5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3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398616723931959"/>
          <c:y val="3.5891588464031364E-2"/>
          <c:w val="0.83992277852189623"/>
          <c:h val="0.86428893797207329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Mandate'!$E$31</c:f>
              <c:strCache>
                <c:ptCount val="1"/>
                <c:pt idx="0">
                  <c:v>Innovation Scenarios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Mandate'!$E$90:$E$116</c:f>
              <c:numCache>
                <c:formatCode>General</c:formatCode>
                <c:ptCount val="27"/>
                <c:pt idx="3" formatCode="0.00">
                  <c:v>1.0932573496051559</c:v>
                </c:pt>
                <c:pt idx="4" formatCode="0.00">
                  <c:v>1.6946076320487724</c:v>
                </c:pt>
                <c:pt idx="5" formatCode="0.00">
                  <c:v>3.2502144071938046</c:v>
                </c:pt>
                <c:pt idx="6" formatCode="0.00">
                  <c:v>2.1049050122513044</c:v>
                </c:pt>
                <c:pt idx="7" formatCode="0.00">
                  <c:v>2.2091624983315339</c:v>
                </c:pt>
                <c:pt idx="15" formatCode="0.00">
                  <c:v>2.693095733872942</c:v>
                </c:pt>
                <c:pt idx="16" formatCode="0.00">
                  <c:v>3.5163830940418412</c:v>
                </c:pt>
                <c:pt idx="17" formatCode="0.00">
                  <c:v>4.2476127361252409</c:v>
                </c:pt>
                <c:pt idx="18" formatCode="0.00">
                  <c:v>3.7562358691096911</c:v>
                </c:pt>
                <c:pt idx="19" formatCode="0.00">
                  <c:v>3.7941739897941655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32F-4014-A1E1-C3D25F694256}"/>
            </c:ext>
          </c:extLst>
        </c:ser>
        <c:ser>
          <c:idx val="1"/>
          <c:order val="1"/>
          <c:tx>
            <c:strRef>
              <c:f>'Net-Zero Mandate'!$F$31</c:f>
              <c:strCache>
                <c:ptCount val="1"/>
                <c:pt idx="0">
                  <c:v>Subsidy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Mandate'!$F$90:$F$116</c:f>
              <c:numCache>
                <c:formatCode>0.00</c:formatCode>
                <c:ptCount val="27"/>
                <c:pt idx="1">
                  <c:v>1.3438885594409384</c:v>
                </c:pt>
                <c:pt idx="2">
                  <c:v>0.84723170018844907</c:v>
                </c:pt>
                <c:pt idx="12">
                  <c:v>2.9242921759498324</c:v>
                </c:pt>
                <c:pt idx="13">
                  <c:v>3.2080184026842988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32F-4014-A1E1-C3D25F694256}"/>
            </c:ext>
          </c:extLst>
        </c:ser>
        <c:ser>
          <c:idx val="2"/>
          <c:order val="2"/>
          <c:tx>
            <c:strRef>
              <c:f>'Net-Zero Mandate'!$G$31</c:f>
              <c:strCache>
                <c:ptCount val="1"/>
                <c:pt idx="0">
                  <c:v>Procurement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Mandate'!$G$90:$G$116</c:f>
              <c:numCache>
                <c:formatCode>General</c:formatCode>
                <c:ptCount val="27"/>
                <c:pt idx="9" formatCode="0.00">
                  <c:v>4.0670809313292864</c:v>
                </c:pt>
                <c:pt idx="10" formatCode="0.00">
                  <c:v>10.956263412283258</c:v>
                </c:pt>
                <c:pt idx="11" formatCode="0.00">
                  <c:v>1.9108299722709272</c:v>
                </c:pt>
                <c:pt idx="20" formatCode="0.00">
                  <c:v>6.1482838611335504</c:v>
                </c:pt>
                <c:pt idx="21" formatCode="0.00">
                  <c:v>12.663601837356222</c:v>
                </c:pt>
                <c:pt idx="22" formatCode="0.00">
                  <c:v>4.293953690244436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32F-4014-A1E1-C3D25F694256}"/>
            </c:ext>
          </c:extLst>
        </c:ser>
        <c:ser>
          <c:idx val="3"/>
          <c:order val="3"/>
          <c:tx>
            <c:strRef>
              <c:f>'Net-Zero Mandate'!$H$31</c:f>
              <c:strCache>
                <c:ptCount val="1"/>
                <c:pt idx="0">
                  <c:v>Optimal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9050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Mandate'!$H$90:$H$116</c:f>
              <c:numCache>
                <c:formatCode>General</c:formatCode>
                <c:ptCount val="27"/>
                <c:pt idx="25" formatCode="0.00">
                  <c:v>-4.1388574181998177</c:v>
                </c:pt>
                <c:pt idx="26">
                  <c:v>7.6155443923701611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32F-4014-A1E1-C3D25F694256}"/>
            </c:ext>
          </c:extLst>
        </c:ser>
        <c:ser>
          <c:idx val="4"/>
          <c:order val="4"/>
          <c:tx>
            <c:strRef>
              <c:f>'Net-Zero Mandate'!$I$31</c:f>
              <c:strCache>
                <c:ptCount val="1"/>
                <c:pt idx="0">
                  <c:v>Baseline Pathways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Mandate'!$I$90:$I$116</c:f>
              <c:numCache>
                <c:formatCode>General</c:formatCode>
                <c:ptCount val="27"/>
                <c:pt idx="8" formatCode="0.00">
                  <c:v>1.5827998282841693</c:v>
                </c:pt>
                <c:pt idx="14" formatCode="0.00">
                  <c:v>4.0371470003985861</c:v>
                </c:pt>
                <c:pt idx="23" formatCode="0.00">
                  <c:v>4.7441533574965318</c:v>
                </c:pt>
                <c:pt idx="24" formatCode="0.00">
                  <c:v>5.4960134486937662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32F-4014-A1E1-C3D25F694256}"/>
            </c:ext>
          </c:extLst>
        </c:ser>
        <c:ser>
          <c:idx val="5"/>
          <c:order val="5"/>
          <c:tx>
            <c:strRef>
              <c:f>'Net-Zero Mandate'!$J$31</c:f>
              <c:strCache>
                <c:ptCount val="1"/>
                <c:pt idx="0">
                  <c:v>Efficient Pathway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9050">
                <a:solidFill>
                  <a:schemeClr val="accent6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Mandate'!$J$90:$J$116</c:f>
              <c:numCache>
                <c:formatCode>General</c:formatCode>
                <c:ptCount val="27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32F-4014-A1E1-C3D25F6942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40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NPV Ratio</a:t>
                </a:r>
                <a:r>
                  <a:rPr lang="en-US" sz="14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as</a:t>
                </a:r>
                <a:r>
                  <a:rPr lang="en-US" sz="140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Snapshot of CDR Prices in 2050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2">
                      <a:lumMod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6"/>
        <c:crossBetween val="midCat"/>
      </c:valAx>
      <c:valAx>
        <c:axId val="68835915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NPV Ratio to Most Efficient Pathway (%)</a:t>
                </a:r>
              </a:p>
            </c:rich>
          </c:tx>
          <c:layout>
            <c:manualLayout>
              <c:xMode val="edge"/>
              <c:yMode val="edge"/>
              <c:x val="2.5312701902139308E-2"/>
              <c:y val="0.146093880804715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3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1909728178313508"/>
          <c:y val="3.6349962494887894E-2"/>
          <c:w val="0.35847707433483322"/>
          <c:h val="0.29509347654156204"/>
        </c:manualLayout>
      </c:layout>
      <c:overlay val="0"/>
      <c:spPr>
        <a:solidFill>
          <a:schemeClr val="bg1">
            <a:alpha val="50000"/>
          </a:schemeClr>
        </a:solidFill>
        <a:ln>
          <a:solidFill>
            <a:schemeClr val="bg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6081979924786658E-2"/>
          <c:y val="3.5891588464031364E-2"/>
          <c:w val="0.88782696583642939"/>
          <c:h val="0.89914732235457606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Mandate'!$E$31</c:f>
              <c:strCache>
                <c:ptCount val="1"/>
                <c:pt idx="0">
                  <c:v>Innovation Scenarios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Mandate'!$E$90:$E$116</c:f>
              <c:numCache>
                <c:formatCode>General</c:formatCode>
                <c:ptCount val="27"/>
                <c:pt idx="3" formatCode="0.00">
                  <c:v>1.0932573496051559</c:v>
                </c:pt>
                <c:pt idx="4" formatCode="0.00">
                  <c:v>1.6946076320487724</c:v>
                </c:pt>
                <c:pt idx="5" formatCode="0.00">
                  <c:v>3.2502144071938046</c:v>
                </c:pt>
                <c:pt idx="6" formatCode="0.00">
                  <c:v>2.1049050122513044</c:v>
                </c:pt>
                <c:pt idx="7" formatCode="0.00">
                  <c:v>2.2091624983315339</c:v>
                </c:pt>
                <c:pt idx="15" formatCode="0.00">
                  <c:v>2.693095733872942</c:v>
                </c:pt>
                <c:pt idx="16" formatCode="0.00">
                  <c:v>3.5163830940418412</c:v>
                </c:pt>
                <c:pt idx="17" formatCode="0.00">
                  <c:v>4.2476127361252409</c:v>
                </c:pt>
                <c:pt idx="18" formatCode="0.00">
                  <c:v>3.7562358691096911</c:v>
                </c:pt>
                <c:pt idx="19" formatCode="0.00">
                  <c:v>3.7941739897941655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F8-4E1A-A795-4BF49B2488CA}"/>
            </c:ext>
          </c:extLst>
        </c:ser>
        <c:ser>
          <c:idx val="1"/>
          <c:order val="1"/>
          <c:tx>
            <c:strRef>
              <c:f>'Net-Zero Mandate'!$F$31</c:f>
              <c:strCache>
                <c:ptCount val="1"/>
                <c:pt idx="0">
                  <c:v>Subsidy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Mandate'!$F$90:$F$116</c:f>
              <c:numCache>
                <c:formatCode>0.00</c:formatCode>
                <c:ptCount val="27"/>
                <c:pt idx="1">
                  <c:v>1.3438885594409384</c:v>
                </c:pt>
                <c:pt idx="2">
                  <c:v>0.84723170018844907</c:v>
                </c:pt>
                <c:pt idx="12">
                  <c:v>2.9242921759498324</c:v>
                </c:pt>
                <c:pt idx="13">
                  <c:v>3.2080184026842988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0F8-4E1A-A795-4BF49B2488CA}"/>
            </c:ext>
          </c:extLst>
        </c:ser>
        <c:ser>
          <c:idx val="2"/>
          <c:order val="2"/>
          <c:tx>
            <c:strRef>
              <c:f>'Net-Zero Mandate'!$G$31</c:f>
              <c:strCache>
                <c:ptCount val="1"/>
                <c:pt idx="0">
                  <c:v>Procurement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Mandate'!$G$90:$G$116</c:f>
              <c:numCache>
                <c:formatCode>General</c:formatCode>
                <c:ptCount val="27"/>
                <c:pt idx="9" formatCode="0.00">
                  <c:v>4.0670809313292864</c:v>
                </c:pt>
                <c:pt idx="10" formatCode="0.00">
                  <c:v>10.956263412283258</c:v>
                </c:pt>
                <c:pt idx="11" formatCode="0.00">
                  <c:v>1.9108299722709272</c:v>
                </c:pt>
                <c:pt idx="20" formatCode="0.00">
                  <c:v>6.1482838611335504</c:v>
                </c:pt>
                <c:pt idx="21" formatCode="0.00">
                  <c:v>12.663601837356222</c:v>
                </c:pt>
                <c:pt idx="22" formatCode="0.00">
                  <c:v>4.293953690244436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0F8-4E1A-A795-4BF49B2488CA}"/>
            </c:ext>
          </c:extLst>
        </c:ser>
        <c:ser>
          <c:idx val="3"/>
          <c:order val="3"/>
          <c:tx>
            <c:strRef>
              <c:f>'Net-Zero Mandate'!$H$31</c:f>
              <c:strCache>
                <c:ptCount val="1"/>
                <c:pt idx="0">
                  <c:v>Optimal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9050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Mandate'!$H$90:$H$116</c:f>
              <c:numCache>
                <c:formatCode>General</c:formatCode>
                <c:ptCount val="27"/>
                <c:pt idx="25" formatCode="0.00">
                  <c:v>-4.1388574181998177</c:v>
                </c:pt>
                <c:pt idx="26">
                  <c:v>7.6155443923701611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0F8-4E1A-A795-4BF49B2488CA}"/>
            </c:ext>
          </c:extLst>
        </c:ser>
        <c:ser>
          <c:idx val="4"/>
          <c:order val="4"/>
          <c:tx>
            <c:strRef>
              <c:f>'Net-Zero Mandate'!$I$31</c:f>
              <c:strCache>
                <c:ptCount val="1"/>
                <c:pt idx="0">
                  <c:v>Baseline Pathways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Mandate'!$I$90:$I$116</c:f>
              <c:numCache>
                <c:formatCode>General</c:formatCode>
                <c:ptCount val="27"/>
                <c:pt idx="8" formatCode="0.00">
                  <c:v>1.5827998282841693</c:v>
                </c:pt>
                <c:pt idx="14" formatCode="0.00">
                  <c:v>4.0371470003985861</c:v>
                </c:pt>
                <c:pt idx="23" formatCode="0.00">
                  <c:v>4.7441533574965318</c:v>
                </c:pt>
                <c:pt idx="24" formatCode="0.00">
                  <c:v>5.4960134486937662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0F8-4E1A-A795-4BF49B2488CA}"/>
            </c:ext>
          </c:extLst>
        </c:ser>
        <c:ser>
          <c:idx val="5"/>
          <c:order val="5"/>
          <c:tx>
            <c:strRef>
              <c:f>'Net-Zero Mandate'!$J$31</c:f>
              <c:strCache>
                <c:ptCount val="1"/>
                <c:pt idx="0">
                  <c:v>Efficient Pathway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9050">
                <a:solidFill>
                  <a:schemeClr val="accent6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Mandate'!$J$90:$J$116</c:f>
              <c:numCache>
                <c:formatCode>General</c:formatCode>
                <c:ptCount val="27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0F8-4E1A-A795-4BF49B248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  <c:max val="3"/>
          <c:min val="-3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6"/>
        <c:crossBetween val="midCat"/>
      </c:valAx>
      <c:valAx>
        <c:axId val="688359152"/>
        <c:scaling>
          <c:orientation val="minMax"/>
          <c:max val="5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3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  <cx:data id="1">
      <cx:strDim type="cat">
        <cx:f>_xlchart.v1.0</cx:f>
      </cx:strDim>
      <cx:numDim type="val">
        <cx:f>_xlchart.v1.4</cx:f>
      </cx:numDim>
    </cx:data>
    <cx:data id="2">
      <cx:strDim type="cat">
        <cx:f>_xlchart.v1.0</cx:f>
      </cx:strDim>
      <cx:numDim type="val">
        <cx:f>_xlchart.v1.6</cx:f>
      </cx:numDim>
    </cx:data>
    <cx:data id="3">
      <cx:strDim type="cat">
        <cx:f>_xlchart.v1.0</cx:f>
      </cx:strDim>
      <cx:numDim type="val">
        <cx:f>_xlchart.v1.8</cx:f>
      </cx:numDim>
    </cx:data>
  </cx:chartData>
  <cx:chart>
    <cx:plotArea>
      <cx:plotAreaRegion>
        <cx:series layoutId="boxWhisker" uniqueId="{D7DDA11E-BB64-49A4-92FD-2B8AA1488A96}">
          <cx:tx>
            <cx:txData>
              <cx:f>_xlchart.v1.1</cx:f>
              <cx:v>2% discount rate</cx:v>
            </cx:txData>
          </cx:tx>
          <cx:dataId val="0"/>
          <cx:layoutPr>
            <cx:statistics quartileMethod="exclusive"/>
          </cx:layoutPr>
        </cx:series>
        <cx:series layoutId="boxWhisker" uniqueId="{BB2DC20C-048A-490D-AB65-11229C93ACF2}">
          <cx:tx>
            <cx:txData>
              <cx:f>_xlchart.v1.3</cx:f>
              <cx:v>12% discount rate</cx:v>
            </cx:txData>
          </cx:tx>
          <cx:dataId val="1"/>
          <cx:layoutPr>
            <cx:statistics quartileMethod="exclusive"/>
          </cx:layoutPr>
        </cx:series>
        <cx:series layoutId="boxWhisker" uniqueId="{14FA6E2F-A765-43AD-9556-AF6C2D89BCF9}">
          <cx:tx>
            <cx:txData>
              <cx:f>_xlchart.v1.5</cx:f>
              <cx:v>20% discount rate</cx:v>
            </cx:txData>
          </cx:tx>
          <cx:dataId val="2"/>
          <cx:layoutPr>
            <cx:statistics quartileMethod="exclusive"/>
          </cx:layoutPr>
        </cx:series>
        <cx:series layoutId="boxWhisker" uniqueId="{4D230C2F-DE91-4B48-8F0B-69AF37FBC6D6}">
          <cx:tx>
            <cx:txData>
              <cx:f>_xlchart.v1.7</cx:f>
              <cx:v>As snapshot of CDR prices in 2050</cx:v>
            </cx:txData>
          </cx:tx>
          <cx:dataId val="3"/>
          <cx:layoutPr>
            <cx:statistics quartileMethod="exclusive"/>
          </cx:layoutPr>
        </cx:series>
      </cx:plotAreaRegion>
      <cx:axis id="0">
        <cx:catScaling gapWidth="0.349999994"/>
        <cx:title>
          <cx:tx>
            <cx:rich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40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ea typeface="Arial" panose="020B0604020202020204" pitchFamily="34" charset="0"/>
                    <a:cs typeface="Arial" panose="020B0604020202020204" pitchFamily="34" charset="0"/>
                  </a:defRPr>
                </a:pPr>
                <a:r>
                  <a:rPr lang="en-US" sz="16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CDR Supply in 2050</a:t>
                </a:r>
                <a:endParaRPr lang="en-US" sz="1400" b="0" i="0" u="none" strike="noStrike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x:rich>
          </cx:tx>
        </cx:title>
        <cx:majorTickMarks type="in"/>
        <cx:tickLabels/>
        <cx:spPr>
          <a:ln>
            <a:solidFill>
              <a:schemeClr val="bg2">
                <a:lumMod val="25000"/>
              </a:schemeClr>
            </a:solidFill>
          </a:ln>
        </cx:spPr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300">
                <a:solidFill>
                  <a:schemeClr val="tx1">
                    <a:lumMod val="85000"/>
                    <a:lumOff val="15000"/>
                  </a:schemeClr>
                </a:solidFill>
                <a:latin typeface="Arial" panose="020B0604020202020204" pitchFamily="34" charset="0"/>
                <a:ea typeface="Arial" panose="020B0604020202020204" pitchFamily="34" charset="0"/>
                <a:cs typeface="Arial" panose="020B0604020202020204" pitchFamily="34" charset="0"/>
              </a:defRPr>
            </a:pPr>
            <a:endParaRPr lang="en-US" sz="1300" b="0" i="0" u="none" strike="noStrike" baseline="0">
              <a:solidFill>
                <a:schemeClr val="tx1">
                  <a:lumMod val="85000"/>
                  <a:lumOff val="15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x:txPr>
      </cx:axis>
      <cx:axis id="1">
        <cx:valScaling min="-5"/>
        <cx:title>
          <cx:tx>
            <cx:txData>
              <cx:v>NPV Ratio to Most Efficient Pathway (%)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500">
                  <a:solidFill>
                    <a:schemeClr val="tx1">
                      <a:lumMod val="85000"/>
                      <a:lumOff val="15000"/>
                    </a:schemeClr>
                  </a:solidFill>
                  <a:latin typeface="Arial" panose="020B0604020202020204" pitchFamily="34" charset="0"/>
                  <a:ea typeface="Arial" panose="020B0604020202020204" pitchFamily="34" charset="0"/>
                  <a:cs typeface="Arial" panose="020B0604020202020204" pitchFamily="34" charset="0"/>
                </a:defRPr>
              </a:pPr>
              <a:r>
                <a:rPr lang="en-US" sz="1500" b="0" i="0" u="none" strike="noStrike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NPV Ratio to Most Efficient Pathway (%)</a:t>
              </a:r>
            </a:p>
          </cx:txPr>
        </cx:title>
        <cx:majorGridlines>
          <cx:spPr>
            <a:ln>
              <a:noFill/>
            </a:ln>
          </cx:spPr>
        </cx:majorGridlines>
        <cx:majorTickMarks type="in"/>
        <cx:tickLabels/>
        <cx:spPr>
          <a:ln>
            <a:solidFill>
              <a:schemeClr val="bg2">
                <a:lumMod val="25000"/>
              </a:schemeClr>
            </a:solidFill>
          </a:ln>
        </cx:spPr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300">
                <a:solidFill>
                  <a:schemeClr val="tx1">
                    <a:lumMod val="85000"/>
                    <a:lumOff val="15000"/>
                  </a:schemeClr>
                </a:solidFill>
                <a:latin typeface="Arial" panose="020B0604020202020204" pitchFamily="34" charset="0"/>
                <a:ea typeface="Arial" panose="020B0604020202020204" pitchFamily="34" charset="0"/>
                <a:cs typeface="Arial" panose="020B0604020202020204" pitchFamily="34" charset="0"/>
              </a:defRPr>
            </a:pPr>
            <a:endParaRPr lang="en-US" sz="1300" b="0" i="0" u="none" strike="noStrike" baseline="0">
              <a:solidFill>
                <a:schemeClr val="tx1">
                  <a:lumMod val="85000"/>
                  <a:lumOff val="15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x:txPr>
      </cx:axis>
    </cx:plotArea>
    <cx:legend pos="t" align="ctr" overlay="1">
      <cx:spPr>
        <a:ln>
          <a:solidFill>
            <a:schemeClr val="bg2"/>
          </a:solidFill>
        </a:ln>
      </cx:spPr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200">
              <a:solidFill>
                <a:schemeClr val="tx1">
                  <a:lumMod val="85000"/>
                  <a:lumOff val="15000"/>
                </a:schemeClr>
              </a:solidFill>
              <a:latin typeface="Arial" panose="020B0604020202020204" pitchFamily="34" charset="0"/>
              <a:ea typeface="Arial" panose="020B0604020202020204" pitchFamily="34" charset="0"/>
              <a:cs typeface="Arial" panose="020B0604020202020204" pitchFamily="34" charset="0"/>
            </a:defRPr>
          </a:pPr>
          <a:endParaRPr lang="en-US" sz="1200" b="0" i="0" u="none" strike="noStrike" baseline="0">
            <a:solidFill>
              <a:schemeClr val="tx1">
                <a:lumMod val="85000"/>
                <a:lumOff val="15000"/>
              </a:schemeClr>
            </a:solidFill>
            <a:latin typeface="Arial" panose="020B0604020202020204" pitchFamily="34" charset="0"/>
            <a:cs typeface="Arial" panose="020B0604020202020204" pitchFamily="34" charset="0"/>
          </a:endParaRPr>
        </a:p>
      </cx:txPr>
    </cx:legend>
  </cx:chart>
  <cx:spPr>
    <a:ln>
      <a:noFill/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microsoft.com/office/2014/relationships/chartEx" Target="../charts/chartEx1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152400</xdr:colOff>
      <xdr:row>4</xdr:row>
      <xdr:rowOff>142875</xdr:rowOff>
    </xdr:from>
    <xdr:to>
      <xdr:col>17</xdr:col>
      <xdr:colOff>238125</xdr:colOff>
      <xdr:row>31</xdr:row>
      <xdr:rowOff>100013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590213B-0A6F-407F-B98B-2CFEF45206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273051</xdr:colOff>
      <xdr:row>21</xdr:row>
      <xdr:rowOff>152400</xdr:rowOff>
    </xdr:from>
    <xdr:to>
      <xdr:col>12</xdr:col>
      <xdr:colOff>561975</xdr:colOff>
      <xdr:row>25</xdr:row>
      <xdr:rowOff>88900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B12183F5-6FCC-493B-8F23-6404C755CE5A}"/>
            </a:ext>
          </a:extLst>
        </xdr:cNvPr>
        <xdr:cNvSpPr/>
      </xdr:nvSpPr>
      <xdr:spPr>
        <a:xfrm>
          <a:off x="9864726" y="4152900"/>
          <a:ext cx="288924" cy="698500"/>
        </a:xfrm>
        <a:prstGeom prst="rect">
          <a:avLst/>
        </a:prstGeom>
        <a:noFill/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285750</xdr:colOff>
      <xdr:row>13</xdr:row>
      <xdr:rowOff>47625</xdr:rowOff>
    </xdr:from>
    <xdr:to>
      <xdr:col>14</xdr:col>
      <xdr:colOff>381000</xdr:colOff>
      <xdr:row>21</xdr:row>
      <xdr:rowOff>152400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C79FCDF6-E576-49A3-A8D8-01E70741D384}"/>
            </a:ext>
          </a:extLst>
        </xdr:cNvPr>
        <xdr:cNvCxnSpPr/>
      </xdr:nvCxnSpPr>
      <xdr:spPr>
        <a:xfrm flipV="1">
          <a:off x="9877425" y="2524125"/>
          <a:ext cx="1314450" cy="1628775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581025</xdr:colOff>
      <xdr:row>24</xdr:row>
      <xdr:rowOff>47625</xdr:rowOff>
    </xdr:from>
    <xdr:to>
      <xdr:col>17</xdr:col>
      <xdr:colOff>228600</xdr:colOff>
      <xdr:row>25</xdr:row>
      <xdr:rowOff>85725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7378C693-7BA7-49EE-8892-35B191A54B32}"/>
            </a:ext>
          </a:extLst>
        </xdr:cNvPr>
        <xdr:cNvCxnSpPr/>
      </xdr:nvCxnSpPr>
      <xdr:spPr>
        <a:xfrm flipV="1">
          <a:off x="10172700" y="4619625"/>
          <a:ext cx="2695575" cy="228600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200025</xdr:colOff>
      <xdr:row>56</xdr:row>
      <xdr:rowOff>85724</xdr:rowOff>
    </xdr:from>
    <xdr:to>
      <xdr:col>17</xdr:col>
      <xdr:colOff>352425</xdr:colOff>
      <xdr:row>58</xdr:row>
      <xdr:rowOff>88899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34BAEF0D-6E87-4702-BDFB-748D3DB48D27}"/>
            </a:ext>
          </a:extLst>
        </xdr:cNvPr>
        <xdr:cNvSpPr/>
      </xdr:nvSpPr>
      <xdr:spPr>
        <a:xfrm>
          <a:off x="12839700" y="10753724"/>
          <a:ext cx="152400" cy="384175"/>
        </a:xfrm>
        <a:prstGeom prst="rect">
          <a:avLst/>
        </a:prstGeom>
        <a:noFill/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17</xdr:col>
      <xdr:colOff>190500</xdr:colOff>
      <xdr:row>44</xdr:row>
      <xdr:rowOff>107156</xdr:rowOff>
    </xdr:from>
    <xdr:to>
      <xdr:col>19</xdr:col>
      <xdr:colOff>529828</xdr:colOff>
      <xdr:row>56</xdr:row>
      <xdr:rowOff>77391</xdr:rowOff>
    </xdr:to>
    <xdr:cxnSp macro="">
      <xdr:nvCxnSpPr>
        <xdr:cNvPr id="17" name="Straight Connector 16">
          <a:extLst>
            <a:ext uri="{FF2B5EF4-FFF2-40B4-BE49-F238E27FC236}">
              <a16:creationId xmlns:a16="http://schemas.microsoft.com/office/drawing/2014/main" id="{9430A3B3-6D57-4A8A-B720-FAEBEBF8849D}"/>
            </a:ext>
          </a:extLst>
        </xdr:cNvPr>
        <xdr:cNvCxnSpPr/>
      </xdr:nvCxnSpPr>
      <xdr:spPr>
        <a:xfrm flipV="1">
          <a:off x="12823031" y="8489156"/>
          <a:ext cx="1553766" cy="2256235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352425</xdr:colOff>
      <xdr:row>56</xdr:row>
      <xdr:rowOff>9525</xdr:rowOff>
    </xdr:from>
    <xdr:to>
      <xdr:col>22</xdr:col>
      <xdr:colOff>28575</xdr:colOff>
      <xdr:row>58</xdr:row>
      <xdr:rowOff>95250</xdr:rowOff>
    </xdr:to>
    <xdr:cxnSp macro="">
      <xdr:nvCxnSpPr>
        <xdr:cNvPr id="18" name="Straight Connector 17">
          <a:extLst>
            <a:ext uri="{FF2B5EF4-FFF2-40B4-BE49-F238E27FC236}">
              <a16:creationId xmlns:a16="http://schemas.microsoft.com/office/drawing/2014/main" id="{06FD42DC-7275-4956-83A1-5D19D8B8F4E3}"/>
            </a:ext>
          </a:extLst>
        </xdr:cNvPr>
        <xdr:cNvCxnSpPr/>
      </xdr:nvCxnSpPr>
      <xdr:spPr>
        <a:xfrm flipV="1">
          <a:off x="12992100" y="10677525"/>
          <a:ext cx="2724150" cy="466725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400050</xdr:colOff>
      <xdr:row>96</xdr:row>
      <xdr:rowOff>57150</xdr:rowOff>
    </xdr:from>
    <xdr:to>
      <xdr:col>14</xdr:col>
      <xdr:colOff>133350</xdr:colOff>
      <xdr:row>98</xdr:row>
      <xdr:rowOff>165100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C81A950B-2894-4924-B123-2F1C5999A02B}"/>
            </a:ext>
          </a:extLst>
        </xdr:cNvPr>
        <xdr:cNvSpPr/>
      </xdr:nvSpPr>
      <xdr:spPr>
        <a:xfrm>
          <a:off x="10607675" y="11296650"/>
          <a:ext cx="336550" cy="488950"/>
        </a:xfrm>
        <a:prstGeom prst="rect">
          <a:avLst/>
        </a:prstGeom>
        <a:noFill/>
        <a:ln>
          <a:solidFill>
            <a:schemeClr val="bg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13</xdr:col>
      <xdr:colOff>403224</xdr:colOff>
      <xdr:row>77</xdr:row>
      <xdr:rowOff>57150</xdr:rowOff>
    </xdr:from>
    <xdr:to>
      <xdr:col>14</xdr:col>
      <xdr:colOff>0</xdr:colOff>
      <xdr:row>95</xdr:row>
      <xdr:rowOff>9525</xdr:rowOff>
    </xdr:to>
    <xdr:cxnSp macro="">
      <xdr:nvCxnSpPr>
        <xdr:cNvPr id="10" name="Straight Connector 9">
          <a:extLst>
            <a:ext uri="{FF2B5EF4-FFF2-40B4-BE49-F238E27FC236}">
              <a16:creationId xmlns:a16="http://schemas.microsoft.com/office/drawing/2014/main" id="{C6FE2FF0-62E4-4E72-B9BE-823A5DB4940B}"/>
            </a:ext>
          </a:extLst>
        </xdr:cNvPr>
        <xdr:cNvCxnSpPr/>
      </xdr:nvCxnSpPr>
      <xdr:spPr>
        <a:xfrm flipV="1">
          <a:off x="10610849" y="7677150"/>
          <a:ext cx="200026" cy="3381375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395657</xdr:colOff>
      <xdr:row>13</xdr:row>
      <xdr:rowOff>36635</xdr:rowOff>
    </xdr:from>
    <xdr:to>
      <xdr:col>17</xdr:col>
      <xdr:colOff>219809</xdr:colOff>
      <xdr:row>24</xdr:row>
      <xdr:rowOff>58616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44AF586F-1868-4FE9-BC65-1E77084420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0</xdr:colOff>
      <xdr:row>36</xdr:row>
      <xdr:rowOff>0</xdr:rowOff>
    </xdr:from>
    <xdr:to>
      <xdr:col>23</xdr:col>
      <xdr:colOff>202955</xdr:colOff>
      <xdr:row>62</xdr:row>
      <xdr:rowOff>147638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D9B858B9-986A-44DA-9C6B-CED8E957C5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517072</xdr:colOff>
      <xdr:row>46</xdr:row>
      <xdr:rowOff>95249</xdr:rowOff>
    </xdr:from>
    <xdr:to>
      <xdr:col>23</xdr:col>
      <xdr:colOff>163286</xdr:colOff>
      <xdr:row>57</xdr:row>
      <xdr:rowOff>11566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44048F74-9372-473E-BCFD-3BF4D3EC8E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204107</xdr:colOff>
      <xdr:row>55</xdr:row>
      <xdr:rowOff>68036</xdr:rowOff>
    </xdr:from>
    <xdr:to>
      <xdr:col>18</xdr:col>
      <xdr:colOff>353786</xdr:colOff>
      <xdr:row>57</xdr:row>
      <xdr:rowOff>122918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40316EAC-847A-415A-A25F-49BAC988ABCA}"/>
            </a:ext>
          </a:extLst>
        </xdr:cNvPr>
        <xdr:cNvSpPr/>
      </xdr:nvSpPr>
      <xdr:spPr>
        <a:xfrm>
          <a:off x="13811250" y="10545536"/>
          <a:ext cx="149679" cy="435882"/>
        </a:xfrm>
        <a:prstGeom prst="rect">
          <a:avLst/>
        </a:prstGeom>
        <a:noFill/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18</xdr:col>
      <xdr:colOff>190500</xdr:colOff>
      <xdr:row>46</xdr:row>
      <xdr:rowOff>122464</xdr:rowOff>
    </xdr:from>
    <xdr:to>
      <xdr:col>20</xdr:col>
      <xdr:colOff>503464</xdr:colOff>
      <xdr:row>55</xdr:row>
      <xdr:rowOff>81643</xdr:rowOff>
    </xdr:to>
    <xdr:cxnSp macro="">
      <xdr:nvCxnSpPr>
        <xdr:cNvPr id="39" name="Straight Connector 38">
          <a:extLst>
            <a:ext uri="{FF2B5EF4-FFF2-40B4-BE49-F238E27FC236}">
              <a16:creationId xmlns:a16="http://schemas.microsoft.com/office/drawing/2014/main" id="{3E0D71B4-82F2-46F5-B6CE-69ED0EBA4D6F}"/>
            </a:ext>
          </a:extLst>
        </xdr:cNvPr>
        <xdr:cNvCxnSpPr/>
      </xdr:nvCxnSpPr>
      <xdr:spPr>
        <a:xfrm flipV="1">
          <a:off x="13797643" y="8885464"/>
          <a:ext cx="1537607" cy="1673679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326571</xdr:colOff>
      <xdr:row>57</xdr:row>
      <xdr:rowOff>13607</xdr:rowOff>
    </xdr:from>
    <xdr:to>
      <xdr:col>23</xdr:col>
      <xdr:colOff>136071</xdr:colOff>
      <xdr:row>57</xdr:row>
      <xdr:rowOff>136071</xdr:rowOff>
    </xdr:to>
    <xdr:cxnSp macro="">
      <xdr:nvCxnSpPr>
        <xdr:cNvPr id="40" name="Straight Connector 39">
          <a:extLst>
            <a:ext uri="{FF2B5EF4-FFF2-40B4-BE49-F238E27FC236}">
              <a16:creationId xmlns:a16="http://schemas.microsoft.com/office/drawing/2014/main" id="{2AB2B8B4-34B9-4187-8768-E9F46156ED64}"/>
            </a:ext>
          </a:extLst>
        </xdr:cNvPr>
        <xdr:cNvCxnSpPr/>
      </xdr:nvCxnSpPr>
      <xdr:spPr>
        <a:xfrm flipV="1">
          <a:off x="13933714" y="10872107"/>
          <a:ext cx="2871107" cy="122464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0</xdr:colOff>
      <xdr:row>70</xdr:row>
      <xdr:rowOff>0</xdr:rowOff>
    </xdr:from>
    <xdr:to>
      <xdr:col>24</xdr:col>
      <xdr:colOff>202956</xdr:colOff>
      <xdr:row>96</xdr:row>
      <xdr:rowOff>147638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2B376FE9-EAA7-43C3-BBA5-989DEEB73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571500</xdr:colOff>
      <xdr:row>78</xdr:row>
      <xdr:rowOff>190499</xdr:rowOff>
    </xdr:from>
    <xdr:to>
      <xdr:col>24</xdr:col>
      <xdr:colOff>81643</xdr:colOff>
      <xdr:row>92</xdr:row>
      <xdr:rowOff>38780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C43E9C5A-B9F8-4243-8646-5BB6B53B0F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19</xdr:col>
      <xdr:colOff>97972</xdr:colOff>
      <xdr:row>91</xdr:row>
      <xdr:rowOff>54429</xdr:rowOff>
    </xdr:from>
    <xdr:to>
      <xdr:col>19</xdr:col>
      <xdr:colOff>557893</xdr:colOff>
      <xdr:row>93</xdr:row>
      <xdr:rowOff>152854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63349856-FA0F-4B8D-A0C4-93BA4D382DE3}"/>
            </a:ext>
          </a:extLst>
        </xdr:cNvPr>
        <xdr:cNvSpPr/>
      </xdr:nvSpPr>
      <xdr:spPr>
        <a:xfrm>
          <a:off x="14317436" y="17389929"/>
          <a:ext cx="459921" cy="479425"/>
        </a:xfrm>
        <a:prstGeom prst="rect">
          <a:avLst/>
        </a:prstGeom>
        <a:noFill/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19</xdr:col>
      <xdr:colOff>122465</xdr:colOff>
      <xdr:row>79</xdr:row>
      <xdr:rowOff>13607</xdr:rowOff>
    </xdr:from>
    <xdr:to>
      <xdr:col>20</xdr:col>
      <xdr:colOff>571500</xdr:colOff>
      <xdr:row>91</xdr:row>
      <xdr:rowOff>54429</xdr:rowOff>
    </xdr:to>
    <xdr:cxnSp macro="">
      <xdr:nvCxnSpPr>
        <xdr:cNvPr id="50" name="Straight Connector 49">
          <a:extLst>
            <a:ext uri="{FF2B5EF4-FFF2-40B4-BE49-F238E27FC236}">
              <a16:creationId xmlns:a16="http://schemas.microsoft.com/office/drawing/2014/main" id="{E1CAFB71-88DE-499B-A2D2-379C567FFBAB}"/>
            </a:ext>
          </a:extLst>
        </xdr:cNvPr>
        <xdr:cNvCxnSpPr/>
      </xdr:nvCxnSpPr>
      <xdr:spPr>
        <a:xfrm flipV="1">
          <a:off x="14341929" y="15063107"/>
          <a:ext cx="1061357" cy="2326822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557893</xdr:colOff>
      <xdr:row>92</xdr:row>
      <xdr:rowOff>54429</xdr:rowOff>
    </xdr:from>
    <xdr:to>
      <xdr:col>24</xdr:col>
      <xdr:colOff>68036</xdr:colOff>
      <xdr:row>93</xdr:row>
      <xdr:rowOff>149679</xdr:rowOff>
    </xdr:to>
    <xdr:cxnSp macro="">
      <xdr:nvCxnSpPr>
        <xdr:cNvPr id="51" name="Straight Connector 50">
          <a:extLst>
            <a:ext uri="{FF2B5EF4-FFF2-40B4-BE49-F238E27FC236}">
              <a16:creationId xmlns:a16="http://schemas.microsoft.com/office/drawing/2014/main" id="{5857976B-07D0-4BA5-A2DD-7CF8EDC10C28}"/>
            </a:ext>
          </a:extLst>
        </xdr:cNvPr>
        <xdr:cNvCxnSpPr/>
      </xdr:nvCxnSpPr>
      <xdr:spPr>
        <a:xfrm flipV="1">
          <a:off x="14777357" y="17580429"/>
          <a:ext cx="2571750" cy="285750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495300</xdr:colOff>
      <xdr:row>20</xdr:row>
      <xdr:rowOff>47094</xdr:rowOff>
    </xdr:from>
    <xdr:to>
      <xdr:col>28</xdr:col>
      <xdr:colOff>582083</xdr:colOff>
      <xdr:row>47</xdr:row>
      <xdr:rowOff>42333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98AEC7E0-D0A5-1096-0DCB-A2DB2DA0628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983575" y="3857094"/>
              <a:ext cx="5573183" cy="51387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9</xdr:col>
      <xdr:colOff>204786</xdr:colOff>
      <xdr:row>31</xdr:row>
      <xdr:rowOff>42862</xdr:rowOff>
    </xdr:from>
    <xdr:to>
      <xdr:col>18</xdr:col>
      <xdr:colOff>247649</xdr:colOff>
      <xdr:row>58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4D9ACEC-3FD7-7289-6819-79EF3D17B1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476250</xdr:colOff>
      <xdr:row>41</xdr:row>
      <xdr:rowOff>10583</xdr:rowOff>
    </xdr:from>
    <xdr:to>
      <xdr:col>18</xdr:col>
      <xdr:colOff>31751</xdr:colOff>
      <xdr:row>54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1A4F01B-9784-46C6-810D-201E64F05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179917</xdr:colOff>
      <xdr:row>40</xdr:row>
      <xdr:rowOff>31750</xdr:rowOff>
    </xdr:from>
    <xdr:to>
      <xdr:col>13</xdr:col>
      <xdr:colOff>0</xdr:colOff>
      <xdr:row>47</xdr:row>
      <xdr:rowOff>158750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5BB506B7-834F-F352-0FDC-BC3237071A4B}"/>
            </a:ext>
          </a:extLst>
        </xdr:cNvPr>
        <xdr:cNvSpPr/>
      </xdr:nvSpPr>
      <xdr:spPr>
        <a:xfrm>
          <a:off x="15811500" y="7651750"/>
          <a:ext cx="1047750" cy="1460500"/>
        </a:xfrm>
        <a:prstGeom prst="rect">
          <a:avLst/>
        </a:prstGeom>
        <a:noFill/>
        <a:ln>
          <a:solidFill>
            <a:schemeClr val="bg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13</xdr:col>
      <xdr:colOff>10583</xdr:colOff>
      <xdr:row>40</xdr:row>
      <xdr:rowOff>31750</xdr:rowOff>
    </xdr:from>
    <xdr:to>
      <xdr:col>18</xdr:col>
      <xdr:colOff>31750</xdr:colOff>
      <xdr:row>41</xdr:row>
      <xdr:rowOff>10583</xdr:rowOff>
    </xdr:to>
    <xdr:cxnSp macro="">
      <xdr:nvCxnSpPr>
        <xdr:cNvPr id="14" name="Straight Connector 13">
          <a:extLst>
            <a:ext uri="{FF2B5EF4-FFF2-40B4-BE49-F238E27FC236}">
              <a16:creationId xmlns:a16="http://schemas.microsoft.com/office/drawing/2014/main" id="{2DA94ACC-BD50-587B-9E76-ED4043D005CD}"/>
            </a:ext>
          </a:extLst>
        </xdr:cNvPr>
        <xdr:cNvCxnSpPr/>
      </xdr:nvCxnSpPr>
      <xdr:spPr>
        <a:xfrm>
          <a:off x="16869833" y="7651750"/>
          <a:ext cx="3090334" cy="169333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190500</xdr:colOff>
      <xdr:row>47</xdr:row>
      <xdr:rowOff>158750</xdr:rowOff>
    </xdr:from>
    <xdr:to>
      <xdr:col>13</xdr:col>
      <xdr:colOff>486833</xdr:colOff>
      <xdr:row>54</xdr:row>
      <xdr:rowOff>0</xdr:rowOff>
    </xdr:to>
    <xdr:cxnSp macro="">
      <xdr:nvCxnSpPr>
        <xdr:cNvPr id="15" name="Straight Connector 14">
          <a:extLst>
            <a:ext uri="{FF2B5EF4-FFF2-40B4-BE49-F238E27FC236}">
              <a16:creationId xmlns:a16="http://schemas.microsoft.com/office/drawing/2014/main" id="{E09AAA52-6562-4915-AC84-D7872AEAEB9C}"/>
            </a:ext>
          </a:extLst>
        </xdr:cNvPr>
        <xdr:cNvCxnSpPr/>
      </xdr:nvCxnSpPr>
      <xdr:spPr>
        <a:xfrm>
          <a:off x="15822083" y="9112250"/>
          <a:ext cx="1524000" cy="1174750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0</xdr:colOff>
      <xdr:row>63</xdr:row>
      <xdr:rowOff>0</xdr:rowOff>
    </xdr:from>
    <xdr:to>
      <xdr:col>23</xdr:col>
      <xdr:colOff>42863</xdr:colOff>
      <xdr:row>89</xdr:row>
      <xdr:rowOff>147638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31269C7-99C6-4FE5-9808-FFD3E90AB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264582</xdr:colOff>
      <xdr:row>74</xdr:row>
      <xdr:rowOff>169333</xdr:rowOff>
    </xdr:from>
    <xdr:to>
      <xdr:col>22</xdr:col>
      <xdr:colOff>497416</xdr:colOff>
      <xdr:row>86</xdr:row>
      <xdr:rowOff>31221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0642DC2-3796-4314-9A70-833AD3506F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120650</xdr:colOff>
      <xdr:row>73</xdr:row>
      <xdr:rowOff>14816</xdr:rowOff>
    </xdr:from>
    <xdr:to>
      <xdr:col>17</xdr:col>
      <xdr:colOff>554567</xdr:colOff>
      <xdr:row>79</xdr:row>
      <xdr:rowOff>127000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0C81D1C6-39F0-4DB8-AF77-764EB5C223DA}"/>
            </a:ext>
          </a:extLst>
        </xdr:cNvPr>
        <xdr:cNvSpPr/>
      </xdr:nvSpPr>
      <xdr:spPr>
        <a:xfrm>
          <a:off x="18821400" y="13921316"/>
          <a:ext cx="1047750" cy="1255184"/>
        </a:xfrm>
        <a:prstGeom prst="rect">
          <a:avLst/>
        </a:prstGeom>
        <a:noFill/>
        <a:ln>
          <a:solidFill>
            <a:schemeClr val="bg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17</xdr:col>
      <xdr:colOff>565150</xdr:colOff>
      <xdr:row>73</xdr:row>
      <xdr:rowOff>14816</xdr:rowOff>
    </xdr:from>
    <xdr:to>
      <xdr:col>22</xdr:col>
      <xdr:colOff>486833</xdr:colOff>
      <xdr:row>74</xdr:row>
      <xdr:rowOff>179917</xdr:rowOff>
    </xdr:to>
    <xdr:cxnSp macro="">
      <xdr:nvCxnSpPr>
        <xdr:cNvPr id="13" name="Straight Connector 12">
          <a:extLst>
            <a:ext uri="{FF2B5EF4-FFF2-40B4-BE49-F238E27FC236}">
              <a16:creationId xmlns:a16="http://schemas.microsoft.com/office/drawing/2014/main" id="{8C3F2A69-8D80-4528-B297-906CB3E8F706}"/>
            </a:ext>
          </a:extLst>
        </xdr:cNvPr>
        <xdr:cNvCxnSpPr/>
      </xdr:nvCxnSpPr>
      <xdr:spPr>
        <a:xfrm>
          <a:off x="19879733" y="13921316"/>
          <a:ext cx="2990850" cy="355601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127000</xdr:colOff>
      <xdr:row>79</xdr:row>
      <xdr:rowOff>116417</xdr:rowOff>
    </xdr:from>
    <xdr:to>
      <xdr:col>18</xdr:col>
      <xdr:colOff>264583</xdr:colOff>
      <xdr:row>86</xdr:row>
      <xdr:rowOff>31750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742F93A0-3EA9-4A86-A815-559F9B8B86DD}"/>
            </a:ext>
          </a:extLst>
        </xdr:cNvPr>
        <xdr:cNvCxnSpPr/>
      </xdr:nvCxnSpPr>
      <xdr:spPr>
        <a:xfrm>
          <a:off x="18827750" y="15165917"/>
          <a:ext cx="1365250" cy="1248833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232833</xdr:colOff>
      <xdr:row>90</xdr:row>
      <xdr:rowOff>74083</xdr:rowOff>
    </xdr:from>
    <xdr:to>
      <xdr:col>22</xdr:col>
      <xdr:colOff>275696</xdr:colOff>
      <xdr:row>117</xdr:row>
      <xdr:rowOff>31221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D1155679-B632-483C-81DD-7DB228A5CA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17</xdr:col>
      <xdr:colOff>603250</xdr:colOff>
      <xdr:row>102</xdr:row>
      <xdr:rowOff>137583</xdr:rowOff>
    </xdr:from>
    <xdr:to>
      <xdr:col>22</xdr:col>
      <xdr:colOff>64031</xdr:colOff>
      <xdr:row>113</xdr:row>
      <xdr:rowOff>41804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4511A368-0FBC-4D8D-A8BB-068496D76F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16</xdr:col>
      <xdr:colOff>31749</xdr:colOff>
      <xdr:row>102</xdr:row>
      <xdr:rowOff>0</xdr:rowOff>
    </xdr:from>
    <xdr:to>
      <xdr:col>17</xdr:col>
      <xdr:colOff>222249</xdr:colOff>
      <xdr:row>107</xdr:row>
      <xdr:rowOff>169333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8D6CD52E-B70B-44A5-AB3A-AFD6FB698977}"/>
            </a:ext>
          </a:extLst>
        </xdr:cNvPr>
        <xdr:cNvSpPr/>
      </xdr:nvSpPr>
      <xdr:spPr>
        <a:xfrm>
          <a:off x="18732499" y="19431000"/>
          <a:ext cx="804333" cy="1121833"/>
        </a:xfrm>
        <a:prstGeom prst="rect">
          <a:avLst/>
        </a:prstGeom>
        <a:noFill/>
        <a:ln>
          <a:solidFill>
            <a:schemeClr val="bg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17</xdr:col>
      <xdr:colOff>201084</xdr:colOff>
      <xdr:row>101</xdr:row>
      <xdr:rowOff>179917</xdr:rowOff>
    </xdr:from>
    <xdr:to>
      <xdr:col>22</xdr:col>
      <xdr:colOff>21167</xdr:colOff>
      <xdr:row>102</xdr:row>
      <xdr:rowOff>148167</xdr:rowOff>
    </xdr:to>
    <xdr:cxnSp macro="">
      <xdr:nvCxnSpPr>
        <xdr:cNvPr id="27" name="Straight Connector 26">
          <a:extLst>
            <a:ext uri="{FF2B5EF4-FFF2-40B4-BE49-F238E27FC236}">
              <a16:creationId xmlns:a16="http://schemas.microsoft.com/office/drawing/2014/main" id="{8F5A5B05-C8FA-46AF-89C0-FAB3EAE9E8A0}"/>
            </a:ext>
          </a:extLst>
        </xdr:cNvPr>
        <xdr:cNvCxnSpPr/>
      </xdr:nvCxnSpPr>
      <xdr:spPr>
        <a:xfrm>
          <a:off x="19515667" y="19420417"/>
          <a:ext cx="2889250" cy="158750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42333</xdr:colOff>
      <xdr:row>107</xdr:row>
      <xdr:rowOff>169333</xdr:rowOff>
    </xdr:from>
    <xdr:to>
      <xdr:col>17</xdr:col>
      <xdr:colOff>592667</xdr:colOff>
      <xdr:row>113</xdr:row>
      <xdr:rowOff>31750</xdr:rowOff>
    </xdr:to>
    <xdr:cxnSp macro="">
      <xdr:nvCxnSpPr>
        <xdr:cNvPr id="28" name="Straight Connector 27">
          <a:extLst>
            <a:ext uri="{FF2B5EF4-FFF2-40B4-BE49-F238E27FC236}">
              <a16:creationId xmlns:a16="http://schemas.microsoft.com/office/drawing/2014/main" id="{954F8AB6-D2A5-43DD-AEA5-8CF8067683A4}"/>
            </a:ext>
          </a:extLst>
        </xdr:cNvPr>
        <xdr:cNvCxnSpPr/>
      </xdr:nvCxnSpPr>
      <xdr:spPr>
        <a:xfrm>
          <a:off x="18743083" y="20552833"/>
          <a:ext cx="1164167" cy="1005417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Custom 2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C16861"/>
      </a:accent1>
      <a:accent2>
        <a:srgbClr val="74A751"/>
      </a:accent2>
      <a:accent3>
        <a:srgbClr val="698FC6"/>
      </a:accent3>
      <a:accent4>
        <a:srgbClr val="DD9452"/>
      </a:accent4>
      <a:accent5>
        <a:srgbClr val="BFBE43"/>
      </a:accent5>
      <a:accent6>
        <a:srgbClr val="A577A8"/>
      </a:accent6>
      <a:hlink>
        <a:srgbClr val="72B1B4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4DBF1-F2D7-44F8-977D-1BE3C41C10B1}">
  <dimension ref="A1:AP34"/>
  <sheetViews>
    <sheetView zoomScaleNormal="100" workbookViewId="0">
      <selection activeCell="J17" sqref="J17:K31"/>
    </sheetView>
  </sheetViews>
  <sheetFormatPr defaultRowHeight="15" x14ac:dyDescent="0.25"/>
  <cols>
    <col min="1" max="1" width="22.28515625" bestFit="1" customWidth="1"/>
    <col min="2" max="2" width="14.28515625" bestFit="1" customWidth="1"/>
    <col min="3" max="3" width="12.85546875" bestFit="1" customWidth="1"/>
    <col min="4" max="4" width="20" style="5" bestFit="1" customWidth="1"/>
    <col min="5" max="5" width="20" bestFit="1" customWidth="1"/>
    <col min="6" max="6" width="15.28515625" bestFit="1" customWidth="1"/>
    <col min="7" max="7" width="13" bestFit="1" customWidth="1"/>
    <col min="8" max="8" width="21" style="5" bestFit="1" customWidth="1"/>
    <col min="9" max="9" width="21" bestFit="1" customWidth="1"/>
    <col min="10" max="10" width="15.28515625" bestFit="1" customWidth="1"/>
    <col min="11" max="11" width="13" bestFit="1" customWidth="1"/>
    <col min="12" max="12" width="21" style="5" bestFit="1" customWidth="1"/>
    <col min="13" max="13" width="21" bestFit="1" customWidth="1"/>
    <col min="14" max="14" width="22.28515625" bestFit="1" customWidth="1"/>
  </cols>
  <sheetData>
    <row r="1" spans="1:42" x14ac:dyDescent="0.25">
      <c r="A1" s="3" t="s">
        <v>0</v>
      </c>
      <c r="B1" t="s">
        <v>38</v>
      </c>
      <c r="C1" t="s">
        <v>39</v>
      </c>
      <c r="D1" s="5" t="s">
        <v>40</v>
      </c>
      <c r="E1" t="s">
        <v>41</v>
      </c>
      <c r="F1" t="s">
        <v>15</v>
      </c>
      <c r="G1" t="s">
        <v>16</v>
      </c>
      <c r="H1" s="5" t="s">
        <v>17</v>
      </c>
      <c r="I1" t="s">
        <v>18</v>
      </c>
      <c r="J1" t="s">
        <v>19</v>
      </c>
      <c r="K1" t="s">
        <v>20</v>
      </c>
      <c r="L1" s="5" t="s">
        <v>21</v>
      </c>
      <c r="M1" t="s">
        <v>22</v>
      </c>
      <c r="N1" t="s">
        <v>23</v>
      </c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x14ac:dyDescent="0.25">
      <c r="A2" t="s">
        <v>1</v>
      </c>
      <c r="B2" s="6">
        <v>-40991.392169844003</v>
      </c>
      <c r="C2" s="6">
        <v>73964.863896627197</v>
      </c>
      <c r="D2" s="5">
        <f>B2/C2</f>
        <v>-0.55420087336513324</v>
      </c>
      <c r="E2" s="6">
        <f>B2+C2</f>
        <v>32973.471726783195</v>
      </c>
      <c r="F2" s="6">
        <v>-11644.658803537901</v>
      </c>
      <c r="G2" s="6">
        <v>32506.920082813402</v>
      </c>
      <c r="H2" s="5">
        <f>F2/G2</f>
        <v>-0.35822091954182089</v>
      </c>
      <c r="I2" s="6">
        <f>F2+G2</f>
        <v>20862.261279275503</v>
      </c>
      <c r="J2" s="6">
        <v>-5002.1063151110802</v>
      </c>
      <c r="K2" s="6">
        <v>20078.072923277199</v>
      </c>
      <c r="L2" s="5">
        <f>J2/K2</f>
        <v>-0.2491327894975402</v>
      </c>
      <c r="M2" s="6">
        <f>J2+K2</f>
        <v>15075.96660816612</v>
      </c>
      <c r="N2" t="s">
        <v>24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 spans="1:42" x14ac:dyDescent="0.25">
      <c r="A3" t="s">
        <v>2</v>
      </c>
      <c r="B3" s="6">
        <v>-190307.317572267</v>
      </c>
      <c r="C3" s="6">
        <v>341722.55580809899</v>
      </c>
      <c r="D3" s="5">
        <f t="shared" ref="D3:D15" si="0">B3/C3</f>
        <v>-0.55690592949661133</v>
      </c>
      <c r="E3" s="6">
        <f t="shared" ref="E3:E15" si="1">B3+C3</f>
        <v>151415.23823583199</v>
      </c>
      <c r="F3" s="6">
        <v>-30848.8092279228</v>
      </c>
      <c r="G3" s="6">
        <v>68806.729018270402</v>
      </c>
      <c r="H3" s="5">
        <f t="shared" ref="H3:H15" si="2">F3/G3</f>
        <v>-0.44834000493950887</v>
      </c>
      <c r="I3" s="6">
        <f t="shared" ref="I3:I15" si="3">F3+G3</f>
        <v>37957.919790347602</v>
      </c>
      <c r="J3" s="6">
        <v>-9394.0921605190797</v>
      </c>
      <c r="K3" s="6">
        <v>28774.349079517</v>
      </c>
      <c r="L3" s="5">
        <f t="shared" ref="L3:L15" si="4">J3/K3</f>
        <v>-0.32647453238851049</v>
      </c>
      <c r="M3" s="6">
        <f t="shared" ref="M3:M15" si="5">J3+K3</f>
        <v>19380.256918997919</v>
      </c>
      <c r="N3" t="s">
        <v>24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 spans="1:42" x14ac:dyDescent="0.25">
      <c r="A4" t="s">
        <v>3</v>
      </c>
      <c r="B4" s="6">
        <v>-112322.040618713</v>
      </c>
      <c r="C4" s="6">
        <v>56741.484497939098</v>
      </c>
      <c r="D4" s="5">
        <f t="shared" si="0"/>
        <v>-1.9795400422206548</v>
      </c>
      <c r="E4" s="6">
        <f t="shared" si="1"/>
        <v>-55580.556120773901</v>
      </c>
      <c r="F4" s="6">
        <v>-48889.259790475502</v>
      </c>
      <c r="G4" s="6">
        <v>28709.564463483799</v>
      </c>
      <c r="H4" s="5">
        <f t="shared" si="2"/>
        <v>-1.7028910296656925</v>
      </c>
      <c r="I4" s="6">
        <f t="shared" si="3"/>
        <v>-20179.695326991703</v>
      </c>
      <c r="J4" s="6">
        <v>-28941.9181735079</v>
      </c>
      <c r="K4" s="6">
        <v>18022.833509243501</v>
      </c>
      <c r="L4" s="5">
        <f t="shared" si="4"/>
        <v>-1.6058472802661274</v>
      </c>
      <c r="M4" s="6">
        <f t="shared" si="5"/>
        <v>-10919.084664264399</v>
      </c>
      <c r="N4" t="s">
        <v>24</v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 spans="1:42" x14ac:dyDescent="0.25">
      <c r="A5" t="s">
        <v>4</v>
      </c>
      <c r="B5" s="6">
        <v>-611711.12191152503</v>
      </c>
      <c r="C5" s="6">
        <v>632967.09479468397</v>
      </c>
      <c r="D5" s="5">
        <f t="shared" si="0"/>
        <v>-0.96641851834327386</v>
      </c>
      <c r="E5" s="6">
        <f t="shared" si="1"/>
        <v>21255.972883158945</v>
      </c>
      <c r="F5" s="6">
        <v>-124837.11295495099</v>
      </c>
      <c r="G5" s="6">
        <v>125786.37310764899</v>
      </c>
      <c r="H5" s="5">
        <f t="shared" si="2"/>
        <v>-0.99245339436024904</v>
      </c>
      <c r="I5" s="6">
        <f t="shared" si="3"/>
        <v>949.26015269799973</v>
      </c>
      <c r="J5" s="6">
        <v>-49513.350620204001</v>
      </c>
      <c r="K5" s="6">
        <v>47841.174083838101</v>
      </c>
      <c r="L5" s="5">
        <f t="shared" si="4"/>
        <v>-1.0349526651130161</v>
      </c>
      <c r="M5" s="6">
        <f t="shared" si="5"/>
        <v>-1672.1765363658997</v>
      </c>
      <c r="N5" t="s">
        <v>24</v>
      </c>
    </row>
    <row r="6" spans="1:42" x14ac:dyDescent="0.25">
      <c r="A6" t="s">
        <v>6</v>
      </c>
      <c r="B6" s="6">
        <v>-23639.052484741402</v>
      </c>
      <c r="C6" s="6">
        <v>19682.8288777735</v>
      </c>
      <c r="D6" s="5">
        <f t="shared" si="0"/>
        <v>-1.2009987299861862</v>
      </c>
      <c r="E6" s="6">
        <f t="shared" si="1"/>
        <v>-3956.223606967902</v>
      </c>
      <c r="F6" s="6">
        <v>-5718.2312864800897</v>
      </c>
      <c r="G6" s="6">
        <v>15677.5227380697</v>
      </c>
      <c r="H6" s="5">
        <f t="shared" si="2"/>
        <v>-0.3647407426553762</v>
      </c>
      <c r="I6" s="6">
        <f t="shared" si="3"/>
        <v>9959.29145158961</v>
      </c>
      <c r="J6" s="6">
        <v>-2790.36636372676</v>
      </c>
      <c r="K6" s="6">
        <v>13463.719299594801</v>
      </c>
      <c r="L6" s="5">
        <f t="shared" si="4"/>
        <v>-0.20725078276184336</v>
      </c>
      <c r="M6" s="6">
        <f t="shared" si="5"/>
        <v>10673.352935868041</v>
      </c>
      <c r="N6" t="s">
        <v>24</v>
      </c>
    </row>
    <row r="7" spans="1:42" x14ac:dyDescent="0.25">
      <c r="A7" t="s">
        <v>5</v>
      </c>
      <c r="B7" s="6">
        <v>-30682.746255407401</v>
      </c>
      <c r="C7" s="6">
        <v>17090.916249983798</v>
      </c>
      <c r="D7" s="5">
        <f t="shared" si="0"/>
        <v>-1.7952663161307392</v>
      </c>
      <c r="E7" s="6">
        <f t="shared" si="1"/>
        <v>-13591.830005423602</v>
      </c>
      <c r="F7" s="6">
        <v>-6100.3980291768003</v>
      </c>
      <c r="G7" s="6">
        <v>12692.2292408466</v>
      </c>
      <c r="H7" s="5">
        <f t="shared" si="2"/>
        <v>-0.48064039133049019</v>
      </c>
      <c r="I7" s="6">
        <f t="shared" si="3"/>
        <v>6591.8312116697998</v>
      </c>
      <c r="J7" s="6">
        <v>-2360.7973050558699</v>
      </c>
      <c r="K7" s="6">
        <v>10689.1346820868</v>
      </c>
      <c r="L7" s="5">
        <f t="shared" si="4"/>
        <v>-0.22085953402871522</v>
      </c>
      <c r="M7" s="6">
        <f t="shared" si="5"/>
        <v>8328.3373770309299</v>
      </c>
      <c r="N7" t="s">
        <v>24</v>
      </c>
    </row>
    <row r="8" spans="1:42" x14ac:dyDescent="0.25">
      <c r="A8" t="s">
        <v>8</v>
      </c>
      <c r="B8" s="6">
        <v>-97079.650583780895</v>
      </c>
      <c r="C8" s="6">
        <v>29977.691435656099</v>
      </c>
      <c r="D8" s="5">
        <f t="shared" si="0"/>
        <v>-3.2383964853381708</v>
      </c>
      <c r="E8" s="6">
        <f t="shared" si="1"/>
        <v>-67101.959148124792</v>
      </c>
      <c r="F8" s="6">
        <v>-20972.403124771499</v>
      </c>
      <c r="G8" s="6">
        <v>18375.511162999999</v>
      </c>
      <c r="H8" s="5">
        <f t="shared" si="2"/>
        <v>-1.1413235223083464</v>
      </c>
      <c r="I8" s="6">
        <f t="shared" si="3"/>
        <v>-2596.8919617715001</v>
      </c>
      <c r="J8" s="6">
        <v>-8406.4334333911793</v>
      </c>
      <c r="K8" s="6">
        <v>13832.566021950501</v>
      </c>
      <c r="L8" s="5">
        <f t="shared" si="4"/>
        <v>-0.60772769275427652</v>
      </c>
      <c r="M8" s="6">
        <f t="shared" si="5"/>
        <v>5426.1325885593214</v>
      </c>
      <c r="N8" t="s">
        <v>24</v>
      </c>
    </row>
    <row r="9" spans="1:42" x14ac:dyDescent="0.25">
      <c r="A9" t="s">
        <v>7</v>
      </c>
      <c r="B9" s="6">
        <v>-43683.1580178394</v>
      </c>
      <c r="C9" s="6">
        <v>19701.6259138606</v>
      </c>
      <c r="D9" s="5">
        <f t="shared" si="0"/>
        <v>-2.2172361920194197</v>
      </c>
      <c r="E9" s="6">
        <f t="shared" si="1"/>
        <v>-23981.5321039788</v>
      </c>
      <c r="F9" s="6">
        <v>-9175.9801601351992</v>
      </c>
      <c r="G9" s="6">
        <v>13838.706423644</v>
      </c>
      <c r="H9" s="5">
        <f t="shared" si="2"/>
        <v>-0.66306632131870791</v>
      </c>
      <c r="I9" s="6">
        <f t="shared" si="3"/>
        <v>4662.7262635088009</v>
      </c>
      <c r="J9" s="6">
        <v>-3610.0129557775899</v>
      </c>
      <c r="K9" s="6">
        <v>11226.4948888167</v>
      </c>
      <c r="L9" s="5">
        <f t="shared" si="4"/>
        <v>-0.32156189367473126</v>
      </c>
      <c r="M9" s="6">
        <f t="shared" si="5"/>
        <v>7616.4819330391101</v>
      </c>
      <c r="N9" t="s">
        <v>24</v>
      </c>
    </row>
    <row r="10" spans="1:42" x14ac:dyDescent="0.25">
      <c r="A10" t="s">
        <v>9</v>
      </c>
      <c r="B10" s="6">
        <v>-50470.5551048856</v>
      </c>
      <c r="C10" s="6">
        <v>22047.6456426271</v>
      </c>
      <c r="D10" s="5">
        <f t="shared" si="0"/>
        <v>-2.2891584853534388</v>
      </c>
      <c r="E10" s="6">
        <f t="shared" si="1"/>
        <v>-28422.9094622585</v>
      </c>
      <c r="F10" s="6">
        <v>-10472.8845316388</v>
      </c>
      <c r="G10" s="6">
        <v>14865.3551125206</v>
      </c>
      <c r="H10" s="5">
        <f t="shared" si="2"/>
        <v>-0.70451626969999748</v>
      </c>
      <c r="I10" s="6">
        <f t="shared" si="3"/>
        <v>4392.4705808817998</v>
      </c>
      <c r="J10" s="6">
        <v>-4213.4803805597603</v>
      </c>
      <c r="K10" s="6">
        <v>12164.270271887701</v>
      </c>
      <c r="L10" s="5">
        <f t="shared" si="4"/>
        <v>-0.34638168064198194</v>
      </c>
      <c r="M10" s="6">
        <f t="shared" si="5"/>
        <v>7950.7898913279405</v>
      </c>
      <c r="N10" t="s">
        <v>24</v>
      </c>
    </row>
    <row r="11" spans="1:42" x14ac:dyDescent="0.25">
      <c r="A11" t="s">
        <v>13</v>
      </c>
      <c r="B11" s="6">
        <v>0</v>
      </c>
      <c r="C11" s="6">
        <v>14486.1268858849</v>
      </c>
      <c r="D11" s="5">
        <f t="shared" si="0"/>
        <v>0</v>
      </c>
      <c r="E11" s="6">
        <f t="shared" si="1"/>
        <v>14486.1268858849</v>
      </c>
      <c r="F11" s="6">
        <v>0</v>
      </c>
      <c r="G11" s="6">
        <v>11511.601320002699</v>
      </c>
      <c r="H11" s="5">
        <f t="shared" si="2"/>
        <v>0</v>
      </c>
      <c r="I11" s="6">
        <f t="shared" si="3"/>
        <v>11511.601320002699</v>
      </c>
      <c r="J11" s="6">
        <v>0</v>
      </c>
      <c r="K11" s="6">
        <v>9874.8984398431494</v>
      </c>
      <c r="L11" s="5">
        <f t="shared" si="4"/>
        <v>0</v>
      </c>
      <c r="M11" s="6">
        <f t="shared" si="5"/>
        <v>9874.8984398431494</v>
      </c>
      <c r="N11" t="s">
        <v>24</v>
      </c>
    </row>
    <row r="12" spans="1:42" x14ac:dyDescent="0.25">
      <c r="A12" t="s">
        <v>10</v>
      </c>
      <c r="B12" s="6">
        <v>-1404.5679010868701</v>
      </c>
      <c r="C12" s="6">
        <v>45132.0836071905</v>
      </c>
      <c r="D12" s="5">
        <f t="shared" si="0"/>
        <v>-3.1121273134907791E-2</v>
      </c>
      <c r="E12" s="6">
        <f t="shared" si="1"/>
        <v>43727.51570610363</v>
      </c>
      <c r="F12" s="6">
        <v>-32.085743248811902</v>
      </c>
      <c r="G12" s="6">
        <v>32278.589396815001</v>
      </c>
      <c r="H12" s="5">
        <f t="shared" si="2"/>
        <v>-9.9402557076976451E-4</v>
      </c>
      <c r="I12" s="6">
        <f t="shared" si="3"/>
        <v>32246.503653566189</v>
      </c>
      <c r="J12" s="6">
        <v>-227.43782558660999</v>
      </c>
      <c r="K12" s="6">
        <v>26285.648960687002</v>
      </c>
      <c r="L12" s="5">
        <f t="shared" si="4"/>
        <v>-8.6525474766389662E-3</v>
      </c>
      <c r="M12" s="6">
        <f t="shared" si="5"/>
        <v>26058.211135100391</v>
      </c>
      <c r="N12" t="s">
        <v>24</v>
      </c>
    </row>
    <row r="13" spans="1:42" x14ac:dyDescent="0.25">
      <c r="A13" t="s">
        <v>11</v>
      </c>
      <c r="B13" s="6">
        <v>40603.4193094004</v>
      </c>
      <c r="C13" s="6">
        <v>828169.20249635505</v>
      </c>
      <c r="D13" s="5">
        <f t="shared" si="0"/>
        <v>4.9027927127704443E-2</v>
      </c>
      <c r="E13" s="6">
        <f t="shared" si="1"/>
        <v>868772.62180575542</v>
      </c>
      <c r="F13" s="6">
        <v>4460.6170443716501</v>
      </c>
      <c r="G13" s="6">
        <v>222303.607323328</v>
      </c>
      <c r="H13" s="5">
        <f t="shared" si="2"/>
        <v>2.0065428078654322E-2</v>
      </c>
      <c r="I13" s="6">
        <f t="shared" si="3"/>
        <v>226764.22436769964</v>
      </c>
      <c r="J13" s="6">
        <v>-1031.07110519603</v>
      </c>
      <c r="K13" s="6">
        <v>108783.803081255</v>
      </c>
      <c r="L13" s="5">
        <f t="shared" si="4"/>
        <v>-9.4781674844175243E-3</v>
      </c>
      <c r="M13" s="6">
        <f t="shared" si="5"/>
        <v>107752.73197605897</v>
      </c>
      <c r="N13" t="s">
        <v>24</v>
      </c>
    </row>
    <row r="14" spans="1:42" x14ac:dyDescent="0.25">
      <c r="A14" t="s">
        <v>12</v>
      </c>
      <c r="B14" s="6">
        <v>-2626.77829541446</v>
      </c>
      <c r="C14" s="6">
        <v>25767.324754375601</v>
      </c>
      <c r="D14" s="5">
        <f t="shared" si="0"/>
        <v>-0.10194222025196471</v>
      </c>
      <c r="E14" s="6">
        <f t="shared" si="1"/>
        <v>23140.54645896114</v>
      </c>
      <c r="F14" s="6">
        <v>-184.162683612303</v>
      </c>
      <c r="G14" s="6">
        <v>17829.693968081301</v>
      </c>
      <c r="H14" s="5">
        <f t="shared" si="2"/>
        <v>-1.0328987359064651E-2</v>
      </c>
      <c r="I14" s="6">
        <f t="shared" si="3"/>
        <v>17645.531284468998</v>
      </c>
      <c r="J14" s="6">
        <v>-125.237709722896</v>
      </c>
      <c r="K14" s="6">
        <v>14163.2689710182</v>
      </c>
      <c r="L14" s="5">
        <f t="shared" si="4"/>
        <v>-8.8424296664255629E-3</v>
      </c>
      <c r="M14" s="6">
        <f t="shared" si="5"/>
        <v>14038.031261295304</v>
      </c>
      <c r="N14" t="s">
        <v>24</v>
      </c>
    </row>
    <row r="15" spans="1:42" x14ac:dyDescent="0.25">
      <c r="A15" t="s">
        <v>51</v>
      </c>
      <c r="B15" s="6">
        <v>-177560.27976733001</v>
      </c>
      <c r="C15" s="6">
        <v>84648.601837562499</v>
      </c>
      <c r="D15" s="5">
        <f t="shared" si="0"/>
        <v>-2.0976162147138773</v>
      </c>
      <c r="E15" s="6">
        <f t="shared" si="1"/>
        <v>-92911.677929767509</v>
      </c>
      <c r="F15" s="6">
        <v>-55394.240300793303</v>
      </c>
      <c r="G15" s="6">
        <v>44328.768128424897</v>
      </c>
      <c r="H15" s="5">
        <f t="shared" si="2"/>
        <v>-1.2496228214668772</v>
      </c>
      <c r="I15" s="6">
        <f t="shared" si="3"/>
        <v>-11065.472172368405</v>
      </c>
      <c r="J15" s="6">
        <v>-27847.218892906101</v>
      </c>
      <c r="K15" s="6">
        <v>28922.694502216698</v>
      </c>
      <c r="L15" s="5">
        <f t="shared" si="4"/>
        <v>-0.96281551121635056</v>
      </c>
      <c r="M15" s="6">
        <f t="shared" si="5"/>
        <v>1075.4756093105971</v>
      </c>
      <c r="N15" t="s">
        <v>24</v>
      </c>
    </row>
    <row r="16" spans="1:42" x14ac:dyDescent="0.25">
      <c r="B16" s="6"/>
      <c r="C16" s="6"/>
      <c r="E16" s="6"/>
      <c r="F16" s="6"/>
      <c r="G16" s="6"/>
      <c r="I16" s="6"/>
      <c r="J16" s="6"/>
      <c r="K16" s="6"/>
      <c r="M16" s="6"/>
    </row>
    <row r="17" spans="1:14" x14ac:dyDescent="0.25">
      <c r="A17" s="3" t="s">
        <v>52</v>
      </c>
      <c r="B17" s="6" t="s">
        <v>38</v>
      </c>
      <c r="C17" s="6" t="s">
        <v>39</v>
      </c>
      <c r="D17" s="5" t="s">
        <v>40</v>
      </c>
      <c r="E17" s="6" t="s">
        <v>41</v>
      </c>
      <c r="F17" s="6" t="s">
        <v>15</v>
      </c>
      <c r="G17" s="6" t="s">
        <v>16</v>
      </c>
      <c r="H17" s="5" t="s">
        <v>17</v>
      </c>
      <c r="I17" s="6" t="s">
        <v>18</v>
      </c>
      <c r="J17" s="6" t="s">
        <v>19</v>
      </c>
      <c r="K17" s="6" t="s">
        <v>20</v>
      </c>
      <c r="L17" s="5" t="s">
        <v>21</v>
      </c>
      <c r="M17" s="6" t="s">
        <v>22</v>
      </c>
      <c r="N17" t="s">
        <v>23</v>
      </c>
    </row>
    <row r="18" spans="1:14" x14ac:dyDescent="0.25">
      <c r="A18" t="s">
        <v>1</v>
      </c>
      <c r="B18" s="6">
        <f>B2-B$34</f>
        <v>-40991.392169844003</v>
      </c>
      <c r="C18" s="6">
        <f>C2-C$34</f>
        <v>59478.737010742298</v>
      </c>
      <c r="D18" s="5">
        <f>B18/C18</f>
        <v>-0.68917724602055108</v>
      </c>
      <c r="E18" s="6">
        <f>B18+C18</f>
        <v>18487.344840898295</v>
      </c>
      <c r="F18" s="6">
        <f>F2-F$34</f>
        <v>-11644.658803537901</v>
      </c>
      <c r="G18" s="6">
        <f>G2-G$34</f>
        <v>20995.318762810704</v>
      </c>
      <c r="H18" s="5">
        <f>F18/G18</f>
        <v>-0.55463119827283802</v>
      </c>
      <c r="I18" s="6">
        <f>F18+G18</f>
        <v>9350.6599592728035</v>
      </c>
      <c r="J18" s="6">
        <f>J2-J$34</f>
        <v>-5002.1063151110802</v>
      </c>
      <c r="K18" s="6">
        <f>K2-K$34</f>
        <v>10203.17448343405</v>
      </c>
      <c r="L18" s="5">
        <f>J18/K18</f>
        <v>-0.49025000241175304</v>
      </c>
      <c r="M18" s="6">
        <f>J18+K18</f>
        <v>5201.0681683229695</v>
      </c>
      <c r="N18" t="s">
        <v>24</v>
      </c>
    </row>
    <row r="19" spans="1:14" x14ac:dyDescent="0.25">
      <c r="A19" t="s">
        <v>2</v>
      </c>
      <c r="B19" s="6">
        <f t="shared" ref="B19:C19" si="6">B3-B$34</f>
        <v>-190307.317572267</v>
      </c>
      <c r="C19" s="6">
        <f t="shared" si="6"/>
        <v>327236.42892221408</v>
      </c>
      <c r="D19" s="5">
        <f t="shared" ref="D19:D31" si="7">B19/C19</f>
        <v>-0.58155908313467175</v>
      </c>
      <c r="E19" s="6">
        <f t="shared" ref="E19:E31" si="8">B19+C19</f>
        <v>136929.11134994708</v>
      </c>
      <c r="F19" s="6">
        <f t="shared" ref="F19:G19" si="9">F3-F$34</f>
        <v>-30848.8092279228</v>
      </c>
      <c r="G19" s="6">
        <f t="shared" si="9"/>
        <v>57295.127698267701</v>
      </c>
      <c r="H19" s="5">
        <f t="shared" ref="H19:H31" si="10">F19/G19</f>
        <v>-0.5384194165755477</v>
      </c>
      <c r="I19" s="6">
        <f t="shared" ref="I19:I31" si="11">F19+G19</f>
        <v>26446.318470344901</v>
      </c>
      <c r="J19" s="6">
        <f t="shared" ref="J19:K19" si="12">J3-J$34</f>
        <v>-9394.0921605190797</v>
      </c>
      <c r="K19" s="6">
        <f t="shared" si="12"/>
        <v>18899.450639673851</v>
      </c>
      <c r="L19" s="5">
        <f t="shared" ref="L19:L31" si="13">J19/K19</f>
        <v>-0.49705636103511602</v>
      </c>
      <c r="M19" s="6">
        <f t="shared" ref="M19:M31" si="14">J19+K19</f>
        <v>9505.358479154771</v>
      </c>
      <c r="N19" t="s">
        <v>24</v>
      </c>
    </row>
    <row r="20" spans="1:14" x14ac:dyDescent="0.25">
      <c r="A20" t="s">
        <v>3</v>
      </c>
      <c r="B20" s="6">
        <f t="shared" ref="B20:C20" si="15">B4-B$34</f>
        <v>-112322.040618713</v>
      </c>
      <c r="C20" s="6">
        <f t="shared" si="15"/>
        <v>42255.357612054198</v>
      </c>
      <c r="D20" s="5">
        <f t="shared" si="7"/>
        <v>-2.6581727611901895</v>
      </c>
      <c r="E20" s="6">
        <f t="shared" si="8"/>
        <v>-70066.683006658801</v>
      </c>
      <c r="F20" s="6">
        <f t="shared" ref="F20:G20" si="16">F4-F$34</f>
        <v>-48889.259790475502</v>
      </c>
      <c r="G20" s="6">
        <f t="shared" si="16"/>
        <v>17197.963143481102</v>
      </c>
      <c r="H20" s="5">
        <f t="shared" si="10"/>
        <v>-2.8427354671362348</v>
      </c>
      <c r="I20" s="6">
        <f t="shared" si="11"/>
        <v>-31691.2966469944</v>
      </c>
      <c r="J20" s="6">
        <f t="shared" ref="J20:K20" si="17">J4-J$34</f>
        <v>-28941.9181735079</v>
      </c>
      <c r="K20" s="6">
        <f t="shared" si="17"/>
        <v>8147.9350694003515</v>
      </c>
      <c r="L20" s="5">
        <f t="shared" si="13"/>
        <v>-3.5520555732211898</v>
      </c>
      <c r="M20" s="6">
        <f t="shared" si="14"/>
        <v>-20793.983104107549</v>
      </c>
      <c r="N20" t="s">
        <v>24</v>
      </c>
    </row>
    <row r="21" spans="1:14" x14ac:dyDescent="0.25">
      <c r="A21" t="s">
        <v>4</v>
      </c>
      <c r="B21" s="6">
        <f t="shared" ref="B21:C21" si="18">B5-B$34</f>
        <v>-611711.12191152503</v>
      </c>
      <c r="C21" s="6">
        <f t="shared" si="18"/>
        <v>618480.96790879907</v>
      </c>
      <c r="D21" s="5">
        <f t="shared" si="7"/>
        <v>-0.989054075471127</v>
      </c>
      <c r="E21" s="6">
        <f t="shared" si="8"/>
        <v>6769.8459972740384</v>
      </c>
      <c r="F21" s="6">
        <f t="shared" ref="F21:G21" si="19">F5-F$34</f>
        <v>-124837.11295495099</v>
      </c>
      <c r="G21" s="6">
        <f t="shared" si="19"/>
        <v>114274.7717876463</v>
      </c>
      <c r="H21" s="5">
        <f t="shared" si="10"/>
        <v>-1.0924293350323413</v>
      </c>
      <c r="I21" s="6">
        <f t="shared" si="11"/>
        <v>-10562.341167304694</v>
      </c>
      <c r="J21" s="6">
        <f t="shared" ref="J21:K21" si="20">J5-J$34</f>
        <v>-49513.350620204001</v>
      </c>
      <c r="K21" s="6">
        <f t="shared" si="20"/>
        <v>37966.275643994952</v>
      </c>
      <c r="L21" s="5">
        <f t="shared" si="13"/>
        <v>-1.3041403134846445</v>
      </c>
      <c r="M21" s="6">
        <f t="shared" si="14"/>
        <v>-11547.074976209049</v>
      </c>
      <c r="N21" t="s">
        <v>24</v>
      </c>
    </row>
    <row r="22" spans="1:14" x14ac:dyDescent="0.25">
      <c r="A22" t="s">
        <v>6</v>
      </c>
      <c r="B22" s="6">
        <f t="shared" ref="B22:C22" si="21">B6-B$34</f>
        <v>-23639.052484741402</v>
      </c>
      <c r="C22" s="6">
        <f t="shared" si="21"/>
        <v>5196.7019918885999</v>
      </c>
      <c r="D22" s="5">
        <f t="shared" si="7"/>
        <v>-4.54885666363763</v>
      </c>
      <c r="E22" s="6">
        <f t="shared" si="8"/>
        <v>-18442.350492852802</v>
      </c>
      <c r="F22" s="6">
        <f t="shared" ref="F22:G22" si="22">F6-F$34</f>
        <v>-5718.2312864800897</v>
      </c>
      <c r="G22" s="6">
        <f t="shared" si="22"/>
        <v>4165.9214180670006</v>
      </c>
      <c r="H22" s="5">
        <f t="shared" si="10"/>
        <v>-1.3726210152887055</v>
      </c>
      <c r="I22" s="6">
        <f t="shared" si="11"/>
        <v>-1552.3098684130891</v>
      </c>
      <c r="J22" s="6">
        <f t="shared" ref="J22:K22" si="23">J6-J$34</f>
        <v>-2790.36636372676</v>
      </c>
      <c r="K22" s="6">
        <f t="shared" si="23"/>
        <v>3588.8208597516514</v>
      </c>
      <c r="L22" s="5">
        <f t="shared" si="13"/>
        <v>-0.77751620177549208</v>
      </c>
      <c r="M22" s="6">
        <f t="shared" si="14"/>
        <v>798.45449602489134</v>
      </c>
      <c r="N22" t="s">
        <v>24</v>
      </c>
    </row>
    <row r="23" spans="1:14" x14ac:dyDescent="0.25">
      <c r="A23" t="s">
        <v>5</v>
      </c>
      <c r="B23" s="6">
        <f t="shared" ref="B23:C23" si="24">B7-B$34</f>
        <v>-30682.746255407401</v>
      </c>
      <c r="C23" s="6">
        <f t="shared" si="24"/>
        <v>2604.7893640988987</v>
      </c>
      <c r="D23" s="5">
        <f t="shared" si="7"/>
        <v>-11.779357931316568</v>
      </c>
      <c r="E23" s="6">
        <f t="shared" si="8"/>
        <v>-28077.956891308502</v>
      </c>
      <c r="F23" s="6">
        <f t="shared" ref="F23:G23" si="25">F7-F$34</f>
        <v>-6100.3980291768003</v>
      </c>
      <c r="G23" s="6">
        <f t="shared" si="25"/>
        <v>1180.6279208439009</v>
      </c>
      <c r="H23" s="5">
        <f t="shared" si="10"/>
        <v>-5.1670792478093333</v>
      </c>
      <c r="I23" s="6">
        <f t="shared" si="11"/>
        <v>-4919.7701083328993</v>
      </c>
      <c r="J23" s="6">
        <f t="shared" ref="J23:K23" si="26">J7-J$34</f>
        <v>-2360.7973050558699</v>
      </c>
      <c r="K23" s="6">
        <f t="shared" si="26"/>
        <v>814.23624224365085</v>
      </c>
      <c r="L23" s="5">
        <f t="shared" si="13"/>
        <v>-2.8994009141015713</v>
      </c>
      <c r="M23" s="6">
        <f t="shared" si="14"/>
        <v>-1546.561062812219</v>
      </c>
      <c r="N23" t="s">
        <v>24</v>
      </c>
    </row>
    <row r="24" spans="1:14" x14ac:dyDescent="0.25">
      <c r="A24" t="s">
        <v>8</v>
      </c>
      <c r="B24" s="6">
        <f t="shared" ref="B24:C24" si="27">B8-B$34</f>
        <v>-97079.650583780895</v>
      </c>
      <c r="C24" s="6">
        <f t="shared" si="27"/>
        <v>15491.564549771199</v>
      </c>
      <c r="D24" s="5">
        <f t="shared" si="7"/>
        <v>-6.2666136962399124</v>
      </c>
      <c r="E24" s="6">
        <f t="shared" si="8"/>
        <v>-81588.086034009699</v>
      </c>
      <c r="F24" s="6">
        <f t="shared" ref="F24:G24" si="28">F8-F$34</f>
        <v>-20972.403124771499</v>
      </c>
      <c r="G24" s="6">
        <f t="shared" si="28"/>
        <v>6863.9098429973001</v>
      </c>
      <c r="H24" s="5">
        <f t="shared" si="10"/>
        <v>-3.0554601684006633</v>
      </c>
      <c r="I24" s="6">
        <f t="shared" si="11"/>
        <v>-14108.493281774199</v>
      </c>
      <c r="J24" s="6">
        <f t="shared" ref="J24:K24" si="29">J8-J$34</f>
        <v>-8406.4334333911793</v>
      </c>
      <c r="K24" s="6">
        <f t="shared" si="29"/>
        <v>3957.6675821073513</v>
      </c>
      <c r="L24" s="5">
        <f t="shared" si="13"/>
        <v>-2.1240878014608242</v>
      </c>
      <c r="M24" s="6">
        <f t="shared" si="14"/>
        <v>-4448.7658512838279</v>
      </c>
      <c r="N24" t="s">
        <v>24</v>
      </c>
    </row>
    <row r="25" spans="1:14" x14ac:dyDescent="0.25">
      <c r="A25" t="s">
        <v>7</v>
      </c>
      <c r="B25" s="6">
        <f t="shared" ref="B25:C25" si="30">B9-B$34</f>
        <v>-43683.1580178394</v>
      </c>
      <c r="C25" s="6">
        <f t="shared" si="30"/>
        <v>5215.4990279757003</v>
      </c>
      <c r="D25" s="5">
        <f t="shared" si="7"/>
        <v>-8.3756430177677963</v>
      </c>
      <c r="E25" s="6">
        <f t="shared" si="8"/>
        <v>-38467.658989863703</v>
      </c>
      <c r="F25" s="6">
        <f t="shared" ref="F25:G25" si="31">F9-F$34</f>
        <v>-9175.9801601351992</v>
      </c>
      <c r="G25" s="6">
        <f t="shared" si="31"/>
        <v>2327.105103641301</v>
      </c>
      <c r="H25" s="5">
        <f t="shared" si="10"/>
        <v>-3.9430879790419562</v>
      </c>
      <c r="I25" s="6">
        <f t="shared" si="11"/>
        <v>-6848.8750564938982</v>
      </c>
      <c r="J25" s="6">
        <f t="shared" ref="J25:K25" si="32">J9-J$34</f>
        <v>-3610.0129557775899</v>
      </c>
      <c r="K25" s="6">
        <f t="shared" si="32"/>
        <v>1351.5964489735507</v>
      </c>
      <c r="L25" s="5">
        <f t="shared" si="13"/>
        <v>-2.6709251555959321</v>
      </c>
      <c r="M25" s="6">
        <f t="shared" si="14"/>
        <v>-2258.4165068040393</v>
      </c>
      <c r="N25" t="s">
        <v>24</v>
      </c>
    </row>
    <row r="26" spans="1:14" x14ac:dyDescent="0.25">
      <c r="A26" t="s">
        <v>9</v>
      </c>
      <c r="B26" s="6">
        <f t="shared" ref="B26:C26" si="33">B10-B$34</f>
        <v>-50470.5551048856</v>
      </c>
      <c r="C26" s="6">
        <f t="shared" si="33"/>
        <v>7561.5187567421999</v>
      </c>
      <c r="D26" s="5">
        <f t="shared" si="7"/>
        <v>-6.6746584553379193</v>
      </c>
      <c r="E26" s="6">
        <f t="shared" si="8"/>
        <v>-42909.036348143403</v>
      </c>
      <c r="F26" s="6">
        <f t="shared" ref="F26:G26" si="34">F10-F$34</f>
        <v>-10472.8845316388</v>
      </c>
      <c r="G26" s="6">
        <f t="shared" si="34"/>
        <v>3353.7537925179004</v>
      </c>
      <c r="H26" s="5">
        <f t="shared" si="10"/>
        <v>-3.1227350543750152</v>
      </c>
      <c r="I26" s="6">
        <f t="shared" si="11"/>
        <v>-7119.1307391208993</v>
      </c>
      <c r="J26" s="6">
        <f t="shared" ref="J26:K26" si="35">J10-J$34</f>
        <v>-4213.4803805597603</v>
      </c>
      <c r="K26" s="6">
        <f t="shared" si="35"/>
        <v>2289.3718320445514</v>
      </c>
      <c r="L26" s="5">
        <f t="shared" si="13"/>
        <v>-1.8404526174312454</v>
      </c>
      <c r="M26" s="6">
        <f t="shared" si="14"/>
        <v>-1924.1085485152089</v>
      </c>
      <c r="N26" t="s">
        <v>24</v>
      </c>
    </row>
    <row r="27" spans="1:14" x14ac:dyDescent="0.25">
      <c r="A27" t="s">
        <v>13</v>
      </c>
      <c r="B27" s="6">
        <f t="shared" ref="B27:C27" si="36">B11-B$34</f>
        <v>0</v>
      </c>
      <c r="C27" s="6">
        <f t="shared" si="36"/>
        <v>0</v>
      </c>
      <c r="D27" s="5" t="e">
        <f t="shared" si="7"/>
        <v>#DIV/0!</v>
      </c>
      <c r="E27" s="6">
        <f t="shared" si="8"/>
        <v>0</v>
      </c>
      <c r="F27" s="6">
        <f t="shared" ref="F27:G27" si="37">F11-F$34</f>
        <v>0</v>
      </c>
      <c r="G27" s="6">
        <f t="shared" si="37"/>
        <v>0</v>
      </c>
      <c r="H27" s="5" t="e">
        <f t="shared" si="10"/>
        <v>#DIV/0!</v>
      </c>
      <c r="I27" s="6">
        <f t="shared" si="11"/>
        <v>0</v>
      </c>
      <c r="J27" s="6">
        <f t="shared" ref="J27:K27" si="38">J11-J$34</f>
        <v>0</v>
      </c>
      <c r="K27" s="6">
        <f t="shared" si="38"/>
        <v>0</v>
      </c>
      <c r="L27" s="5" t="e">
        <f t="shared" si="13"/>
        <v>#DIV/0!</v>
      </c>
      <c r="M27" s="6">
        <f t="shared" si="14"/>
        <v>0</v>
      </c>
      <c r="N27" t="s">
        <v>24</v>
      </c>
    </row>
    <row r="28" spans="1:14" x14ac:dyDescent="0.25">
      <c r="A28" t="s">
        <v>10</v>
      </c>
      <c r="B28" s="6">
        <f t="shared" ref="B28:C28" si="39">B12-B$34</f>
        <v>-1404.5679010868701</v>
      </c>
      <c r="C28" s="6">
        <f t="shared" si="39"/>
        <v>30645.9567213056</v>
      </c>
      <c r="D28" s="5">
        <f t="shared" si="7"/>
        <v>-4.5832078726078411E-2</v>
      </c>
      <c r="E28" s="6">
        <f t="shared" si="8"/>
        <v>29241.38882021873</v>
      </c>
      <c r="F28" s="6">
        <f t="shared" ref="F28:G28" si="40">F12-F$34</f>
        <v>-32.085743248811902</v>
      </c>
      <c r="G28" s="6">
        <f t="shared" si="40"/>
        <v>20766.988076812304</v>
      </c>
      <c r="H28" s="5">
        <f t="shared" si="10"/>
        <v>-1.5450359546668074E-3</v>
      </c>
      <c r="I28" s="6">
        <f t="shared" si="11"/>
        <v>20734.902333563492</v>
      </c>
      <c r="J28" s="6">
        <f t="shared" ref="J28:K28" si="41">J12-J$34</f>
        <v>-227.43782558660999</v>
      </c>
      <c r="K28" s="6">
        <f t="shared" si="41"/>
        <v>16410.750520843852</v>
      </c>
      <c r="L28" s="5">
        <f t="shared" si="13"/>
        <v>-1.385907520181563E-2</v>
      </c>
      <c r="M28" s="6">
        <f t="shared" si="14"/>
        <v>16183.312695257242</v>
      </c>
      <c r="N28" t="s">
        <v>24</v>
      </c>
    </row>
    <row r="29" spans="1:14" x14ac:dyDescent="0.25">
      <c r="A29" t="s">
        <v>11</v>
      </c>
      <c r="B29" s="6">
        <f t="shared" ref="B29:C29" si="42">B13-B$34</f>
        <v>40603.4193094004</v>
      </c>
      <c r="C29" s="6">
        <f t="shared" si="42"/>
        <v>813683.07561047014</v>
      </c>
      <c r="D29" s="5">
        <f t="shared" si="7"/>
        <v>4.9900778972129245E-2</v>
      </c>
      <c r="E29" s="6">
        <f t="shared" si="8"/>
        <v>854286.49491987051</v>
      </c>
      <c r="F29" s="6">
        <f t="shared" ref="F29:G29" si="43">F13-F$34</f>
        <v>4460.6170443716501</v>
      </c>
      <c r="G29" s="6">
        <f t="shared" si="43"/>
        <v>210792.00600332531</v>
      </c>
      <c r="H29" s="5">
        <f t="shared" si="10"/>
        <v>2.116122489152308E-2</v>
      </c>
      <c r="I29" s="6">
        <f t="shared" si="11"/>
        <v>215252.62304769695</v>
      </c>
      <c r="J29" s="6">
        <f t="shared" ref="J29:K29" si="44">J13-J$34</f>
        <v>-1031.07110519603</v>
      </c>
      <c r="K29" s="6">
        <f t="shared" si="44"/>
        <v>98908.904641411849</v>
      </c>
      <c r="L29" s="5">
        <f t="shared" si="13"/>
        <v>-1.0424451761285952E-2</v>
      </c>
      <c r="M29" s="6">
        <f t="shared" si="14"/>
        <v>97877.833536215825</v>
      </c>
      <c r="N29" t="s">
        <v>24</v>
      </c>
    </row>
    <row r="30" spans="1:14" x14ac:dyDescent="0.25">
      <c r="A30" t="s">
        <v>12</v>
      </c>
      <c r="B30" s="6">
        <f t="shared" ref="B30:C30" si="45">B14-B$34</f>
        <v>-2626.77829541446</v>
      </c>
      <c r="C30" s="6">
        <f t="shared" si="45"/>
        <v>11281.197868490701</v>
      </c>
      <c r="D30" s="5">
        <f t="shared" si="7"/>
        <v>-0.23284568944147896</v>
      </c>
      <c r="E30" s="6">
        <f t="shared" si="8"/>
        <v>8654.4195730762403</v>
      </c>
      <c r="F30" s="6">
        <f t="shared" ref="F30:G30" si="46">F14-F$34</f>
        <v>-184.162683612303</v>
      </c>
      <c r="G30" s="6">
        <f t="shared" si="46"/>
        <v>6318.092648078602</v>
      </c>
      <c r="H30" s="5">
        <f t="shared" si="10"/>
        <v>-2.9148462023314711E-2</v>
      </c>
      <c r="I30" s="6">
        <f t="shared" si="11"/>
        <v>6133.9299644662988</v>
      </c>
      <c r="J30" s="6">
        <f t="shared" ref="J30:K30" si="47">J14-J$34</f>
        <v>-125.237709722896</v>
      </c>
      <c r="K30" s="6">
        <f t="shared" si="47"/>
        <v>4288.3705311750509</v>
      </c>
      <c r="L30" s="5">
        <f t="shared" si="13"/>
        <v>-2.9204031884012546E-2</v>
      </c>
      <c r="M30" s="6">
        <f t="shared" si="14"/>
        <v>4163.1328214521545</v>
      </c>
      <c r="N30" t="s">
        <v>24</v>
      </c>
    </row>
    <row r="31" spans="1:14" x14ac:dyDescent="0.25">
      <c r="A31" t="s">
        <v>51</v>
      </c>
      <c r="B31" s="6">
        <f t="shared" ref="B31:C31" si="48">B15-B$34</f>
        <v>-177560.27976733001</v>
      </c>
      <c r="C31" s="6">
        <f t="shared" si="48"/>
        <v>70162.474951677606</v>
      </c>
      <c r="D31" s="5">
        <f t="shared" si="7"/>
        <v>-2.5307014880763479</v>
      </c>
      <c r="E31" s="6">
        <f t="shared" si="8"/>
        <v>-107397.8048156524</v>
      </c>
      <c r="F31" s="6">
        <f t="shared" ref="F31:G31" si="49">F15-F$34</f>
        <v>-55394.240300793303</v>
      </c>
      <c r="G31" s="6">
        <f t="shared" si="49"/>
        <v>32817.166808422196</v>
      </c>
      <c r="H31" s="5">
        <f t="shared" si="10"/>
        <v>-1.6879653452161181</v>
      </c>
      <c r="I31" s="6">
        <f t="shared" si="11"/>
        <v>-22577.073492371106</v>
      </c>
      <c r="J31" s="6">
        <f t="shared" ref="J31:K31" si="50">J15-J$34</f>
        <v>-27847.218892906101</v>
      </c>
      <c r="K31" s="6">
        <f t="shared" si="50"/>
        <v>19047.796062373549</v>
      </c>
      <c r="L31" s="5">
        <f t="shared" si="13"/>
        <v>-1.4619654054315854</v>
      </c>
      <c r="M31" s="6">
        <f t="shared" si="14"/>
        <v>-8799.4228305325523</v>
      </c>
      <c r="N31" t="s">
        <v>24</v>
      </c>
    </row>
    <row r="33" spans="1:11" x14ac:dyDescent="0.25">
      <c r="A33" t="s">
        <v>13</v>
      </c>
      <c r="B33" t="s">
        <v>53</v>
      </c>
      <c r="C33" t="s">
        <v>54</v>
      </c>
      <c r="F33" t="s">
        <v>55</v>
      </c>
      <c r="G33" t="s">
        <v>56</v>
      </c>
      <c r="J33" t="s">
        <v>57</v>
      </c>
      <c r="K33" t="s">
        <v>58</v>
      </c>
    </row>
    <row r="34" spans="1:11" x14ac:dyDescent="0.25">
      <c r="B34" s="1">
        <v>0</v>
      </c>
      <c r="C34" s="1">
        <v>14486.1268858849</v>
      </c>
      <c r="F34" s="1">
        <v>0</v>
      </c>
      <c r="G34" s="1">
        <v>11511.601320002699</v>
      </c>
      <c r="J34" s="1">
        <v>0</v>
      </c>
      <c r="K34" s="1">
        <v>9874.8984398431494</v>
      </c>
    </row>
  </sheetData>
  <autoFilter ref="A1:N1" xr:uid="{E1B4DBF1-F2D7-44F8-977D-1BE3C41C10B1}">
    <sortState xmlns:xlrd2="http://schemas.microsoft.com/office/spreadsheetml/2017/richdata2" ref="A2:N14">
      <sortCondition ref="A1"/>
    </sortState>
  </autoFilter>
  <conditionalFormatting sqref="D2:D15 H2:H15 L2:L15">
    <cfRule type="colorScale" priority="5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D18:D31">
    <cfRule type="colorScale" priority="3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H18:H31">
    <cfRule type="colorScale" priority="2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L18:L31">
    <cfRule type="colorScale" priority="1">
      <colorScale>
        <cfvo type="min"/>
        <cfvo type="num" val="-1"/>
        <cfvo type="max"/>
        <color theme="6"/>
        <color theme="0"/>
        <color rgb="FFC00000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25FA5-7769-47FF-9EA0-8E472D7D4015}">
  <dimension ref="A1:AP34"/>
  <sheetViews>
    <sheetView workbookViewId="0">
      <selection activeCell="J18" sqref="J18:K31"/>
    </sheetView>
  </sheetViews>
  <sheetFormatPr defaultRowHeight="15" x14ac:dyDescent="0.25"/>
  <cols>
    <col min="1" max="1" width="22.28515625" bestFit="1" customWidth="1"/>
    <col min="2" max="2" width="14.5703125" bestFit="1" customWidth="1"/>
    <col min="3" max="3" width="13.85546875" bestFit="1" customWidth="1"/>
    <col min="4" max="4" width="20" style="5" bestFit="1" customWidth="1"/>
    <col min="5" max="5" width="20" bestFit="1" customWidth="1"/>
    <col min="6" max="6" width="15.28515625" bestFit="1" customWidth="1"/>
    <col min="7" max="7" width="13" bestFit="1" customWidth="1"/>
    <col min="8" max="8" width="21" style="5" bestFit="1" customWidth="1"/>
    <col min="9" max="9" width="21" bestFit="1" customWidth="1"/>
    <col min="10" max="10" width="15.28515625" bestFit="1" customWidth="1"/>
    <col min="11" max="11" width="13" bestFit="1" customWidth="1"/>
    <col min="12" max="12" width="21" style="5" bestFit="1" customWidth="1"/>
    <col min="13" max="13" width="21" bestFit="1" customWidth="1"/>
  </cols>
  <sheetData>
    <row r="1" spans="1:42" x14ac:dyDescent="0.25">
      <c r="A1" t="s">
        <v>0</v>
      </c>
      <c r="B1" s="4" t="s">
        <v>38</v>
      </c>
      <c r="C1" s="4" t="s">
        <v>39</v>
      </c>
      <c r="D1" s="5" t="s">
        <v>40</v>
      </c>
      <c r="E1" s="4" t="s">
        <v>41</v>
      </c>
      <c r="F1" t="s">
        <v>15</v>
      </c>
      <c r="G1" t="s">
        <v>16</v>
      </c>
      <c r="H1" s="5" t="s">
        <v>17</v>
      </c>
      <c r="I1" t="s">
        <v>18</v>
      </c>
      <c r="J1" t="s">
        <v>19</v>
      </c>
      <c r="K1" t="s">
        <v>20</v>
      </c>
      <c r="L1" s="5" t="s">
        <v>21</v>
      </c>
      <c r="M1" t="s">
        <v>22</v>
      </c>
      <c r="N1" t="s">
        <v>23</v>
      </c>
    </row>
    <row r="2" spans="1:42" x14ac:dyDescent="0.25">
      <c r="A2" t="s">
        <v>1</v>
      </c>
      <c r="B2" s="6">
        <v>-94864.731470308194</v>
      </c>
      <c r="C2" s="6">
        <v>121535.566517909</v>
      </c>
      <c r="D2" s="5">
        <v>-0.78055119327006905</v>
      </c>
      <c r="E2" s="6">
        <f>B2+C2</f>
        <v>26670.835047600805</v>
      </c>
      <c r="F2" s="6">
        <v>-24012.4014868552</v>
      </c>
      <c r="G2" s="6">
        <v>48730.788212699401</v>
      </c>
      <c r="H2" s="5">
        <v>-0.49275627108772002</v>
      </c>
      <c r="I2" s="6">
        <f>F2+G2</f>
        <v>24718.386725844201</v>
      </c>
      <c r="J2" s="6">
        <v>-9686.1108143464007</v>
      </c>
      <c r="K2" s="6">
        <v>27914.545327342599</v>
      </c>
      <c r="L2" s="5">
        <v>-0.346991530786594</v>
      </c>
      <c r="M2" s="6">
        <f>J2+K2</f>
        <v>18228.434512996198</v>
      </c>
      <c r="N2" t="s">
        <v>24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</row>
    <row r="3" spans="1:42" x14ac:dyDescent="0.25">
      <c r="A3" t="s">
        <v>2</v>
      </c>
      <c r="B3" s="6">
        <v>-573819.81405192497</v>
      </c>
      <c r="C3" s="6">
        <v>815193.62386759603</v>
      </c>
      <c r="D3" s="5">
        <v>-0.70390616075908496</v>
      </c>
      <c r="E3" s="6">
        <f t="shared" ref="E3:E15" si="0">B3+C3</f>
        <v>241373.80981567106</v>
      </c>
      <c r="F3" s="6">
        <v>-84257.525916830593</v>
      </c>
      <c r="G3" s="6">
        <v>140944.522706794</v>
      </c>
      <c r="H3" s="5">
        <v>-0.59780631626324898</v>
      </c>
      <c r="I3" s="6">
        <f t="shared" ref="I3:I15" si="1">F3+G3</f>
        <v>56686.996789963407</v>
      </c>
      <c r="J3" s="6">
        <v>-23204.8464252616</v>
      </c>
      <c r="K3" s="6">
        <v>49651.190773092399</v>
      </c>
      <c r="L3" s="5">
        <v>-0.46735729927019298</v>
      </c>
      <c r="M3" s="6">
        <f t="shared" ref="M3:M15" si="2">J3+K3</f>
        <v>26446.3443478308</v>
      </c>
      <c r="N3" t="s">
        <v>24</v>
      </c>
    </row>
    <row r="4" spans="1:42" x14ac:dyDescent="0.25">
      <c r="A4" t="s">
        <v>3</v>
      </c>
      <c r="B4" s="6">
        <v>-189547.67770812401</v>
      </c>
      <c r="C4" s="6">
        <v>81242.480945637202</v>
      </c>
      <c r="D4" s="5">
        <v>-2.3331104060566301</v>
      </c>
      <c r="E4" s="6">
        <f t="shared" si="0"/>
        <v>-108305.19676248681</v>
      </c>
      <c r="F4" s="6">
        <v>-74162.1476601756</v>
      </c>
      <c r="G4" s="6">
        <v>40207.866336966101</v>
      </c>
      <c r="H4" s="5">
        <v>-1.8444686181219401</v>
      </c>
      <c r="I4" s="6">
        <f t="shared" si="1"/>
        <v>-33954.2813232095</v>
      </c>
      <c r="J4" s="6">
        <v>-41535.203838220703</v>
      </c>
      <c r="K4" s="6">
        <v>24697.2770423121</v>
      </c>
      <c r="L4" s="5">
        <v>-1.68177260056083</v>
      </c>
      <c r="M4" s="6">
        <f t="shared" si="2"/>
        <v>-16837.926795908603</v>
      </c>
      <c r="N4" t="s">
        <v>24</v>
      </c>
    </row>
    <row r="5" spans="1:42" x14ac:dyDescent="0.25">
      <c r="A5" t="s">
        <v>4</v>
      </c>
      <c r="B5" s="6">
        <v>-1529260.70418628</v>
      </c>
      <c r="C5" s="6">
        <v>1535271.1979602601</v>
      </c>
      <c r="D5" s="5">
        <v>-0.99608506055349399</v>
      </c>
      <c r="E5" s="6">
        <f t="shared" si="0"/>
        <v>6010.4937739800662</v>
      </c>
      <c r="F5" s="6">
        <v>-265902.76421105402</v>
      </c>
      <c r="G5" s="6">
        <v>266640.44285571203</v>
      </c>
      <c r="H5" s="5">
        <v>-0.99723343302029399</v>
      </c>
      <c r="I5" s="6">
        <f t="shared" si="1"/>
        <v>737.67864465800812</v>
      </c>
      <c r="J5" s="6">
        <v>-90741.464406757499</v>
      </c>
      <c r="K5" s="6">
        <v>89320.816158220798</v>
      </c>
      <c r="L5" s="5">
        <v>-1.0159050074735101</v>
      </c>
      <c r="M5" s="6">
        <f t="shared" si="2"/>
        <v>-1420.6482485367014</v>
      </c>
      <c r="N5" t="s">
        <v>24</v>
      </c>
    </row>
    <row r="6" spans="1:42" x14ac:dyDescent="0.25">
      <c r="A6" t="s">
        <v>14</v>
      </c>
      <c r="B6" s="6">
        <v>0</v>
      </c>
      <c r="C6" s="6">
        <v>16454.604553368801</v>
      </c>
      <c r="D6" s="5">
        <v>0</v>
      </c>
      <c r="E6" s="6">
        <f t="shared" si="0"/>
        <v>16454.604553368801</v>
      </c>
      <c r="F6" s="6">
        <v>0</v>
      </c>
      <c r="G6" s="6">
        <v>12922.5120645157</v>
      </c>
      <c r="H6" s="5">
        <v>0</v>
      </c>
      <c r="I6" s="6">
        <f t="shared" si="1"/>
        <v>12922.5120645157</v>
      </c>
      <c r="J6" s="6">
        <v>0</v>
      </c>
      <c r="K6" s="6">
        <v>10988.815786839299</v>
      </c>
      <c r="L6" s="5">
        <v>0</v>
      </c>
      <c r="M6" s="6">
        <f t="shared" si="2"/>
        <v>10988.815786839299</v>
      </c>
      <c r="N6" t="s">
        <v>24</v>
      </c>
    </row>
    <row r="7" spans="1:42" x14ac:dyDescent="0.25">
      <c r="A7" t="s">
        <v>6</v>
      </c>
      <c r="B7" s="6">
        <v>-81711.783899172602</v>
      </c>
      <c r="C7" s="6">
        <v>22059.733037833099</v>
      </c>
      <c r="D7" s="5">
        <v>-3.7041148122252601</v>
      </c>
      <c r="E7" s="6">
        <f t="shared" si="0"/>
        <v>-59652.050861339507</v>
      </c>
      <c r="F7" s="6">
        <v>-14041.807010664401</v>
      </c>
      <c r="G7" s="6">
        <v>17381.240704187301</v>
      </c>
      <c r="H7" s="5">
        <v>-0.8078713855727</v>
      </c>
      <c r="I7" s="6">
        <f t="shared" si="1"/>
        <v>3339.4336935229003</v>
      </c>
      <c r="J7" s="6">
        <v>-5067.3328268512496</v>
      </c>
      <c r="K7" s="6">
        <v>14808.855061788299</v>
      </c>
      <c r="L7" s="5">
        <v>-0.34218262017612899</v>
      </c>
      <c r="M7" s="6">
        <f t="shared" si="2"/>
        <v>9741.5222349370488</v>
      </c>
      <c r="N7" t="s">
        <v>24</v>
      </c>
    </row>
    <row r="8" spans="1:42" x14ac:dyDescent="0.25">
      <c r="A8" t="s">
        <v>5</v>
      </c>
      <c r="B8" s="6">
        <v>-74787.623200904796</v>
      </c>
      <c r="C8" s="6">
        <v>19094.971222653399</v>
      </c>
      <c r="D8" s="5">
        <v>-3.9166135590809201</v>
      </c>
      <c r="E8" s="6">
        <f t="shared" si="0"/>
        <v>-55692.651978251393</v>
      </c>
      <c r="F8" s="6">
        <v>-12795.920628411601</v>
      </c>
      <c r="G8" s="6">
        <v>14128.7206300791</v>
      </c>
      <c r="H8" s="5">
        <v>-0.90566732568623198</v>
      </c>
      <c r="I8" s="6">
        <f t="shared" si="1"/>
        <v>1332.8000016674996</v>
      </c>
      <c r="J8" s="6">
        <v>-4277.3243685469497</v>
      </c>
      <c r="K8" s="6">
        <v>11823.3041249241</v>
      </c>
      <c r="L8" s="5">
        <v>-0.361770645781675</v>
      </c>
      <c r="M8" s="6">
        <f t="shared" si="2"/>
        <v>7545.9797563771499</v>
      </c>
      <c r="N8" t="s">
        <v>24</v>
      </c>
    </row>
    <row r="9" spans="1:42" x14ac:dyDescent="0.25">
      <c r="A9" t="s">
        <v>8</v>
      </c>
      <c r="B9" s="6">
        <v>-201382.40255214801</v>
      </c>
      <c r="C9" s="6">
        <v>32071.308412600101</v>
      </c>
      <c r="D9" s="5">
        <v>-6.2792075696240897</v>
      </c>
      <c r="E9" s="6">
        <f t="shared" si="0"/>
        <v>-169311.0941395479</v>
      </c>
      <c r="F9" s="6">
        <v>-38626.101035459098</v>
      </c>
      <c r="G9" s="6">
        <v>19876.195905398199</v>
      </c>
      <c r="H9" s="5">
        <v>-1.9433346913716201</v>
      </c>
      <c r="I9" s="6">
        <f t="shared" si="1"/>
        <v>-18749.905130060899</v>
      </c>
      <c r="J9" s="6">
        <v>-14104.8743016727</v>
      </c>
      <c r="K9" s="6">
        <v>15017.4159804518</v>
      </c>
      <c r="L9" s="5">
        <v>-0.93923444086739505</v>
      </c>
      <c r="M9" s="6">
        <f t="shared" si="2"/>
        <v>912.54167877910004</v>
      </c>
      <c r="N9" t="s">
        <v>24</v>
      </c>
    </row>
    <row r="10" spans="1:42" x14ac:dyDescent="0.25">
      <c r="A10" t="s">
        <v>7</v>
      </c>
      <c r="B10" s="6">
        <v>-98338.675448048598</v>
      </c>
      <c r="C10" s="6">
        <v>21722.272439247401</v>
      </c>
      <c r="D10" s="5">
        <v>-4.5270896828626404</v>
      </c>
      <c r="E10" s="6">
        <f t="shared" si="0"/>
        <v>-76616.403008801193</v>
      </c>
      <c r="F10" s="6">
        <v>-17986.986790839499</v>
      </c>
      <c r="G10" s="6">
        <v>15287.094538355101</v>
      </c>
      <c r="H10" s="5">
        <v>-1.1766125175526601</v>
      </c>
      <c r="I10" s="6">
        <f t="shared" si="1"/>
        <v>-2699.8922524843983</v>
      </c>
      <c r="J10" s="6">
        <v>-6302.0903447309802</v>
      </c>
      <c r="K10" s="6">
        <v>12370.0600946878</v>
      </c>
      <c r="L10" s="5">
        <v>-0.50946319552944896</v>
      </c>
      <c r="M10" s="6">
        <f t="shared" si="2"/>
        <v>6067.9697499568201</v>
      </c>
      <c r="N10" t="s">
        <v>24</v>
      </c>
    </row>
    <row r="11" spans="1:42" x14ac:dyDescent="0.25">
      <c r="A11" t="s">
        <v>9</v>
      </c>
      <c r="B11" s="6">
        <v>-112560.083841115</v>
      </c>
      <c r="C11" s="6">
        <v>24071.699131444799</v>
      </c>
      <c r="D11" s="5">
        <v>-4.6760340109967</v>
      </c>
      <c r="E11" s="6">
        <f t="shared" si="0"/>
        <v>-88488.384709670208</v>
      </c>
      <c r="F11" s="6">
        <v>-20252.154009836198</v>
      </c>
      <c r="G11" s="6">
        <v>16316.162333554499</v>
      </c>
      <c r="H11" s="5">
        <v>-1.2412326866954</v>
      </c>
      <c r="I11" s="6">
        <f t="shared" si="1"/>
        <v>-3935.9916762816993</v>
      </c>
      <c r="J11" s="6">
        <v>-7133.5598014398502</v>
      </c>
      <c r="K11" s="6">
        <v>13309.729450819899</v>
      </c>
      <c r="L11" s="5">
        <v>-0.535965800642205</v>
      </c>
      <c r="M11" s="6">
        <f t="shared" si="2"/>
        <v>6176.1696493800491</v>
      </c>
      <c r="N11" t="s">
        <v>24</v>
      </c>
    </row>
    <row r="12" spans="1:42" x14ac:dyDescent="0.25">
      <c r="A12" t="s">
        <v>10</v>
      </c>
      <c r="B12" s="6">
        <v>-20612.841126253501</v>
      </c>
      <c r="C12" s="6">
        <v>47147.659759674803</v>
      </c>
      <c r="D12" s="5">
        <v>-0.43719754556903001</v>
      </c>
      <c r="E12" s="6">
        <f t="shared" si="0"/>
        <v>26534.818633421302</v>
      </c>
      <c r="F12" s="6">
        <v>-2555.2191726661399</v>
      </c>
      <c r="G12" s="6">
        <v>33709.460372616202</v>
      </c>
      <c r="H12" s="5">
        <v>-7.58012482081101E-2</v>
      </c>
      <c r="I12" s="6">
        <f t="shared" si="1"/>
        <v>31154.241199950062</v>
      </c>
      <c r="J12" s="6">
        <v>-817.00285092435604</v>
      </c>
      <c r="K12" s="6">
        <v>27410.213109250599</v>
      </c>
      <c r="L12" s="5">
        <v>-2.9806512180987999E-2</v>
      </c>
      <c r="M12" s="6">
        <f t="shared" si="2"/>
        <v>26593.210258326242</v>
      </c>
      <c r="N12" t="s">
        <v>24</v>
      </c>
    </row>
    <row r="13" spans="1:42" x14ac:dyDescent="0.25">
      <c r="A13" t="s">
        <v>11</v>
      </c>
      <c r="B13" s="6">
        <v>33750.559282223403</v>
      </c>
      <c r="C13" s="6">
        <v>913639.44245667802</v>
      </c>
      <c r="D13" s="5">
        <v>3.6940786172137897E-2</v>
      </c>
      <c r="E13" s="6">
        <f t="shared" si="0"/>
        <v>947390.00173890148</v>
      </c>
      <c r="F13" s="6">
        <v>5157.5221174354301</v>
      </c>
      <c r="G13" s="6">
        <v>235929.47854249101</v>
      </c>
      <c r="H13" s="5">
        <v>2.1860439608043899E-2</v>
      </c>
      <c r="I13" s="6">
        <f t="shared" si="1"/>
        <v>241087.00065992645</v>
      </c>
      <c r="J13" s="6">
        <v>-354.46081332431601</v>
      </c>
      <c r="K13" s="6">
        <v>113106.55812487499</v>
      </c>
      <c r="L13" s="5">
        <v>-3.1338661453474098E-3</v>
      </c>
      <c r="M13" s="6">
        <f t="shared" si="2"/>
        <v>112752.09731155068</v>
      </c>
      <c r="N13" t="s">
        <v>24</v>
      </c>
    </row>
    <row r="14" spans="1:42" x14ac:dyDescent="0.25">
      <c r="A14" t="s">
        <v>12</v>
      </c>
      <c r="B14" s="6">
        <v>-22101.075343330998</v>
      </c>
      <c r="C14" s="6">
        <v>27762.780358668701</v>
      </c>
      <c r="D14" s="5">
        <v>-0.79606851539385404</v>
      </c>
      <c r="E14" s="6">
        <f t="shared" si="0"/>
        <v>5661.7050153377022</v>
      </c>
      <c r="F14" s="6">
        <v>-2707.91448460225</v>
      </c>
      <c r="G14" s="6">
        <v>19251.584572950102</v>
      </c>
      <c r="H14" s="5">
        <v>-0.140659303879175</v>
      </c>
      <c r="I14" s="6">
        <f t="shared" si="1"/>
        <v>16543.670088347852</v>
      </c>
      <c r="J14" s="6">
        <v>-692.01167725153198</v>
      </c>
      <c r="K14" s="6">
        <v>15282.8414246461</v>
      </c>
      <c r="L14" s="5">
        <v>-4.5280302139073698E-2</v>
      </c>
      <c r="M14" s="6">
        <f t="shared" si="2"/>
        <v>14590.829747394568</v>
      </c>
      <c r="N14" t="s">
        <v>24</v>
      </c>
    </row>
    <row r="15" spans="1:42" x14ac:dyDescent="0.25">
      <c r="A15" t="s">
        <v>51</v>
      </c>
      <c r="B15" s="6">
        <v>-343064.27648368402</v>
      </c>
      <c r="C15" s="6">
        <v>96166.745901482194</v>
      </c>
      <c r="D15" s="5">
        <v>-3.5673898837664302</v>
      </c>
      <c r="E15" s="6">
        <f t="shared" si="0"/>
        <v>-246897.53058220184</v>
      </c>
      <c r="F15" s="6">
        <v>-100078.99781724501</v>
      </c>
      <c r="G15" s="6">
        <v>46662.644528508899</v>
      </c>
      <c r="H15" s="5">
        <v>-2.14473480507734</v>
      </c>
      <c r="I15" s="6">
        <f t="shared" si="1"/>
        <v>-53416.353288736107</v>
      </c>
      <c r="J15" s="6">
        <v>-49751.588765194501</v>
      </c>
      <c r="K15" s="6">
        <v>28330.3209334069</v>
      </c>
      <c r="L15" s="5">
        <v>-1.75612513822699</v>
      </c>
      <c r="M15" s="6">
        <f t="shared" si="2"/>
        <v>-21421.267831787602</v>
      </c>
      <c r="N15" s="1" t="s">
        <v>24</v>
      </c>
      <c r="O15" s="1"/>
    </row>
    <row r="16" spans="1:42" x14ac:dyDescent="0.25">
      <c r="B16" s="4"/>
      <c r="C16" s="4"/>
      <c r="E16" s="4"/>
      <c r="F16" s="4"/>
      <c r="G16" s="4"/>
      <c r="I16" s="4"/>
      <c r="J16" s="4"/>
      <c r="K16" s="4"/>
      <c r="M16" s="4"/>
    </row>
    <row r="17" spans="1:14" x14ac:dyDescent="0.25">
      <c r="A17" s="3" t="s">
        <v>52</v>
      </c>
      <c r="B17" s="4" t="s">
        <v>38</v>
      </c>
      <c r="C17" s="4" t="s">
        <v>39</v>
      </c>
      <c r="D17" s="5" t="s">
        <v>40</v>
      </c>
      <c r="E17" s="4" t="s">
        <v>41</v>
      </c>
      <c r="F17" s="4" t="s">
        <v>15</v>
      </c>
      <c r="G17" s="4" t="s">
        <v>16</v>
      </c>
      <c r="H17" s="5" t="s">
        <v>17</v>
      </c>
      <c r="I17" s="4" t="s">
        <v>18</v>
      </c>
      <c r="J17" s="4" t="s">
        <v>19</v>
      </c>
      <c r="K17" s="4" t="s">
        <v>20</v>
      </c>
      <c r="L17" s="5" t="s">
        <v>21</v>
      </c>
      <c r="M17" s="4" t="s">
        <v>22</v>
      </c>
      <c r="N17" t="s">
        <v>23</v>
      </c>
    </row>
    <row r="18" spans="1:14" x14ac:dyDescent="0.25">
      <c r="A18" t="s">
        <v>1</v>
      </c>
      <c r="B18" s="6">
        <f>B2-B$34</f>
        <v>-94864.731470308194</v>
      </c>
      <c r="C18" s="6">
        <f>C2-C$34</f>
        <v>105080.9619645402</v>
      </c>
      <c r="D18" s="5">
        <f>B18/C18</f>
        <v>-0.90277753169332908</v>
      </c>
      <c r="E18" s="6">
        <f>B18+C18</f>
        <v>10216.230494232004</v>
      </c>
      <c r="F18" s="6">
        <f>F2-F$34</f>
        <v>-24012.4014868552</v>
      </c>
      <c r="G18" s="6">
        <f>G2-G$34</f>
        <v>35808.276148183701</v>
      </c>
      <c r="H18" s="5">
        <f>F18/G18</f>
        <v>-0.67058244824424973</v>
      </c>
      <c r="I18" s="6">
        <f>F18+G18</f>
        <v>11795.8746613285</v>
      </c>
      <c r="J18" s="6">
        <f>J2-J$34</f>
        <v>-9686.1108143464007</v>
      </c>
      <c r="K18" s="6">
        <f>K2-K$34</f>
        <v>16925.7295405033</v>
      </c>
      <c r="L18" s="5">
        <f>J18/K18</f>
        <v>-0.57227139256641912</v>
      </c>
      <c r="M18" s="6">
        <f>J18+K18</f>
        <v>7239.6187261568994</v>
      </c>
      <c r="N18" t="s">
        <v>24</v>
      </c>
    </row>
    <row r="19" spans="1:14" x14ac:dyDescent="0.25">
      <c r="A19" t="s">
        <v>2</v>
      </c>
      <c r="B19" s="6">
        <f t="shared" ref="B19:C31" si="3">B3-B$34</f>
        <v>-573819.81405192497</v>
      </c>
      <c r="C19" s="6">
        <f t="shared" si="3"/>
        <v>798739.01931422728</v>
      </c>
      <c r="D19" s="5">
        <f t="shared" ref="D19:D31" si="4">B19/C19</f>
        <v>-0.71840713947415391</v>
      </c>
      <c r="E19" s="6">
        <f t="shared" ref="E19:E31" si="5">B19+C19</f>
        <v>224919.2052623023</v>
      </c>
      <c r="F19" s="6">
        <f t="shared" ref="F19:G31" si="6">F3-F$34</f>
        <v>-84257.525916830593</v>
      </c>
      <c r="G19" s="6">
        <f t="shared" si="6"/>
        <v>128022.0106422783</v>
      </c>
      <c r="H19" s="5">
        <f t="shared" ref="H19:H31" si="7">F19/G19</f>
        <v>-0.65814874718898675</v>
      </c>
      <c r="I19" s="6">
        <f t="shared" ref="I19:I31" si="8">F19+G19</f>
        <v>43764.484725447706</v>
      </c>
      <c r="J19" s="6">
        <f t="shared" ref="J19:K31" si="9">J3-J$34</f>
        <v>-23204.8464252616</v>
      </c>
      <c r="K19" s="6">
        <f t="shared" si="9"/>
        <v>38662.374986253097</v>
      </c>
      <c r="L19" s="5">
        <f t="shared" ref="L19:L31" si="10">J19/K19</f>
        <v>-0.60019195493066269</v>
      </c>
      <c r="M19" s="6">
        <f t="shared" ref="M19:M31" si="11">J19+K19</f>
        <v>15457.528560991497</v>
      </c>
      <c r="N19" t="s">
        <v>24</v>
      </c>
    </row>
    <row r="20" spans="1:14" x14ac:dyDescent="0.25">
      <c r="A20" t="s">
        <v>3</v>
      </c>
      <c r="B20" s="6">
        <f t="shared" si="3"/>
        <v>-189547.67770812401</v>
      </c>
      <c r="C20" s="6">
        <f t="shared" si="3"/>
        <v>64787.876392268401</v>
      </c>
      <c r="D20" s="5">
        <f t="shared" si="4"/>
        <v>-2.9256658539088045</v>
      </c>
      <c r="E20" s="6">
        <f t="shared" si="5"/>
        <v>-124759.80131585561</v>
      </c>
      <c r="F20" s="6">
        <f t="shared" si="6"/>
        <v>-74162.1476601756</v>
      </c>
      <c r="G20" s="6">
        <f t="shared" si="6"/>
        <v>27285.3542724504</v>
      </c>
      <c r="H20" s="5">
        <f t="shared" si="7"/>
        <v>-2.7180203313341611</v>
      </c>
      <c r="I20" s="6">
        <f t="shared" si="8"/>
        <v>-46876.7933877252</v>
      </c>
      <c r="J20" s="6">
        <f t="shared" si="9"/>
        <v>-41535.203838220703</v>
      </c>
      <c r="K20" s="6">
        <f t="shared" si="9"/>
        <v>13708.461255472801</v>
      </c>
      <c r="L20" s="5">
        <f t="shared" si="10"/>
        <v>-3.0298954101532503</v>
      </c>
      <c r="M20" s="6">
        <f t="shared" si="11"/>
        <v>-27826.742582747902</v>
      </c>
      <c r="N20" t="s">
        <v>24</v>
      </c>
    </row>
    <row r="21" spans="1:14" x14ac:dyDescent="0.25">
      <c r="A21" t="s">
        <v>4</v>
      </c>
      <c r="B21" s="6">
        <f t="shared" si="3"/>
        <v>-1529260.70418628</v>
      </c>
      <c r="C21" s="6">
        <f t="shared" si="3"/>
        <v>1518816.5934068912</v>
      </c>
      <c r="D21" s="5">
        <f t="shared" si="4"/>
        <v>-1.006876479243594</v>
      </c>
      <c r="E21" s="6">
        <f t="shared" si="5"/>
        <v>-10444.110779388808</v>
      </c>
      <c r="F21" s="6">
        <f t="shared" si="6"/>
        <v>-265902.76421105402</v>
      </c>
      <c r="G21" s="6">
        <f t="shared" si="6"/>
        <v>253717.93079119633</v>
      </c>
      <c r="H21" s="5">
        <f t="shared" si="7"/>
        <v>-1.0480251174280839</v>
      </c>
      <c r="I21" s="6">
        <f t="shared" si="8"/>
        <v>-12184.833419857692</v>
      </c>
      <c r="J21" s="6">
        <f t="shared" si="9"/>
        <v>-90741.464406757499</v>
      </c>
      <c r="K21" s="6">
        <f t="shared" si="9"/>
        <v>78332.000371381495</v>
      </c>
      <c r="L21" s="5">
        <f t="shared" si="10"/>
        <v>-1.1584213855964514</v>
      </c>
      <c r="M21" s="6">
        <f t="shared" si="11"/>
        <v>-12409.464035376004</v>
      </c>
      <c r="N21" t="s">
        <v>24</v>
      </c>
    </row>
    <row r="22" spans="1:14" x14ac:dyDescent="0.25">
      <c r="A22" t="s">
        <v>14</v>
      </c>
      <c r="B22" s="6">
        <f t="shared" si="3"/>
        <v>0</v>
      </c>
      <c r="C22" s="6">
        <f t="shared" si="3"/>
        <v>0</v>
      </c>
      <c r="D22" s="5" t="e">
        <f t="shared" si="4"/>
        <v>#DIV/0!</v>
      </c>
      <c r="E22" s="6">
        <f t="shared" si="5"/>
        <v>0</v>
      </c>
      <c r="F22" s="6">
        <f t="shared" si="6"/>
        <v>0</v>
      </c>
      <c r="G22" s="6">
        <f t="shared" si="6"/>
        <v>0</v>
      </c>
      <c r="H22" s="5" t="e">
        <f t="shared" si="7"/>
        <v>#DIV/0!</v>
      </c>
      <c r="I22" s="6">
        <f t="shared" si="8"/>
        <v>0</v>
      </c>
      <c r="J22" s="6">
        <f t="shared" si="9"/>
        <v>0</v>
      </c>
      <c r="K22" s="6">
        <f t="shared" si="9"/>
        <v>0</v>
      </c>
      <c r="L22" s="5" t="e">
        <f t="shared" si="10"/>
        <v>#DIV/0!</v>
      </c>
      <c r="M22" s="6">
        <f t="shared" si="11"/>
        <v>0</v>
      </c>
      <c r="N22" t="s">
        <v>24</v>
      </c>
    </row>
    <row r="23" spans="1:14" x14ac:dyDescent="0.25">
      <c r="A23" t="s">
        <v>6</v>
      </c>
      <c r="B23" s="6">
        <f t="shared" si="3"/>
        <v>-81711.783899172602</v>
      </c>
      <c r="C23" s="6">
        <f t="shared" si="3"/>
        <v>5605.1284844642978</v>
      </c>
      <c r="D23" s="5">
        <f t="shared" si="4"/>
        <v>-14.578039401889303</v>
      </c>
      <c r="E23" s="6">
        <f t="shared" si="5"/>
        <v>-76106.655414708308</v>
      </c>
      <c r="F23" s="6">
        <f t="shared" si="6"/>
        <v>-14041.807010664401</v>
      </c>
      <c r="G23" s="6">
        <f t="shared" si="6"/>
        <v>4458.7286396716008</v>
      </c>
      <c r="H23" s="5">
        <f t="shared" si="7"/>
        <v>-3.1492849521559183</v>
      </c>
      <c r="I23" s="6">
        <f t="shared" si="8"/>
        <v>-9583.0783709928</v>
      </c>
      <c r="J23" s="6">
        <f t="shared" si="9"/>
        <v>-5067.3328268512496</v>
      </c>
      <c r="K23" s="6">
        <f t="shared" si="9"/>
        <v>3820.0392749490002</v>
      </c>
      <c r="L23" s="5">
        <f t="shared" si="10"/>
        <v>-1.3265132796099071</v>
      </c>
      <c r="M23" s="6">
        <f t="shared" si="11"/>
        <v>-1247.2935519022494</v>
      </c>
      <c r="N23" t="s">
        <v>24</v>
      </c>
    </row>
    <row r="24" spans="1:14" x14ac:dyDescent="0.25">
      <c r="A24" t="s">
        <v>5</v>
      </c>
      <c r="B24" s="6">
        <f t="shared" si="3"/>
        <v>-74787.623200904796</v>
      </c>
      <c r="C24" s="6">
        <f t="shared" si="3"/>
        <v>2640.3666692845982</v>
      </c>
      <c r="D24" s="5">
        <f t="shared" si="4"/>
        <v>-28.324711136112146</v>
      </c>
      <c r="E24" s="6">
        <f t="shared" si="5"/>
        <v>-72147.256531620194</v>
      </c>
      <c r="F24" s="6">
        <f t="shared" si="6"/>
        <v>-12795.920628411601</v>
      </c>
      <c r="G24" s="6">
        <f t="shared" si="6"/>
        <v>1206.2085655634</v>
      </c>
      <c r="H24" s="5">
        <f t="shared" si="7"/>
        <v>-10.608381496971743</v>
      </c>
      <c r="I24" s="6">
        <f t="shared" si="8"/>
        <v>-11589.712062848201</v>
      </c>
      <c r="J24" s="6">
        <f t="shared" si="9"/>
        <v>-4277.3243685469497</v>
      </c>
      <c r="K24" s="6">
        <f t="shared" si="9"/>
        <v>834.48833808480049</v>
      </c>
      <c r="L24" s="5">
        <f t="shared" si="10"/>
        <v>-5.125685013602058</v>
      </c>
      <c r="M24" s="6">
        <f t="shared" si="11"/>
        <v>-3442.8360304621492</v>
      </c>
      <c r="N24" t="s">
        <v>24</v>
      </c>
    </row>
    <row r="25" spans="1:14" x14ac:dyDescent="0.25">
      <c r="A25" t="s">
        <v>8</v>
      </c>
      <c r="B25" s="6">
        <f t="shared" si="3"/>
        <v>-201382.40255214801</v>
      </c>
      <c r="C25" s="6">
        <f t="shared" si="3"/>
        <v>15616.7038592313</v>
      </c>
      <c r="D25" s="5">
        <f t="shared" si="4"/>
        <v>-12.895320572600053</v>
      </c>
      <c r="E25" s="6">
        <f t="shared" si="5"/>
        <v>-185765.69869291672</v>
      </c>
      <c r="F25" s="6">
        <f t="shared" si="6"/>
        <v>-38626.101035459098</v>
      </c>
      <c r="G25" s="6">
        <f t="shared" si="6"/>
        <v>6953.6838408824988</v>
      </c>
      <c r="H25" s="5">
        <f t="shared" si="7"/>
        <v>-5.5547680796711374</v>
      </c>
      <c r="I25" s="6">
        <f t="shared" si="8"/>
        <v>-31672.417194576599</v>
      </c>
      <c r="J25" s="6">
        <f t="shared" si="9"/>
        <v>-14104.8743016727</v>
      </c>
      <c r="K25" s="6">
        <f t="shared" si="9"/>
        <v>4028.6001936125012</v>
      </c>
      <c r="L25" s="5">
        <f t="shared" si="10"/>
        <v>-3.5011849336741121</v>
      </c>
      <c r="M25" s="6">
        <f t="shared" si="11"/>
        <v>-10076.274108060199</v>
      </c>
      <c r="N25" t="s">
        <v>24</v>
      </c>
    </row>
    <row r="26" spans="1:14" x14ac:dyDescent="0.25">
      <c r="A26" t="s">
        <v>7</v>
      </c>
      <c r="B26" s="6">
        <f t="shared" si="3"/>
        <v>-98338.675448048598</v>
      </c>
      <c r="C26" s="6">
        <f t="shared" si="3"/>
        <v>5267.6678858785999</v>
      </c>
      <c r="D26" s="5">
        <f t="shared" si="4"/>
        <v>-18.668351456186496</v>
      </c>
      <c r="E26" s="6">
        <f t="shared" si="5"/>
        <v>-93071.007562169994</v>
      </c>
      <c r="F26" s="6">
        <f t="shared" si="6"/>
        <v>-17986.986790839499</v>
      </c>
      <c r="G26" s="6">
        <f t="shared" si="6"/>
        <v>2364.5824738394003</v>
      </c>
      <c r="H26" s="5">
        <f t="shared" si="7"/>
        <v>-7.6068341831333193</v>
      </c>
      <c r="I26" s="6">
        <f t="shared" si="8"/>
        <v>-15622.404317000099</v>
      </c>
      <c r="J26" s="6">
        <f t="shared" si="9"/>
        <v>-6302.0903447309802</v>
      </c>
      <c r="K26" s="6">
        <f t="shared" si="9"/>
        <v>1381.2443078485012</v>
      </c>
      <c r="L26" s="5">
        <f t="shared" si="10"/>
        <v>-4.5626181472178864</v>
      </c>
      <c r="M26" s="6">
        <f t="shared" si="11"/>
        <v>-4920.846036882479</v>
      </c>
      <c r="N26" t="s">
        <v>24</v>
      </c>
    </row>
    <row r="27" spans="1:14" x14ac:dyDescent="0.25">
      <c r="A27" t="s">
        <v>9</v>
      </c>
      <c r="B27" s="6">
        <f t="shared" si="3"/>
        <v>-112560.083841115</v>
      </c>
      <c r="C27" s="6">
        <f t="shared" si="3"/>
        <v>7617.0945780759976</v>
      </c>
      <c r="D27" s="5">
        <f t="shared" si="4"/>
        <v>-14.777298967127511</v>
      </c>
      <c r="E27" s="6">
        <f t="shared" si="5"/>
        <v>-104942.98926303901</v>
      </c>
      <c r="F27" s="6">
        <f t="shared" si="6"/>
        <v>-20252.154009836198</v>
      </c>
      <c r="G27" s="6">
        <f t="shared" si="6"/>
        <v>3393.6502690387988</v>
      </c>
      <c r="H27" s="5">
        <f t="shared" si="7"/>
        <v>-5.967660897353551</v>
      </c>
      <c r="I27" s="6">
        <f t="shared" si="8"/>
        <v>-16858.503740797401</v>
      </c>
      <c r="J27" s="6">
        <f t="shared" si="9"/>
        <v>-7133.5598014398502</v>
      </c>
      <c r="K27" s="6">
        <f t="shared" si="9"/>
        <v>2320.9136639806002</v>
      </c>
      <c r="L27" s="5">
        <f t="shared" si="10"/>
        <v>-3.0735998120693031</v>
      </c>
      <c r="M27" s="6">
        <f t="shared" si="11"/>
        <v>-4812.64613745925</v>
      </c>
      <c r="N27" t="s">
        <v>24</v>
      </c>
    </row>
    <row r="28" spans="1:14" x14ac:dyDescent="0.25">
      <c r="A28" t="s">
        <v>10</v>
      </c>
      <c r="B28" s="6">
        <f t="shared" si="3"/>
        <v>-20612.841126253501</v>
      </c>
      <c r="C28" s="6">
        <f t="shared" si="3"/>
        <v>30693.055206306002</v>
      </c>
      <c r="D28" s="5">
        <f t="shared" si="4"/>
        <v>-0.67157997102935896</v>
      </c>
      <c r="E28" s="6">
        <f t="shared" si="5"/>
        <v>10080.214080052501</v>
      </c>
      <c r="F28" s="6">
        <f t="shared" si="6"/>
        <v>-2555.2191726661399</v>
      </c>
      <c r="G28" s="6">
        <f t="shared" si="6"/>
        <v>20786.948308100502</v>
      </c>
      <c r="H28" s="5">
        <f t="shared" si="7"/>
        <v>-0.12292420872910874</v>
      </c>
      <c r="I28" s="6">
        <f t="shared" si="8"/>
        <v>18231.729135434362</v>
      </c>
      <c r="J28" s="6">
        <f t="shared" si="9"/>
        <v>-817.00285092435604</v>
      </c>
      <c r="K28" s="6">
        <f t="shared" si="9"/>
        <v>16421.3973224113</v>
      </c>
      <c r="L28" s="5">
        <f t="shared" si="10"/>
        <v>-4.9752334401491009E-2</v>
      </c>
      <c r="M28" s="6">
        <f t="shared" si="11"/>
        <v>15604.394471486943</v>
      </c>
      <c r="N28" t="s">
        <v>24</v>
      </c>
    </row>
    <row r="29" spans="1:14" x14ac:dyDescent="0.25">
      <c r="A29" t="s">
        <v>11</v>
      </c>
      <c r="B29" s="6">
        <f t="shared" si="3"/>
        <v>33750.559282223403</v>
      </c>
      <c r="C29" s="6">
        <f t="shared" si="3"/>
        <v>897184.83790330926</v>
      </c>
      <c r="D29" s="5">
        <f t="shared" si="4"/>
        <v>3.7618289851060485E-2</v>
      </c>
      <c r="E29" s="6">
        <f t="shared" si="5"/>
        <v>930935.39718553261</v>
      </c>
      <c r="F29" s="6">
        <f t="shared" si="6"/>
        <v>5157.5221174354301</v>
      </c>
      <c r="G29" s="6">
        <f t="shared" si="6"/>
        <v>223006.96647797531</v>
      </c>
      <c r="H29" s="5">
        <f t="shared" si="7"/>
        <v>2.3127179383182182E-2</v>
      </c>
      <c r="I29" s="6">
        <f t="shared" si="8"/>
        <v>228164.48859541074</v>
      </c>
      <c r="J29" s="6">
        <f t="shared" si="9"/>
        <v>-354.46081332431601</v>
      </c>
      <c r="K29" s="6">
        <f t="shared" si="9"/>
        <v>102117.74233803569</v>
      </c>
      <c r="L29" s="5">
        <f t="shared" si="10"/>
        <v>-3.4710991959747855E-3</v>
      </c>
      <c r="M29" s="6">
        <f t="shared" si="11"/>
        <v>101763.28152471138</v>
      </c>
      <c r="N29" t="s">
        <v>24</v>
      </c>
    </row>
    <row r="30" spans="1:14" x14ac:dyDescent="0.25">
      <c r="A30" t="s">
        <v>12</v>
      </c>
      <c r="B30" s="6">
        <f t="shared" si="3"/>
        <v>-22101.075343330998</v>
      </c>
      <c r="C30" s="6">
        <f t="shared" si="3"/>
        <v>11308.175805299899</v>
      </c>
      <c r="D30" s="5">
        <f t="shared" si="4"/>
        <v>-1.954433298867948</v>
      </c>
      <c r="E30" s="6">
        <f t="shared" si="5"/>
        <v>-10792.899538031099</v>
      </c>
      <c r="F30" s="6">
        <f t="shared" si="6"/>
        <v>-2707.91448460225</v>
      </c>
      <c r="G30" s="6">
        <f t="shared" si="6"/>
        <v>6329.0725084344012</v>
      </c>
      <c r="H30" s="5">
        <f t="shared" si="7"/>
        <v>-0.42785328829675495</v>
      </c>
      <c r="I30" s="6">
        <f t="shared" si="8"/>
        <v>3621.1580238321512</v>
      </c>
      <c r="J30" s="6">
        <f t="shared" si="9"/>
        <v>-692.01167725153198</v>
      </c>
      <c r="K30" s="6">
        <f t="shared" si="9"/>
        <v>4294.0256378068007</v>
      </c>
      <c r="L30" s="5">
        <f t="shared" si="10"/>
        <v>-0.16115685736915653</v>
      </c>
      <c r="M30" s="6">
        <f t="shared" si="11"/>
        <v>3602.0139605552686</v>
      </c>
      <c r="N30" t="s">
        <v>24</v>
      </c>
    </row>
    <row r="31" spans="1:14" x14ac:dyDescent="0.25">
      <c r="A31" t="s">
        <v>51</v>
      </c>
      <c r="B31" s="6">
        <f t="shared" si="3"/>
        <v>-343064.27648368402</v>
      </c>
      <c r="C31" s="6">
        <f t="shared" si="3"/>
        <v>79712.141348113393</v>
      </c>
      <c r="D31" s="5">
        <f t="shared" si="4"/>
        <v>-4.3037894940681278</v>
      </c>
      <c r="E31" s="6">
        <f t="shared" si="5"/>
        <v>-263352.13513557066</v>
      </c>
      <c r="F31" s="6">
        <f t="shared" si="6"/>
        <v>-100078.99781724501</v>
      </c>
      <c r="G31" s="6">
        <f t="shared" si="6"/>
        <v>33740.132463993199</v>
      </c>
      <c r="H31" s="5">
        <f t="shared" si="7"/>
        <v>-2.966170862667695</v>
      </c>
      <c r="I31" s="6">
        <f t="shared" si="8"/>
        <v>-66338.865353251807</v>
      </c>
      <c r="J31" s="6">
        <f t="shared" si="9"/>
        <v>-49751.588765194501</v>
      </c>
      <c r="K31" s="6">
        <f t="shared" si="9"/>
        <v>17341.505146567601</v>
      </c>
      <c r="L31" s="5">
        <f t="shared" si="10"/>
        <v>-2.8689314073203054</v>
      </c>
      <c r="M31" s="6">
        <f t="shared" si="11"/>
        <v>-32410.083618626901</v>
      </c>
      <c r="N31" t="s">
        <v>24</v>
      </c>
    </row>
    <row r="33" spans="1:11" x14ac:dyDescent="0.25">
      <c r="A33" t="s">
        <v>13</v>
      </c>
      <c r="B33" t="s">
        <v>53</v>
      </c>
      <c r="C33" t="s">
        <v>54</v>
      </c>
      <c r="F33" t="s">
        <v>55</v>
      </c>
      <c r="G33" t="s">
        <v>56</v>
      </c>
      <c r="J33" t="s">
        <v>57</v>
      </c>
      <c r="K33" t="s">
        <v>58</v>
      </c>
    </row>
    <row r="34" spans="1:11" x14ac:dyDescent="0.25">
      <c r="B34" s="1">
        <v>0</v>
      </c>
      <c r="C34" s="1">
        <v>16454.604553368801</v>
      </c>
      <c r="F34" s="1">
        <v>0</v>
      </c>
      <c r="G34" s="1">
        <v>12922.5120645157</v>
      </c>
      <c r="J34" s="1">
        <v>0</v>
      </c>
      <c r="K34" s="1">
        <v>10988.815786839299</v>
      </c>
    </row>
  </sheetData>
  <autoFilter ref="A1:N1" xr:uid="{18025FA5-7769-47FF-9EA0-8E472D7D4015}">
    <sortState xmlns:xlrd2="http://schemas.microsoft.com/office/spreadsheetml/2017/richdata2" ref="A2:N14">
      <sortCondition ref="A1"/>
    </sortState>
  </autoFilter>
  <conditionalFormatting sqref="D18:D31">
    <cfRule type="colorScale" priority="3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H18:H31">
    <cfRule type="colorScale" priority="2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L2:L15 H2:H15 D2:D15">
    <cfRule type="colorScale" priority="4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L18:L31">
    <cfRule type="colorScale" priority="1">
      <colorScale>
        <cfvo type="min"/>
        <cfvo type="num" val="-1"/>
        <cfvo type="max"/>
        <color theme="6"/>
        <color theme="0"/>
        <color rgb="FFC00000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C2576-3F3B-4E71-BDB4-1E4541BB8CBE}">
  <dimension ref="A1:P138"/>
  <sheetViews>
    <sheetView tabSelected="1" topLeftCell="C51" zoomScale="70" zoomScaleNormal="70" workbookViewId="0">
      <selection activeCell="AC75" sqref="AC75"/>
    </sheetView>
  </sheetViews>
  <sheetFormatPr defaultRowHeight="15" x14ac:dyDescent="0.25"/>
  <cols>
    <col min="1" max="1" width="22.28515625" bestFit="1" customWidth="1"/>
    <col min="2" max="2" width="8.5703125" bestFit="1" customWidth="1"/>
    <col min="3" max="3" width="15.140625" bestFit="1" customWidth="1"/>
    <col min="4" max="4" width="12.85546875" bestFit="1" customWidth="1"/>
    <col min="5" max="5" width="11.5703125" bestFit="1" customWidth="1"/>
    <col min="6" max="6" width="12.5703125" bestFit="1" customWidth="1"/>
    <col min="7" max="7" width="12.42578125" bestFit="1" customWidth="1"/>
    <col min="8" max="8" width="12.7109375" bestFit="1" customWidth="1"/>
    <col min="9" max="9" width="8.7109375" bestFit="1" customWidth="1"/>
    <col min="10" max="10" width="9.7109375" bestFit="1" customWidth="1"/>
    <col min="11" max="11" width="11.28515625" bestFit="1" customWidth="1"/>
    <col min="12" max="12" width="9.7109375" bestFit="1" customWidth="1"/>
    <col min="13" max="13" width="10.140625" bestFit="1" customWidth="1"/>
    <col min="14" max="14" width="9.28515625" bestFit="1" customWidth="1"/>
  </cols>
  <sheetData>
    <row r="1" spans="1:16" x14ac:dyDescent="0.25">
      <c r="A1" t="str">
        <f>Low!A1</f>
        <v>Scenario</v>
      </c>
      <c r="B1" t="s">
        <v>28</v>
      </c>
      <c r="C1" t="s">
        <v>15</v>
      </c>
      <c r="D1" t="s">
        <v>16</v>
      </c>
      <c r="E1" t="s">
        <v>82</v>
      </c>
      <c r="F1" t="s">
        <v>83</v>
      </c>
      <c r="G1" t="s">
        <v>84</v>
      </c>
      <c r="H1" t="s">
        <v>85</v>
      </c>
      <c r="I1" t="s">
        <v>86</v>
      </c>
      <c r="J1" t="s">
        <v>87</v>
      </c>
      <c r="K1" t="s">
        <v>88</v>
      </c>
      <c r="L1" t="s">
        <v>89</v>
      </c>
      <c r="M1" t="s">
        <v>90</v>
      </c>
      <c r="N1" t="s">
        <v>91</v>
      </c>
      <c r="P1" s="7">
        <v>0.12</v>
      </c>
    </row>
    <row r="2" spans="1:16" x14ac:dyDescent="0.25">
      <c r="A2" t="s">
        <v>1</v>
      </c>
      <c r="B2" t="s">
        <v>30</v>
      </c>
      <c r="C2" s="1">
        <v>11.644658803537901</v>
      </c>
      <c r="D2" s="1">
        <v>20.995318762810705</v>
      </c>
      <c r="F2" s="1">
        <f>C2</f>
        <v>11.644658803537901</v>
      </c>
    </row>
    <row r="3" spans="1:16" x14ac:dyDescent="0.25">
      <c r="A3" t="s">
        <v>2</v>
      </c>
      <c r="B3" t="s">
        <v>30</v>
      </c>
      <c r="C3" s="1">
        <v>30.8488092279228</v>
      </c>
      <c r="D3" s="1">
        <v>57.295127698267699</v>
      </c>
      <c r="F3" s="1">
        <f>C3</f>
        <v>30.8488092279228</v>
      </c>
    </row>
    <row r="4" spans="1:16" x14ac:dyDescent="0.25">
      <c r="A4" t="s">
        <v>3</v>
      </c>
      <c r="B4" t="s">
        <v>30</v>
      </c>
      <c r="C4" s="1">
        <v>48.889259790475499</v>
      </c>
      <c r="D4" s="1">
        <v>17.1979631434811</v>
      </c>
      <c r="F4" s="1">
        <f>C4</f>
        <v>48.889259790475499</v>
      </c>
    </row>
    <row r="5" spans="1:16" x14ac:dyDescent="0.25">
      <c r="A5" t="s">
        <v>4</v>
      </c>
      <c r="B5" t="s">
        <v>30</v>
      </c>
      <c r="C5" s="1">
        <v>124.837112954951</v>
      </c>
      <c r="D5" s="1">
        <v>114.2747717876463</v>
      </c>
      <c r="F5" s="1">
        <f>C5</f>
        <v>124.837112954951</v>
      </c>
    </row>
    <row r="6" spans="1:16" x14ac:dyDescent="0.25">
      <c r="A6" t="s">
        <v>6</v>
      </c>
      <c r="B6" t="s">
        <v>30</v>
      </c>
      <c r="C6" s="1">
        <v>5.7182312864800897</v>
      </c>
      <c r="D6" s="1">
        <v>4.1659214180670006</v>
      </c>
      <c r="E6" s="1">
        <f>C6</f>
        <v>5.7182312864800897</v>
      </c>
    </row>
    <row r="7" spans="1:16" x14ac:dyDescent="0.25">
      <c r="A7" t="s">
        <v>5</v>
      </c>
      <c r="B7" t="s">
        <v>30</v>
      </c>
      <c r="C7" s="1">
        <v>6.1003980291767999</v>
      </c>
      <c r="D7" s="1">
        <v>1.180627920843901</v>
      </c>
      <c r="E7" s="1">
        <f>C7</f>
        <v>6.1003980291767999</v>
      </c>
    </row>
    <row r="8" spans="1:16" x14ac:dyDescent="0.25">
      <c r="A8" t="s">
        <v>8</v>
      </c>
      <c r="B8" t="s">
        <v>30</v>
      </c>
      <c r="C8" s="1">
        <v>20.9724031247715</v>
      </c>
      <c r="D8" s="1">
        <v>6.8639098429973</v>
      </c>
      <c r="E8" s="1">
        <f>C8</f>
        <v>20.9724031247715</v>
      </c>
    </row>
    <row r="9" spans="1:16" x14ac:dyDescent="0.25">
      <c r="A9" t="s">
        <v>7</v>
      </c>
      <c r="B9" t="s">
        <v>30</v>
      </c>
      <c r="C9" s="1">
        <v>9.1759801601351985</v>
      </c>
      <c r="D9" s="1">
        <v>2.3271051036413009</v>
      </c>
      <c r="E9" s="1">
        <f>C9</f>
        <v>9.1759801601351985</v>
      </c>
    </row>
    <row r="10" spans="1:16" x14ac:dyDescent="0.25">
      <c r="A10" t="s">
        <v>9</v>
      </c>
      <c r="B10" t="s">
        <v>30</v>
      </c>
      <c r="C10" s="1">
        <v>10.472884531638799</v>
      </c>
      <c r="D10" s="1">
        <v>3.3537537925179004</v>
      </c>
      <c r="E10" s="1">
        <f>C10</f>
        <v>10.472884531638799</v>
      </c>
    </row>
    <row r="11" spans="1:16" x14ac:dyDescent="0.25">
      <c r="A11" t="s">
        <v>13</v>
      </c>
      <c r="B11" t="s">
        <v>30</v>
      </c>
      <c r="C11" s="1">
        <v>0</v>
      </c>
      <c r="D11" s="1">
        <v>0</v>
      </c>
      <c r="I11" s="1">
        <f>C11</f>
        <v>0</v>
      </c>
    </row>
    <row r="12" spans="1:16" x14ac:dyDescent="0.25">
      <c r="A12" t="s">
        <v>10</v>
      </c>
      <c r="B12" t="s">
        <v>30</v>
      </c>
      <c r="C12" s="1">
        <v>3.2085743248811902E-2</v>
      </c>
      <c r="D12" s="1">
        <v>20.766988076812304</v>
      </c>
      <c r="G12" s="1">
        <f>C12</f>
        <v>3.2085743248811902E-2</v>
      </c>
    </row>
    <row r="13" spans="1:16" x14ac:dyDescent="0.25">
      <c r="A13" t="s">
        <v>11</v>
      </c>
      <c r="B13" t="s">
        <v>30</v>
      </c>
      <c r="C13" s="1">
        <v>-4.4606170443716504</v>
      </c>
      <c r="D13" s="1">
        <v>210.7920060033253</v>
      </c>
      <c r="G13" s="1">
        <f>C13</f>
        <v>-4.4606170443716504</v>
      </c>
    </row>
    <row r="14" spans="1:16" x14ac:dyDescent="0.25">
      <c r="A14" t="s">
        <v>12</v>
      </c>
      <c r="B14" t="s">
        <v>30</v>
      </c>
      <c r="C14" s="1">
        <v>0.18416268361230301</v>
      </c>
      <c r="D14" s="1">
        <v>6.3180926480786024</v>
      </c>
      <c r="G14" s="1">
        <f>C14</f>
        <v>0.18416268361230301</v>
      </c>
    </row>
    <row r="15" spans="1:16" x14ac:dyDescent="0.25">
      <c r="A15" t="s">
        <v>51</v>
      </c>
      <c r="B15" t="s">
        <v>30</v>
      </c>
      <c r="C15" s="1">
        <v>55.3942403007933</v>
      </c>
      <c r="D15" s="1">
        <v>32.817166808422193</v>
      </c>
      <c r="H15" s="1">
        <f>C15</f>
        <v>55.3942403007933</v>
      </c>
    </row>
    <row r="16" spans="1:16" x14ac:dyDescent="0.25">
      <c r="A16" t="s">
        <v>1</v>
      </c>
      <c r="B16" t="s">
        <v>32</v>
      </c>
      <c r="C16" s="1">
        <v>24.0124014868552</v>
      </c>
      <c r="D16" s="1">
        <v>35.808276148183701</v>
      </c>
      <c r="K16" s="1">
        <f>C16</f>
        <v>24.0124014868552</v>
      </c>
    </row>
    <row r="17" spans="1:14" x14ac:dyDescent="0.25">
      <c r="A17" t="s">
        <v>2</v>
      </c>
      <c r="B17" t="s">
        <v>32</v>
      </c>
      <c r="C17" s="1">
        <v>84.257525916830588</v>
      </c>
      <c r="D17" s="1">
        <v>128.0220106422783</v>
      </c>
      <c r="K17" s="1">
        <f>C17</f>
        <v>84.257525916830588</v>
      </c>
    </row>
    <row r="18" spans="1:14" x14ac:dyDescent="0.25">
      <c r="A18" t="s">
        <v>3</v>
      </c>
      <c r="B18" t="s">
        <v>32</v>
      </c>
      <c r="C18" s="1">
        <v>74.162147660175606</v>
      </c>
      <c r="D18" s="1">
        <v>27.285354272450402</v>
      </c>
      <c r="K18" s="1">
        <f>C18</f>
        <v>74.162147660175606</v>
      </c>
    </row>
    <row r="19" spans="1:14" x14ac:dyDescent="0.25">
      <c r="A19" t="s">
        <v>4</v>
      </c>
      <c r="B19" t="s">
        <v>32</v>
      </c>
      <c r="C19" s="1">
        <v>265.90276421105403</v>
      </c>
      <c r="D19" s="1">
        <v>253.71793079119632</v>
      </c>
      <c r="K19" s="1">
        <f>C19</f>
        <v>265.90276421105403</v>
      </c>
    </row>
    <row r="20" spans="1:14" x14ac:dyDescent="0.25">
      <c r="A20" t="s">
        <v>14</v>
      </c>
      <c r="B20" t="s">
        <v>32</v>
      </c>
      <c r="C20" s="1">
        <v>0</v>
      </c>
      <c r="D20" s="1">
        <v>0</v>
      </c>
      <c r="N20" s="1">
        <f>C20</f>
        <v>0</v>
      </c>
    </row>
    <row r="21" spans="1:14" x14ac:dyDescent="0.25">
      <c r="A21" t="s">
        <v>6</v>
      </c>
      <c r="B21" t="s">
        <v>32</v>
      </c>
      <c r="C21" s="1">
        <v>14.041807010664401</v>
      </c>
      <c r="D21" s="1">
        <v>4.4587286396716008</v>
      </c>
      <c r="J21" s="1">
        <f>C21</f>
        <v>14.041807010664401</v>
      </c>
    </row>
    <row r="22" spans="1:14" x14ac:dyDescent="0.25">
      <c r="A22" t="s">
        <v>5</v>
      </c>
      <c r="B22" t="s">
        <v>32</v>
      </c>
      <c r="C22" s="1">
        <v>12.795920628411601</v>
      </c>
      <c r="D22" s="1">
        <v>1.2062085655634001</v>
      </c>
      <c r="J22" s="1">
        <f>C22</f>
        <v>12.795920628411601</v>
      </c>
    </row>
    <row r="23" spans="1:14" x14ac:dyDescent="0.25">
      <c r="A23" t="s">
        <v>8</v>
      </c>
      <c r="B23" t="s">
        <v>32</v>
      </c>
      <c r="C23" s="1">
        <v>38.626101035459101</v>
      </c>
      <c r="D23" s="1">
        <v>6.9536838408824986</v>
      </c>
      <c r="J23" s="1">
        <f>C23</f>
        <v>38.626101035459101</v>
      </c>
    </row>
    <row r="24" spans="1:14" x14ac:dyDescent="0.25">
      <c r="A24" t="s">
        <v>7</v>
      </c>
      <c r="B24" t="s">
        <v>32</v>
      </c>
      <c r="C24" s="1">
        <v>17.986986790839499</v>
      </c>
      <c r="D24" s="1">
        <v>2.3645824738394001</v>
      </c>
      <c r="J24" s="1">
        <f>C24</f>
        <v>17.986986790839499</v>
      </c>
    </row>
    <row r="25" spans="1:14" x14ac:dyDescent="0.25">
      <c r="A25" t="s">
        <v>9</v>
      </c>
      <c r="B25" t="s">
        <v>32</v>
      </c>
      <c r="C25" s="1">
        <v>20.252154009836197</v>
      </c>
      <c r="D25" s="1">
        <v>3.3936502690387989</v>
      </c>
      <c r="J25" s="1">
        <f>C25</f>
        <v>20.252154009836197</v>
      </c>
    </row>
    <row r="26" spans="1:14" x14ac:dyDescent="0.25">
      <c r="A26" t="s">
        <v>10</v>
      </c>
      <c r="B26" t="s">
        <v>32</v>
      </c>
      <c r="C26" s="1">
        <v>2.5552191726661397</v>
      </c>
      <c r="D26" s="1">
        <v>20.786948308100502</v>
      </c>
      <c r="L26" s="1">
        <f>C26</f>
        <v>2.5552191726661397</v>
      </c>
    </row>
    <row r="27" spans="1:14" x14ac:dyDescent="0.25">
      <c r="A27" t="s">
        <v>11</v>
      </c>
      <c r="B27" t="s">
        <v>32</v>
      </c>
      <c r="C27" s="1">
        <v>-5.1575221174354304</v>
      </c>
      <c r="D27" s="1">
        <v>223.00696647797531</v>
      </c>
      <c r="L27" s="1">
        <f>C27</f>
        <v>-5.1575221174354304</v>
      </c>
    </row>
    <row r="28" spans="1:14" x14ac:dyDescent="0.25">
      <c r="A28" t="s">
        <v>12</v>
      </c>
      <c r="B28" t="s">
        <v>32</v>
      </c>
      <c r="C28" s="1">
        <v>2.70791448460225</v>
      </c>
      <c r="D28" s="1">
        <v>6.3290725084344013</v>
      </c>
      <c r="L28" s="1">
        <f>C28</f>
        <v>2.70791448460225</v>
      </c>
    </row>
    <row r="29" spans="1:14" x14ac:dyDescent="0.25">
      <c r="A29" t="s">
        <v>51</v>
      </c>
      <c r="B29" t="s">
        <v>32</v>
      </c>
      <c r="C29" s="1">
        <v>100.07899781724501</v>
      </c>
      <c r="D29" s="1">
        <v>33.740132463993199</v>
      </c>
      <c r="M29" s="1">
        <f>C29</f>
        <v>100.07899781724501</v>
      </c>
    </row>
    <row r="32" spans="1:14" x14ac:dyDescent="0.25">
      <c r="C32" s="1" t="s">
        <v>92</v>
      </c>
      <c r="D32" s="1"/>
    </row>
    <row r="33" spans="1:16" x14ac:dyDescent="0.25">
      <c r="A33" t="str">
        <f>Low!A33</f>
        <v>Low Baseline</v>
      </c>
      <c r="B33" t="s">
        <v>28</v>
      </c>
      <c r="C33" t="s">
        <v>38</v>
      </c>
      <c r="D33" t="s">
        <v>39</v>
      </c>
      <c r="E33" t="s">
        <v>82</v>
      </c>
      <c r="F33" t="s">
        <v>83</v>
      </c>
      <c r="G33" t="s">
        <v>84</v>
      </c>
      <c r="H33" t="s">
        <v>85</v>
      </c>
      <c r="I33" t="s">
        <v>86</v>
      </c>
      <c r="J33" t="s">
        <v>87</v>
      </c>
      <c r="K33" t="s">
        <v>88</v>
      </c>
      <c r="L33" t="s">
        <v>89</v>
      </c>
      <c r="M33" t="s">
        <v>90</v>
      </c>
      <c r="N33" t="s">
        <v>91</v>
      </c>
      <c r="P33" s="7">
        <v>0.02</v>
      </c>
    </row>
    <row r="34" spans="1:16" x14ac:dyDescent="0.25">
      <c r="A34" t="s">
        <v>1</v>
      </c>
      <c r="B34" t="s">
        <v>30</v>
      </c>
      <c r="C34" s="1">
        <v>40.991392169844005</v>
      </c>
      <c r="D34" s="1">
        <v>59.4787370107423</v>
      </c>
      <c r="F34" s="1">
        <f>C34</f>
        <v>40.991392169844005</v>
      </c>
    </row>
    <row r="35" spans="1:16" x14ac:dyDescent="0.25">
      <c r="A35" t="s">
        <v>2</v>
      </c>
      <c r="B35" t="s">
        <v>30</v>
      </c>
      <c r="C35" s="1">
        <v>190.30731757226701</v>
      </c>
      <c r="D35" s="1">
        <v>327.23642892221409</v>
      </c>
      <c r="F35" s="1">
        <f>C35</f>
        <v>190.30731757226701</v>
      </c>
    </row>
    <row r="36" spans="1:16" x14ac:dyDescent="0.25">
      <c r="A36" t="s">
        <v>3</v>
      </c>
      <c r="B36" t="s">
        <v>30</v>
      </c>
      <c r="C36" s="1">
        <v>112.322040618713</v>
      </c>
      <c r="D36" s="1">
        <v>42.255357612054198</v>
      </c>
      <c r="F36" s="1">
        <f>C36</f>
        <v>112.322040618713</v>
      </c>
    </row>
    <row r="37" spans="1:16" x14ac:dyDescent="0.25">
      <c r="A37" t="s">
        <v>4</v>
      </c>
      <c r="B37" t="s">
        <v>30</v>
      </c>
      <c r="C37" s="1">
        <v>611.71112191152508</v>
      </c>
      <c r="D37" s="1">
        <v>618.48096790879902</v>
      </c>
      <c r="F37" s="1">
        <f>C37</f>
        <v>611.71112191152508</v>
      </c>
    </row>
    <row r="38" spans="1:16" x14ac:dyDescent="0.25">
      <c r="A38" t="s">
        <v>6</v>
      </c>
      <c r="B38" t="s">
        <v>30</v>
      </c>
      <c r="C38" s="1">
        <v>23.639052484741402</v>
      </c>
      <c r="D38" s="1">
        <v>5.1967019918885997</v>
      </c>
      <c r="E38" s="1">
        <f>C38</f>
        <v>23.639052484741402</v>
      </c>
    </row>
    <row r="39" spans="1:16" x14ac:dyDescent="0.25">
      <c r="A39" t="s">
        <v>5</v>
      </c>
      <c r="B39" t="s">
        <v>30</v>
      </c>
      <c r="C39" s="1">
        <v>30.682746255407402</v>
      </c>
      <c r="D39" s="1">
        <v>2.6047893640988988</v>
      </c>
      <c r="E39" s="1">
        <f>C39</f>
        <v>30.682746255407402</v>
      </c>
    </row>
    <row r="40" spans="1:16" x14ac:dyDescent="0.25">
      <c r="A40" t="s">
        <v>8</v>
      </c>
      <c r="B40" t="s">
        <v>30</v>
      </c>
      <c r="C40" s="1">
        <v>97.079650583780889</v>
      </c>
      <c r="D40" s="1">
        <v>15.4915645497712</v>
      </c>
      <c r="E40" s="1">
        <f>C40</f>
        <v>97.079650583780889</v>
      </c>
    </row>
    <row r="41" spans="1:16" x14ac:dyDescent="0.25">
      <c r="A41" t="s">
        <v>7</v>
      </c>
      <c r="B41" t="s">
        <v>30</v>
      </c>
      <c r="C41" s="1">
        <v>43.683158017839396</v>
      </c>
      <c r="D41" s="1">
        <v>5.2154990279757003</v>
      </c>
      <c r="E41" s="1">
        <f>C41</f>
        <v>43.683158017839396</v>
      </c>
    </row>
    <row r="42" spans="1:16" x14ac:dyDescent="0.25">
      <c r="A42" t="s">
        <v>9</v>
      </c>
      <c r="B42" t="s">
        <v>30</v>
      </c>
      <c r="C42" s="1">
        <v>50.470555104885598</v>
      </c>
      <c r="D42" s="1">
        <v>7.5615187567422</v>
      </c>
      <c r="E42" s="1">
        <f>C42</f>
        <v>50.470555104885598</v>
      </c>
    </row>
    <row r="43" spans="1:16" x14ac:dyDescent="0.25">
      <c r="A43" t="s">
        <v>13</v>
      </c>
      <c r="B43" t="s">
        <v>30</v>
      </c>
      <c r="C43" s="1">
        <v>0</v>
      </c>
      <c r="D43" s="1">
        <v>0</v>
      </c>
      <c r="I43" s="1">
        <f>C43</f>
        <v>0</v>
      </c>
    </row>
    <row r="44" spans="1:16" x14ac:dyDescent="0.25">
      <c r="A44" t="s">
        <v>10</v>
      </c>
      <c r="B44" t="s">
        <v>30</v>
      </c>
      <c r="C44" s="1">
        <v>1.4045679010868701</v>
      </c>
      <c r="D44" s="1">
        <v>30.645956721305598</v>
      </c>
      <c r="G44" s="1">
        <f>C44</f>
        <v>1.4045679010868701</v>
      </c>
    </row>
    <row r="45" spans="1:16" x14ac:dyDescent="0.25">
      <c r="A45" t="s">
        <v>11</v>
      </c>
      <c r="B45" t="s">
        <v>30</v>
      </c>
      <c r="C45" s="1">
        <v>-40.603419309400401</v>
      </c>
      <c r="D45" s="1">
        <v>813.68307561047015</v>
      </c>
      <c r="G45" s="1">
        <f>C45</f>
        <v>-40.603419309400401</v>
      </c>
    </row>
    <row r="46" spans="1:16" x14ac:dyDescent="0.25">
      <c r="A46" t="s">
        <v>12</v>
      </c>
      <c r="B46" t="s">
        <v>30</v>
      </c>
      <c r="C46" s="1">
        <v>2.6267782954144598</v>
      </c>
      <c r="D46" s="1">
        <v>11.2811978684907</v>
      </c>
      <c r="G46" s="1">
        <f>C46</f>
        <v>2.6267782954144598</v>
      </c>
    </row>
    <row r="47" spans="1:16" x14ac:dyDescent="0.25">
      <c r="A47" t="s">
        <v>51</v>
      </c>
      <c r="B47" t="s">
        <v>30</v>
      </c>
      <c r="C47" s="1">
        <v>177.56027976733</v>
      </c>
      <c r="D47" s="1">
        <v>70.162474951677609</v>
      </c>
      <c r="H47" s="1">
        <f>C47</f>
        <v>177.56027976733</v>
      </c>
    </row>
    <row r="48" spans="1:16" x14ac:dyDescent="0.25">
      <c r="A48" t="s">
        <v>1</v>
      </c>
      <c r="B48" t="s">
        <v>32</v>
      </c>
      <c r="C48" s="1">
        <v>94.8647314703082</v>
      </c>
      <c r="D48" s="1">
        <v>105.08096196454019</v>
      </c>
      <c r="K48" s="1">
        <f>C48</f>
        <v>94.8647314703082</v>
      </c>
    </row>
    <row r="49" spans="1:14" x14ac:dyDescent="0.25">
      <c r="A49" t="s">
        <v>2</v>
      </c>
      <c r="B49" t="s">
        <v>32</v>
      </c>
      <c r="C49" s="1">
        <v>573.81981405192494</v>
      </c>
      <c r="D49" s="1">
        <v>798.73901931422722</v>
      </c>
      <c r="K49" s="1">
        <f>C49</f>
        <v>573.81981405192494</v>
      </c>
    </row>
    <row r="50" spans="1:14" x14ac:dyDescent="0.25">
      <c r="A50" t="s">
        <v>3</v>
      </c>
      <c r="B50" t="s">
        <v>32</v>
      </c>
      <c r="C50" s="1">
        <v>189.54767770812401</v>
      </c>
      <c r="D50" s="1">
        <v>64.787876392268402</v>
      </c>
      <c r="K50" s="1">
        <f>C50</f>
        <v>189.54767770812401</v>
      </c>
    </row>
    <row r="51" spans="1:14" x14ac:dyDescent="0.25">
      <c r="A51" t="s">
        <v>4</v>
      </c>
      <c r="B51" t="s">
        <v>32</v>
      </c>
      <c r="C51" s="1">
        <v>1529.26070418628</v>
      </c>
      <c r="D51" s="1">
        <v>1518.8165934068911</v>
      </c>
      <c r="K51" s="1">
        <f>C51</f>
        <v>1529.26070418628</v>
      </c>
    </row>
    <row r="52" spans="1:14" x14ac:dyDescent="0.25">
      <c r="A52" t="s">
        <v>14</v>
      </c>
      <c r="B52" t="s">
        <v>32</v>
      </c>
      <c r="C52" s="1">
        <v>0</v>
      </c>
      <c r="D52" s="1">
        <v>0</v>
      </c>
      <c r="N52" s="1">
        <f>C52</f>
        <v>0</v>
      </c>
    </row>
    <row r="53" spans="1:14" x14ac:dyDescent="0.25">
      <c r="A53" t="s">
        <v>6</v>
      </c>
      <c r="B53" t="s">
        <v>32</v>
      </c>
      <c r="C53" s="1">
        <v>81.711783899172602</v>
      </c>
      <c r="D53" s="1">
        <v>5.6051284844642977</v>
      </c>
      <c r="J53" s="1">
        <f>C53</f>
        <v>81.711783899172602</v>
      </c>
    </row>
    <row r="54" spans="1:14" x14ac:dyDescent="0.25">
      <c r="A54" t="s">
        <v>5</v>
      </c>
      <c r="B54" t="s">
        <v>32</v>
      </c>
      <c r="C54" s="1">
        <v>74.78762320090479</v>
      </c>
      <c r="D54" s="1">
        <v>2.6403666692845982</v>
      </c>
      <c r="J54" s="1">
        <f>C54</f>
        <v>74.78762320090479</v>
      </c>
    </row>
    <row r="55" spans="1:14" x14ac:dyDescent="0.25">
      <c r="A55" t="s">
        <v>8</v>
      </c>
      <c r="B55" t="s">
        <v>32</v>
      </c>
      <c r="C55" s="1">
        <v>201.38240255214799</v>
      </c>
      <c r="D55" s="1">
        <v>15.616703859231301</v>
      </c>
      <c r="J55" s="1">
        <f>C55</f>
        <v>201.38240255214799</v>
      </c>
    </row>
    <row r="56" spans="1:14" x14ac:dyDescent="0.25">
      <c r="A56" t="s">
        <v>7</v>
      </c>
      <c r="B56" t="s">
        <v>32</v>
      </c>
      <c r="C56" s="1">
        <v>98.338675448048605</v>
      </c>
      <c r="D56" s="1">
        <v>5.2676678858786001</v>
      </c>
      <c r="J56" s="1">
        <f>C56</f>
        <v>98.338675448048605</v>
      </c>
    </row>
    <row r="57" spans="1:14" x14ac:dyDescent="0.25">
      <c r="A57" t="s">
        <v>9</v>
      </c>
      <c r="B57" t="s">
        <v>32</v>
      </c>
      <c r="C57" s="1">
        <v>112.560083841115</v>
      </c>
      <c r="D57" s="1">
        <v>7.6170945780759975</v>
      </c>
      <c r="J57" s="1">
        <f>C57</f>
        <v>112.560083841115</v>
      </c>
    </row>
    <row r="58" spans="1:14" x14ac:dyDescent="0.25">
      <c r="A58" t="s">
        <v>10</v>
      </c>
      <c r="B58" t="s">
        <v>32</v>
      </c>
      <c r="C58" s="1">
        <v>20.6128411262535</v>
      </c>
      <c r="D58" s="1">
        <v>30.693055206306003</v>
      </c>
      <c r="L58" s="1">
        <f>C58</f>
        <v>20.6128411262535</v>
      </c>
    </row>
    <row r="59" spans="1:14" x14ac:dyDescent="0.25">
      <c r="A59" t="s">
        <v>11</v>
      </c>
      <c r="B59" t="s">
        <v>32</v>
      </c>
      <c r="C59" s="1">
        <v>-33.750559282223406</v>
      </c>
      <c r="D59" s="1">
        <v>897.18483790330924</v>
      </c>
      <c r="L59" s="1">
        <f>C59</f>
        <v>-33.750559282223406</v>
      </c>
    </row>
    <row r="60" spans="1:14" x14ac:dyDescent="0.25">
      <c r="A60" t="s">
        <v>12</v>
      </c>
      <c r="B60" t="s">
        <v>32</v>
      </c>
      <c r="C60" s="1">
        <v>22.101075343330997</v>
      </c>
      <c r="D60" s="1">
        <v>11.3081758052999</v>
      </c>
      <c r="L60" s="1">
        <f>C60</f>
        <v>22.101075343330997</v>
      </c>
    </row>
    <row r="61" spans="1:14" x14ac:dyDescent="0.25">
      <c r="A61" t="s">
        <v>51</v>
      </c>
      <c r="B61" t="s">
        <v>32</v>
      </c>
      <c r="C61" s="1">
        <v>343.06427648368401</v>
      </c>
      <c r="D61" s="1">
        <v>79.712141348113391</v>
      </c>
      <c r="M61" s="1">
        <f>C61</f>
        <v>343.06427648368401</v>
      </c>
    </row>
    <row r="62" spans="1:14" x14ac:dyDescent="0.25">
      <c r="C62" s="1"/>
    </row>
    <row r="63" spans="1:14" x14ac:dyDescent="0.25">
      <c r="C63" s="1"/>
    </row>
    <row r="64" spans="1:14" x14ac:dyDescent="0.25">
      <c r="C64" s="1"/>
    </row>
    <row r="65" spans="1:16" x14ac:dyDescent="0.25">
      <c r="C65" s="1"/>
    </row>
    <row r="66" spans="1:16" x14ac:dyDescent="0.25">
      <c r="C66" s="1"/>
    </row>
    <row r="67" spans="1:16" x14ac:dyDescent="0.25">
      <c r="C67" s="1"/>
    </row>
    <row r="68" spans="1:16" x14ac:dyDescent="0.25">
      <c r="C68" s="1"/>
    </row>
    <row r="69" spans="1:16" x14ac:dyDescent="0.25">
      <c r="C69" s="1"/>
    </row>
    <row r="70" spans="1:16" x14ac:dyDescent="0.25">
      <c r="A70">
        <f>Low!A70</f>
        <v>0</v>
      </c>
      <c r="B70" t="s">
        <v>28</v>
      </c>
      <c r="C70" t="s">
        <v>19</v>
      </c>
      <c r="D70" t="s">
        <v>20</v>
      </c>
      <c r="E70" t="s">
        <v>82</v>
      </c>
      <c r="F70" t="s">
        <v>83</v>
      </c>
      <c r="G70" t="s">
        <v>84</v>
      </c>
      <c r="H70" t="s">
        <v>85</v>
      </c>
      <c r="I70" t="s">
        <v>86</v>
      </c>
      <c r="J70" t="s">
        <v>87</v>
      </c>
      <c r="K70" t="s">
        <v>88</v>
      </c>
      <c r="L70" t="s">
        <v>89</v>
      </c>
      <c r="M70" t="s">
        <v>90</v>
      </c>
      <c r="N70" t="s">
        <v>91</v>
      </c>
      <c r="P70" s="7">
        <v>0.2</v>
      </c>
    </row>
    <row r="71" spans="1:16" x14ac:dyDescent="0.25">
      <c r="A71" t="s">
        <v>1</v>
      </c>
      <c r="B71" t="s">
        <v>30</v>
      </c>
      <c r="C71" s="1">
        <v>5.0021063151110798</v>
      </c>
      <c r="D71" s="1">
        <v>10.203174483434049</v>
      </c>
      <c r="F71" s="1">
        <f>C71</f>
        <v>5.0021063151110798</v>
      </c>
    </row>
    <row r="72" spans="1:16" x14ac:dyDescent="0.25">
      <c r="A72" t="s">
        <v>2</v>
      </c>
      <c r="B72" t="s">
        <v>30</v>
      </c>
      <c r="C72" s="1">
        <v>9.3940921605190795</v>
      </c>
      <c r="D72" s="1">
        <v>18.899450639673852</v>
      </c>
      <c r="F72" s="1">
        <f>C72</f>
        <v>9.3940921605190795</v>
      </c>
    </row>
    <row r="73" spans="1:16" x14ac:dyDescent="0.25">
      <c r="A73" t="s">
        <v>3</v>
      </c>
      <c r="B73" t="s">
        <v>30</v>
      </c>
      <c r="C73" s="1">
        <v>28.941918173507901</v>
      </c>
      <c r="D73" s="1">
        <v>8.1479350694003507</v>
      </c>
      <c r="F73" s="1">
        <f>C73</f>
        <v>28.941918173507901</v>
      </c>
    </row>
    <row r="74" spans="1:16" x14ac:dyDescent="0.25">
      <c r="A74" t="s">
        <v>4</v>
      </c>
      <c r="B74" t="s">
        <v>30</v>
      </c>
      <c r="C74" s="1">
        <v>49.513350620204001</v>
      </c>
      <c r="D74" s="1">
        <v>37.966275643994955</v>
      </c>
      <c r="F74" s="1">
        <f>C74</f>
        <v>49.513350620204001</v>
      </c>
    </row>
    <row r="75" spans="1:16" x14ac:dyDescent="0.25">
      <c r="A75" t="s">
        <v>6</v>
      </c>
      <c r="B75" t="s">
        <v>30</v>
      </c>
      <c r="C75" s="1">
        <v>2.7903663637267599</v>
      </c>
      <c r="D75" s="1">
        <v>3.5888208597516513</v>
      </c>
      <c r="E75" s="1">
        <f>C75</f>
        <v>2.7903663637267599</v>
      </c>
    </row>
    <row r="76" spans="1:16" x14ac:dyDescent="0.25">
      <c r="A76" t="s">
        <v>5</v>
      </c>
      <c r="B76" t="s">
        <v>30</v>
      </c>
      <c r="C76" s="1">
        <v>2.3607973050558697</v>
      </c>
      <c r="D76" s="1">
        <v>0.81423624224365088</v>
      </c>
      <c r="E76" s="1">
        <f>C76</f>
        <v>2.3607973050558697</v>
      </c>
    </row>
    <row r="77" spans="1:16" x14ac:dyDescent="0.25">
      <c r="A77" t="s">
        <v>8</v>
      </c>
      <c r="B77" t="s">
        <v>30</v>
      </c>
      <c r="C77" s="1">
        <v>8.4064334333911788</v>
      </c>
      <c r="D77" s="1">
        <v>3.9576675821073515</v>
      </c>
      <c r="E77" s="1">
        <f>C77</f>
        <v>8.4064334333911788</v>
      </c>
    </row>
    <row r="78" spans="1:16" x14ac:dyDescent="0.25">
      <c r="A78" t="s">
        <v>7</v>
      </c>
      <c r="B78" t="s">
        <v>30</v>
      </c>
      <c r="C78" s="1">
        <v>3.6100129557775897</v>
      </c>
      <c r="D78" s="1">
        <v>1.3515964489735506</v>
      </c>
      <c r="E78" s="1">
        <f>C78</f>
        <v>3.6100129557775897</v>
      </c>
    </row>
    <row r="79" spans="1:16" x14ac:dyDescent="0.25">
      <c r="A79" t="s">
        <v>9</v>
      </c>
      <c r="B79" t="s">
        <v>30</v>
      </c>
      <c r="C79" s="1">
        <v>4.2134803805597603</v>
      </c>
      <c r="D79" s="1">
        <v>2.2893718320445515</v>
      </c>
      <c r="E79" s="1">
        <f>C79</f>
        <v>4.2134803805597603</v>
      </c>
    </row>
    <row r="80" spans="1:16" x14ac:dyDescent="0.25">
      <c r="A80" t="s">
        <v>13</v>
      </c>
      <c r="B80" t="s">
        <v>30</v>
      </c>
      <c r="C80" s="1">
        <v>0</v>
      </c>
      <c r="D80" s="1">
        <v>0</v>
      </c>
      <c r="I80" s="1">
        <f>C80</f>
        <v>0</v>
      </c>
    </row>
    <row r="81" spans="1:14" x14ac:dyDescent="0.25">
      <c r="A81" t="s">
        <v>10</v>
      </c>
      <c r="B81" t="s">
        <v>30</v>
      </c>
      <c r="C81" s="1">
        <v>0.22743782558660999</v>
      </c>
      <c r="D81" s="1">
        <v>16.410750520843852</v>
      </c>
      <c r="G81" s="1">
        <f>C81</f>
        <v>0.22743782558660999</v>
      </c>
    </row>
    <row r="82" spans="1:14" x14ac:dyDescent="0.25">
      <c r="A82" t="s">
        <v>11</v>
      </c>
      <c r="B82" t="s">
        <v>30</v>
      </c>
      <c r="C82" s="1">
        <v>1.03107110519603</v>
      </c>
      <c r="D82" s="1">
        <v>98.908904641411851</v>
      </c>
      <c r="G82" s="1">
        <f>C82</f>
        <v>1.03107110519603</v>
      </c>
    </row>
    <row r="83" spans="1:14" x14ac:dyDescent="0.25">
      <c r="A83" t="s">
        <v>12</v>
      </c>
      <c r="B83" t="s">
        <v>30</v>
      </c>
      <c r="C83" s="1">
        <v>0.125237709722896</v>
      </c>
      <c r="D83" s="1">
        <v>4.2883705311750511</v>
      </c>
      <c r="G83" s="1">
        <f>C83</f>
        <v>0.125237709722896</v>
      </c>
    </row>
    <row r="84" spans="1:14" x14ac:dyDescent="0.25">
      <c r="A84" t="s">
        <v>51</v>
      </c>
      <c r="B84" t="s">
        <v>30</v>
      </c>
      <c r="C84" s="1">
        <v>27.847218892906103</v>
      </c>
      <c r="D84" s="1">
        <v>19.04779606237355</v>
      </c>
      <c r="H84" s="1">
        <f>C84</f>
        <v>27.847218892906103</v>
      </c>
    </row>
    <row r="85" spans="1:14" x14ac:dyDescent="0.25">
      <c r="A85" t="s">
        <v>1</v>
      </c>
      <c r="B85" t="s">
        <v>32</v>
      </c>
      <c r="C85" s="1">
        <v>9.6861108143464012</v>
      </c>
      <c r="D85" s="1">
        <v>16.925729540503301</v>
      </c>
      <c r="K85" s="1">
        <f>C85</f>
        <v>9.6861108143464012</v>
      </c>
    </row>
    <row r="86" spans="1:14" x14ac:dyDescent="0.25">
      <c r="A86" t="s">
        <v>2</v>
      </c>
      <c r="B86" t="s">
        <v>32</v>
      </c>
      <c r="C86" s="1">
        <v>23.2048464252616</v>
      </c>
      <c r="D86" s="1">
        <v>38.662374986253099</v>
      </c>
      <c r="K86" s="1">
        <f>C86</f>
        <v>23.2048464252616</v>
      </c>
    </row>
    <row r="87" spans="1:14" x14ac:dyDescent="0.25">
      <c r="A87" t="s">
        <v>3</v>
      </c>
      <c r="B87" t="s">
        <v>32</v>
      </c>
      <c r="C87" s="1">
        <v>41.535203838220703</v>
      </c>
      <c r="D87" s="1">
        <v>13.708461255472802</v>
      </c>
      <c r="K87" s="1">
        <f>C87</f>
        <v>41.535203838220703</v>
      </c>
    </row>
    <row r="88" spans="1:14" x14ac:dyDescent="0.25">
      <c r="A88" t="s">
        <v>4</v>
      </c>
      <c r="B88" t="s">
        <v>32</v>
      </c>
      <c r="C88" s="1">
        <v>90.741464406757501</v>
      </c>
      <c r="D88" s="1">
        <v>78.332000371381497</v>
      </c>
      <c r="K88" s="1">
        <f>C88</f>
        <v>90.741464406757501</v>
      </c>
    </row>
    <row r="89" spans="1:14" x14ac:dyDescent="0.25">
      <c r="A89" t="s">
        <v>14</v>
      </c>
      <c r="B89" t="s">
        <v>32</v>
      </c>
      <c r="C89" s="1">
        <v>0</v>
      </c>
      <c r="D89" s="1">
        <v>0</v>
      </c>
      <c r="N89" s="1">
        <f>C89</f>
        <v>0</v>
      </c>
    </row>
    <row r="90" spans="1:14" x14ac:dyDescent="0.25">
      <c r="A90" t="s">
        <v>6</v>
      </c>
      <c r="B90" t="s">
        <v>32</v>
      </c>
      <c r="C90" s="1">
        <v>5.0673328268512492</v>
      </c>
      <c r="D90" s="1">
        <v>3.820039274949</v>
      </c>
      <c r="J90" s="1">
        <f>C90</f>
        <v>5.0673328268512492</v>
      </c>
    </row>
    <row r="91" spans="1:14" x14ac:dyDescent="0.25">
      <c r="A91" t="s">
        <v>5</v>
      </c>
      <c r="B91" t="s">
        <v>32</v>
      </c>
      <c r="C91" s="1">
        <v>4.2773243685469495</v>
      </c>
      <c r="D91" s="1">
        <v>0.8344883380848005</v>
      </c>
      <c r="J91" s="1">
        <f>C91</f>
        <v>4.2773243685469495</v>
      </c>
    </row>
    <row r="92" spans="1:14" x14ac:dyDescent="0.25">
      <c r="A92" t="s">
        <v>8</v>
      </c>
      <c r="B92" t="s">
        <v>32</v>
      </c>
      <c r="C92" s="1">
        <v>14.1048743016727</v>
      </c>
      <c r="D92" s="1">
        <v>4.0286001936125011</v>
      </c>
      <c r="J92" s="1">
        <f>C92</f>
        <v>14.1048743016727</v>
      </c>
    </row>
    <row r="93" spans="1:14" x14ac:dyDescent="0.25">
      <c r="A93" t="s">
        <v>7</v>
      </c>
      <c r="B93" t="s">
        <v>32</v>
      </c>
      <c r="C93" s="1">
        <v>6.3020903447309804</v>
      </c>
      <c r="D93" s="1">
        <v>1.3812443078485013</v>
      </c>
      <c r="J93" s="1">
        <f>C93</f>
        <v>6.3020903447309804</v>
      </c>
    </row>
    <row r="94" spans="1:14" x14ac:dyDescent="0.25">
      <c r="A94" t="s">
        <v>9</v>
      </c>
      <c r="B94" t="s">
        <v>32</v>
      </c>
      <c r="C94" s="1">
        <v>7.1335598014398505</v>
      </c>
      <c r="D94" s="1">
        <v>2.3209136639806003</v>
      </c>
      <c r="J94" s="1">
        <f>C94</f>
        <v>7.1335598014398505</v>
      </c>
    </row>
    <row r="95" spans="1:14" x14ac:dyDescent="0.25">
      <c r="A95" t="s">
        <v>10</v>
      </c>
      <c r="B95" t="s">
        <v>32</v>
      </c>
      <c r="C95" s="1">
        <v>0.81700285092435609</v>
      </c>
      <c r="D95" s="1">
        <v>16.421397322411298</v>
      </c>
      <c r="L95" s="1">
        <f>C95</f>
        <v>0.81700285092435609</v>
      </c>
    </row>
    <row r="96" spans="1:14" x14ac:dyDescent="0.25">
      <c r="A96" t="s">
        <v>11</v>
      </c>
      <c r="B96" t="s">
        <v>32</v>
      </c>
      <c r="C96" s="1">
        <v>0.354460813324316</v>
      </c>
      <c r="D96" s="1">
        <v>102.1177423380357</v>
      </c>
      <c r="L96" s="1">
        <f>C96</f>
        <v>0.354460813324316</v>
      </c>
    </row>
    <row r="97" spans="1:13" x14ac:dyDescent="0.25">
      <c r="A97" t="s">
        <v>12</v>
      </c>
      <c r="B97" t="s">
        <v>32</v>
      </c>
      <c r="C97" s="1">
        <v>0.69201167725153201</v>
      </c>
      <c r="D97" s="1">
        <v>4.2940256378068007</v>
      </c>
      <c r="L97" s="1">
        <f>C97</f>
        <v>0.69201167725153201</v>
      </c>
    </row>
    <row r="98" spans="1:13" x14ac:dyDescent="0.25">
      <c r="A98" t="s">
        <v>51</v>
      </c>
      <c r="B98" t="s">
        <v>32</v>
      </c>
      <c r="C98" s="1">
        <v>49.751588765194498</v>
      </c>
      <c r="D98" s="1">
        <v>17.341505146567602</v>
      </c>
      <c r="M98" s="1">
        <f>C98</f>
        <v>49.751588765194498</v>
      </c>
    </row>
    <row r="100" spans="1:13" x14ac:dyDescent="0.25">
      <c r="C100" s="1"/>
      <c r="D100" s="1"/>
    </row>
    <row r="101" spans="1:13" x14ac:dyDescent="0.25">
      <c r="C101" s="1"/>
      <c r="D101" s="1"/>
    </row>
    <row r="102" spans="1:13" x14ac:dyDescent="0.25">
      <c r="C102" s="1"/>
      <c r="D102" s="1"/>
    </row>
    <row r="103" spans="1:13" x14ac:dyDescent="0.25">
      <c r="C103" s="1"/>
      <c r="D103" s="1"/>
    </row>
    <row r="104" spans="1:13" x14ac:dyDescent="0.25">
      <c r="C104" s="1"/>
      <c r="D104" s="1"/>
    </row>
    <row r="105" spans="1:13" x14ac:dyDescent="0.25">
      <c r="C105" s="1"/>
      <c r="D105" s="1"/>
    </row>
    <row r="106" spans="1:13" x14ac:dyDescent="0.25">
      <c r="C106" s="1"/>
      <c r="D106" s="1"/>
    </row>
    <row r="107" spans="1:13" x14ac:dyDescent="0.25">
      <c r="C107" s="1"/>
      <c r="D107" s="1"/>
    </row>
    <row r="108" spans="1:13" x14ac:dyDescent="0.25">
      <c r="C108" s="1"/>
      <c r="D108" s="1"/>
    </row>
    <row r="109" spans="1:13" x14ac:dyDescent="0.25">
      <c r="C109" s="1"/>
      <c r="D109" s="1"/>
    </row>
    <row r="110" spans="1:13" x14ac:dyDescent="0.25">
      <c r="C110" s="1"/>
      <c r="D110" s="1"/>
    </row>
    <row r="111" spans="1:13" x14ac:dyDescent="0.25">
      <c r="C111" s="1"/>
      <c r="D111" s="1"/>
    </row>
    <row r="112" spans="1:13" x14ac:dyDescent="0.25">
      <c r="C112" s="1"/>
      <c r="D112" s="1"/>
    </row>
    <row r="113" spans="3:4" x14ac:dyDescent="0.25">
      <c r="C113" s="1"/>
      <c r="D113" s="1"/>
    </row>
    <row r="114" spans="3:4" x14ac:dyDescent="0.25">
      <c r="C114" s="1"/>
      <c r="D114" s="1"/>
    </row>
    <row r="115" spans="3:4" x14ac:dyDescent="0.25">
      <c r="C115" s="1"/>
      <c r="D115" s="1"/>
    </row>
    <row r="116" spans="3:4" x14ac:dyDescent="0.25">
      <c r="C116" s="1"/>
      <c r="D116" s="1"/>
    </row>
    <row r="117" spans="3:4" x14ac:dyDescent="0.25">
      <c r="C117" s="1"/>
      <c r="D117" s="1"/>
    </row>
    <row r="118" spans="3:4" x14ac:dyDescent="0.25">
      <c r="C118" s="1"/>
      <c r="D118" s="1"/>
    </row>
    <row r="119" spans="3:4" x14ac:dyDescent="0.25">
      <c r="C119" s="1"/>
      <c r="D119" s="1"/>
    </row>
    <row r="120" spans="3:4" x14ac:dyDescent="0.25">
      <c r="C120" s="1"/>
      <c r="D120" s="1"/>
    </row>
    <row r="121" spans="3:4" x14ac:dyDescent="0.25">
      <c r="C121" s="1"/>
      <c r="D121" s="1"/>
    </row>
    <row r="122" spans="3:4" x14ac:dyDescent="0.25">
      <c r="C122" s="1"/>
      <c r="D122" s="1"/>
    </row>
    <row r="123" spans="3:4" x14ac:dyDescent="0.25">
      <c r="C123" s="1"/>
      <c r="D123" s="1"/>
    </row>
    <row r="124" spans="3:4" x14ac:dyDescent="0.25">
      <c r="C124" s="1"/>
      <c r="D124" s="1"/>
    </row>
    <row r="125" spans="3:4" x14ac:dyDescent="0.25">
      <c r="C125" s="1"/>
      <c r="D125" s="1"/>
    </row>
    <row r="126" spans="3:4" x14ac:dyDescent="0.25">
      <c r="C126" s="1"/>
      <c r="D126" s="1"/>
    </row>
    <row r="127" spans="3:4" x14ac:dyDescent="0.25">
      <c r="C127" s="1"/>
      <c r="D127" s="1"/>
    </row>
    <row r="128" spans="3:4" x14ac:dyDescent="0.25">
      <c r="C128" s="1"/>
      <c r="D128" s="1"/>
    </row>
    <row r="129" spans="3:4" x14ac:dyDescent="0.25">
      <c r="C129" s="1"/>
      <c r="D129" s="1"/>
    </row>
    <row r="130" spans="3:4" x14ac:dyDescent="0.25">
      <c r="C130" s="1"/>
      <c r="D130" s="1"/>
    </row>
    <row r="131" spans="3:4" x14ac:dyDescent="0.25">
      <c r="C131" s="1"/>
      <c r="D131" s="1"/>
    </row>
    <row r="132" spans="3:4" x14ac:dyDescent="0.25">
      <c r="C132" s="1"/>
      <c r="D132" s="1"/>
    </row>
    <row r="133" spans="3:4" x14ac:dyDescent="0.25">
      <c r="C133" s="1"/>
      <c r="D133" s="1"/>
    </row>
    <row r="134" spans="3:4" x14ac:dyDescent="0.25">
      <c r="C134" s="1"/>
      <c r="D134" s="1"/>
    </row>
    <row r="135" spans="3:4" x14ac:dyDescent="0.25">
      <c r="C135" s="1"/>
      <c r="D135" s="1"/>
    </row>
    <row r="136" spans="3:4" x14ac:dyDescent="0.25">
      <c r="C136" s="1"/>
      <c r="D136" s="1"/>
    </row>
    <row r="137" spans="3:4" x14ac:dyDescent="0.25">
      <c r="C137" s="1"/>
      <c r="D137" s="1"/>
    </row>
    <row r="138" spans="3:4" x14ac:dyDescent="0.25">
      <c r="C138" s="1"/>
      <c r="D138" s="1"/>
    </row>
  </sheetData>
  <phoneticPr fontId="3" type="noConversion"/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3F2EE-3EBE-4333-896F-8C9A54E14DBD}">
  <dimension ref="A1:E23"/>
  <sheetViews>
    <sheetView workbookViewId="0">
      <selection activeCell="H12" sqref="H12"/>
    </sheetView>
  </sheetViews>
  <sheetFormatPr defaultRowHeight="15" x14ac:dyDescent="0.25"/>
  <cols>
    <col min="1" max="1" width="17.28515625" bestFit="1" customWidth="1"/>
    <col min="2" max="2" width="9.5703125" bestFit="1" customWidth="1"/>
    <col min="3" max="3" width="12" bestFit="1" customWidth="1"/>
    <col min="4" max="4" width="9.7109375" bestFit="1" customWidth="1"/>
    <col min="5" max="5" width="9.42578125" bestFit="1" customWidth="1"/>
  </cols>
  <sheetData>
    <row r="1" spans="1:5" x14ac:dyDescent="0.25">
      <c r="A1" t="s">
        <v>0</v>
      </c>
      <c r="B1" t="s">
        <v>60</v>
      </c>
      <c r="C1" t="s">
        <v>68</v>
      </c>
      <c r="D1" t="s">
        <v>69</v>
      </c>
      <c r="E1" t="s">
        <v>71</v>
      </c>
    </row>
    <row r="2" spans="1:5" x14ac:dyDescent="0.25">
      <c r="A2" t="s">
        <v>13</v>
      </c>
      <c r="B2">
        <v>500</v>
      </c>
      <c r="C2">
        <f>C18</f>
        <v>44.95</v>
      </c>
      <c r="D2">
        <f>C2*44/12</f>
        <v>164.81666666666669</v>
      </c>
      <c r="E2" t="s">
        <v>70</v>
      </c>
    </row>
    <row r="3" spans="1:5" x14ac:dyDescent="0.25">
      <c r="A3" t="s">
        <v>14</v>
      </c>
      <c r="B3">
        <v>1500</v>
      </c>
      <c r="C3">
        <f>C20</f>
        <v>270.26</v>
      </c>
      <c r="D3">
        <f>C3*44/12</f>
        <v>990.95333333333326</v>
      </c>
      <c r="E3">
        <f>1-(D3-D2)/(B3-B2)</f>
        <v>0.17386333333333348</v>
      </c>
    </row>
    <row r="5" spans="1:5" x14ac:dyDescent="0.25">
      <c r="A5" s="3">
        <v>2040</v>
      </c>
    </row>
    <row r="6" spans="1:5" x14ac:dyDescent="0.25">
      <c r="A6" t="s">
        <v>0</v>
      </c>
      <c r="B6" t="s">
        <v>60</v>
      </c>
      <c r="C6" t="s">
        <v>68</v>
      </c>
      <c r="D6" t="s">
        <v>69</v>
      </c>
      <c r="E6" t="s">
        <v>59</v>
      </c>
    </row>
    <row r="7" spans="1:5" x14ac:dyDescent="0.25">
      <c r="A7" t="s">
        <v>61</v>
      </c>
      <c r="B7" s="8">
        <v>44.88</v>
      </c>
      <c r="C7" s="8">
        <v>697.52</v>
      </c>
      <c r="D7" s="8">
        <f>C7*44/12</f>
        <v>2557.5733333333333</v>
      </c>
      <c r="E7" s="8" t="s">
        <v>70</v>
      </c>
    </row>
    <row r="8" spans="1:5" x14ac:dyDescent="0.25">
      <c r="A8" t="s">
        <v>62</v>
      </c>
      <c r="B8" s="8">
        <v>117.9</v>
      </c>
      <c r="C8" s="8">
        <v>707.65</v>
      </c>
      <c r="D8" s="8">
        <f>C8*44/12</f>
        <v>2594.7166666666667</v>
      </c>
      <c r="E8" s="8">
        <f>1-(D8-D7)/(B8-B7)</f>
        <v>0.49132657719346173</v>
      </c>
    </row>
    <row r="9" spans="1:5" x14ac:dyDescent="0.25">
      <c r="A9" t="s">
        <v>64</v>
      </c>
      <c r="B9" s="8">
        <v>227.92</v>
      </c>
      <c r="C9" s="8">
        <v>723.71</v>
      </c>
      <c r="D9" s="8">
        <f t="shared" ref="D9:D13" si="0">C9*44/12</f>
        <v>2653.6033333333335</v>
      </c>
      <c r="E9" s="8">
        <f t="shared" ref="E9:E13" si="1">1-(D9-D8)/(B9-B8)</f>
        <v>0.46476398230624627</v>
      </c>
    </row>
    <row r="10" spans="1:5" x14ac:dyDescent="0.25">
      <c r="A10" t="s">
        <v>66</v>
      </c>
      <c r="B10" s="8">
        <v>302.17</v>
      </c>
      <c r="C10" s="8">
        <v>736.26</v>
      </c>
      <c r="D10" s="8">
        <f t="shared" si="0"/>
        <v>2699.62</v>
      </c>
      <c r="E10" s="8">
        <f t="shared" si="1"/>
        <v>0.38024691358025042</v>
      </c>
    </row>
    <row r="11" spans="1:5" x14ac:dyDescent="0.25">
      <c r="A11" t="s">
        <v>63</v>
      </c>
      <c r="B11" s="8">
        <v>364.81</v>
      </c>
      <c r="C11" s="8">
        <v>748.37</v>
      </c>
      <c r="D11" s="8">
        <f t="shared" si="0"/>
        <v>2744.0233333333331</v>
      </c>
      <c r="E11" s="8">
        <f t="shared" si="1"/>
        <v>0.29113452532992967</v>
      </c>
    </row>
    <row r="12" spans="1:5" x14ac:dyDescent="0.25">
      <c r="A12" t="s">
        <v>67</v>
      </c>
      <c r="B12" s="8">
        <v>416.68</v>
      </c>
      <c r="C12" s="8">
        <v>759.39</v>
      </c>
      <c r="D12" s="8">
        <f t="shared" si="0"/>
        <v>2784.43</v>
      </c>
      <c r="E12" s="8">
        <f t="shared" si="1"/>
        <v>0.22100122100121944</v>
      </c>
    </row>
    <row r="13" spans="1:5" x14ac:dyDescent="0.25">
      <c r="A13" t="s">
        <v>65</v>
      </c>
      <c r="B13" s="8">
        <v>470.99</v>
      </c>
      <c r="C13" s="8">
        <v>772.73</v>
      </c>
      <c r="D13" s="8">
        <f t="shared" si="0"/>
        <v>2833.3433333333337</v>
      </c>
      <c r="E13" s="8">
        <f t="shared" si="1"/>
        <v>9.9367826674021997E-2</v>
      </c>
    </row>
    <row r="15" spans="1:5" x14ac:dyDescent="0.25">
      <c r="A15" s="3">
        <v>2050</v>
      </c>
    </row>
    <row r="16" spans="1:5" x14ac:dyDescent="0.25">
      <c r="A16" t="s">
        <v>0</v>
      </c>
      <c r="B16" t="s">
        <v>60</v>
      </c>
      <c r="C16" t="s">
        <v>68</v>
      </c>
      <c r="D16" t="s">
        <v>69</v>
      </c>
      <c r="E16" t="s">
        <v>59</v>
      </c>
    </row>
    <row r="17" spans="1:5" x14ac:dyDescent="0.25">
      <c r="A17" t="s">
        <v>61</v>
      </c>
      <c r="B17" s="8">
        <v>100</v>
      </c>
      <c r="C17" s="8">
        <v>-18.37</v>
      </c>
      <c r="D17" s="8">
        <f>C17*44/12</f>
        <v>-67.356666666666669</v>
      </c>
      <c r="E17" s="8" t="s">
        <v>70</v>
      </c>
    </row>
    <row r="18" spans="1:5" x14ac:dyDescent="0.25">
      <c r="A18" t="s">
        <v>62</v>
      </c>
      <c r="B18" s="8">
        <v>500</v>
      </c>
      <c r="C18" s="8">
        <v>44.95</v>
      </c>
      <c r="D18" s="8">
        <f>C18*44/12</f>
        <v>164.81666666666669</v>
      </c>
      <c r="E18" s="8">
        <f>1-(D18-D17)/(B18-B17)</f>
        <v>0.41956666666666664</v>
      </c>
    </row>
    <row r="19" spans="1:5" x14ac:dyDescent="0.25">
      <c r="A19" t="s">
        <v>63</v>
      </c>
      <c r="B19" s="8">
        <v>1078.26</v>
      </c>
      <c r="C19" s="8">
        <v>146.37</v>
      </c>
      <c r="D19" s="8">
        <f t="shared" ref="D19:D23" si="2">C19*44/12</f>
        <v>536.69000000000005</v>
      </c>
      <c r="E19" s="8">
        <f>1-(D19-D18)/(B19-B18)</f>
        <v>0.35690980988943843</v>
      </c>
    </row>
    <row r="20" spans="1:5" x14ac:dyDescent="0.25">
      <c r="A20" t="s">
        <v>64</v>
      </c>
      <c r="B20" s="8">
        <v>1500</v>
      </c>
      <c r="C20" s="8">
        <v>270.26</v>
      </c>
      <c r="D20" s="8">
        <f t="shared" si="2"/>
        <v>990.95333333333326</v>
      </c>
      <c r="E20" s="8">
        <f>1-(D20-D19)/(B20-B19)</f>
        <v>-7.7117023126412443E-2</v>
      </c>
    </row>
    <row r="21" spans="1:5" x14ac:dyDescent="0.25">
      <c r="A21" t="s">
        <v>65</v>
      </c>
      <c r="B21" s="8">
        <v>1974.19</v>
      </c>
      <c r="C21" s="8">
        <v>384.97</v>
      </c>
      <c r="D21" s="8">
        <f t="shared" si="2"/>
        <v>1411.5566666666666</v>
      </c>
      <c r="E21" s="8">
        <f t="shared" ref="E21:E23" si="3">1-(D21-D20)/(B21-B20)</f>
        <v>0.11300674132028654</v>
      </c>
    </row>
    <row r="22" spans="1:5" x14ac:dyDescent="0.25">
      <c r="A22" t="s">
        <v>66</v>
      </c>
      <c r="B22" s="8">
        <v>2400</v>
      </c>
      <c r="C22" s="8">
        <v>507.25</v>
      </c>
      <c r="D22" s="8">
        <f t="shared" si="2"/>
        <v>1859.9166666666667</v>
      </c>
      <c r="E22" s="8">
        <f t="shared" si="3"/>
        <v>-5.2957892017567065E-2</v>
      </c>
    </row>
    <row r="23" spans="1:5" x14ac:dyDescent="0.25">
      <c r="A23" t="s">
        <v>67</v>
      </c>
      <c r="B23" s="8">
        <v>4100</v>
      </c>
      <c r="C23" s="8">
        <v>1075.8699999999999</v>
      </c>
      <c r="D23" s="8">
        <f t="shared" si="2"/>
        <v>3944.8566666666666</v>
      </c>
      <c r="E23" s="8">
        <f t="shared" si="3"/>
        <v>-0.22643529411764685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F8D6B-AAC7-4D47-8A22-E3B6AC50568B}">
  <dimension ref="A1:Q116"/>
  <sheetViews>
    <sheetView zoomScale="60" zoomScaleNormal="60" workbookViewId="0">
      <selection activeCell="P8" sqref="P8"/>
    </sheetView>
  </sheetViews>
  <sheetFormatPr defaultRowHeight="15" x14ac:dyDescent="0.25"/>
  <cols>
    <col min="1" max="1" width="22.28515625" bestFit="1" customWidth="1"/>
    <col min="2" max="2" width="10.85546875" bestFit="1" customWidth="1"/>
    <col min="3" max="3" width="66.85546875" bestFit="1" customWidth="1"/>
    <col min="4" max="4" width="70.140625" bestFit="1" customWidth="1"/>
  </cols>
  <sheetData>
    <row r="1" spans="1:17" x14ac:dyDescent="0.25">
      <c r="A1" t="s">
        <v>0</v>
      </c>
      <c r="B1" t="s">
        <v>28</v>
      </c>
      <c r="C1" t="s">
        <v>42</v>
      </c>
      <c r="D1" t="s">
        <v>73</v>
      </c>
      <c r="E1" t="s">
        <v>34</v>
      </c>
      <c r="F1" t="s">
        <v>72</v>
      </c>
      <c r="G1" t="s">
        <v>35</v>
      </c>
      <c r="H1" t="s">
        <v>74</v>
      </c>
      <c r="I1" t="s">
        <v>75</v>
      </c>
      <c r="J1" t="s">
        <v>43</v>
      </c>
      <c r="M1" t="s">
        <v>93</v>
      </c>
      <c r="N1" t="s">
        <v>97</v>
      </c>
      <c r="O1" t="s">
        <v>94</v>
      </c>
      <c r="P1" t="s">
        <v>95</v>
      </c>
      <c r="Q1" t="s">
        <v>96</v>
      </c>
    </row>
    <row r="2" spans="1:17" x14ac:dyDescent="0.25">
      <c r="A2" t="s">
        <v>27</v>
      </c>
      <c r="B2" t="s">
        <v>29</v>
      </c>
      <c r="C2">
        <v>5.4175769899473796</v>
      </c>
      <c r="D2">
        <f>100*(C2-C$2)/C$2</f>
        <v>0</v>
      </c>
      <c r="E2">
        <v>1.21462324059764</v>
      </c>
      <c r="F2">
        <f>100*(E2-E$2)/E$2</f>
        <v>0</v>
      </c>
      <c r="G2">
        <v>0.50517645710506498</v>
      </c>
      <c r="H2">
        <f>100*(G2-G$2)/G$2</f>
        <v>0</v>
      </c>
      <c r="I2">
        <f>100*(J2-J$2)/J$2</f>
        <v>0</v>
      </c>
      <c r="J2">
        <v>0.84290901691641495</v>
      </c>
      <c r="M2">
        <f>MEDIAN(E3:E28)-E2</f>
        <v>3.3008245793014979E-2</v>
      </c>
      <c r="N2">
        <f>AVERAGE(E3:E28)-E2</f>
        <v>3.6171019551402228E-2</v>
      </c>
      <c r="O2">
        <f>_xlfn.CONFIDENCE.T(0.05, _xlfn.STDEV.S(E3:E28), COUNT(E3:E28))</f>
        <v>1.2698998754909626E-2</v>
      </c>
      <c r="P2">
        <f>N2-O2</f>
        <v>2.3472020796492604E-2</v>
      </c>
      <c r="Q2">
        <f>N2+O2</f>
        <v>4.8870018306311852E-2</v>
      </c>
    </row>
    <row r="3" spans="1:17" x14ac:dyDescent="0.25">
      <c r="A3" t="s">
        <v>1</v>
      </c>
      <c r="B3" t="s">
        <v>30</v>
      </c>
      <c r="C3">
        <v>5.4526751392889503</v>
      </c>
      <c r="D3">
        <f t="shared" ref="D3:F28" si="0">100*(C3-C$2)/C$2</f>
        <v>0.64785695536394483</v>
      </c>
      <c r="E3">
        <v>1.2265993616247699</v>
      </c>
      <c r="F3">
        <f t="shared" si="0"/>
        <v>0.98599472057171911</v>
      </c>
      <c r="G3">
        <v>0.51196546571708901</v>
      </c>
      <c r="H3">
        <f t="shared" ref="H3" si="1">100*(G3-G$2)/G$2</f>
        <v>1.3438885594409384</v>
      </c>
      <c r="I3">
        <f t="shared" ref="I3:I28" si="2">100*(J3-J$2)/J$2</f>
        <v>0.21249703186680166</v>
      </c>
      <c r="J3">
        <v>0.84470017355869997</v>
      </c>
    </row>
    <row r="4" spans="1:17" x14ac:dyDescent="0.25">
      <c r="A4" t="s">
        <v>2</v>
      </c>
      <c r="B4" t="s">
        <v>30</v>
      </c>
      <c r="C4">
        <v>5.4176986655229298</v>
      </c>
      <c r="D4">
        <f t="shared" si="0"/>
        <v>2.2459408657409443E-3</v>
      </c>
      <c r="E4">
        <v>1.2200220480936199</v>
      </c>
      <c r="F4">
        <f t="shared" si="0"/>
        <v>0.44448412606722876</v>
      </c>
      <c r="G4">
        <v>0.50945647219154799</v>
      </c>
      <c r="H4">
        <f t="shared" ref="H4" si="3">100*(G4-G$2)/G$2</f>
        <v>0.84723170018844907</v>
      </c>
      <c r="I4">
        <f t="shared" si="2"/>
        <v>-1.3655573070193403</v>
      </c>
      <c r="J4">
        <v>0.83139861124438796</v>
      </c>
    </row>
    <row r="5" spans="1:17" x14ac:dyDescent="0.25">
      <c r="A5" t="s">
        <v>6</v>
      </c>
      <c r="B5" t="s">
        <v>30</v>
      </c>
      <c r="C5">
        <v>5.4325606637280597</v>
      </c>
      <c r="D5">
        <f t="shared" si="0"/>
        <v>0.27657518865875208</v>
      </c>
      <c r="E5">
        <v>1.2224848613141599</v>
      </c>
      <c r="F5">
        <f t="shared" si="0"/>
        <v>0.64724767761331869</v>
      </c>
      <c r="G5">
        <v>0.51069933585084104</v>
      </c>
      <c r="H5">
        <f t="shared" ref="H5" si="4">100*(G5-G$2)/G$2</f>
        <v>1.0932573496051559</v>
      </c>
      <c r="I5">
        <f t="shared" si="2"/>
        <v>-0.46376197004718345</v>
      </c>
      <c r="J5">
        <v>0.83899992545385804</v>
      </c>
    </row>
    <row r="6" spans="1:17" x14ac:dyDescent="0.25">
      <c r="A6" t="s">
        <v>5</v>
      </c>
      <c r="B6" t="s">
        <v>30</v>
      </c>
      <c r="C6">
        <v>5.4675026820248398</v>
      </c>
      <c r="D6">
        <f t="shared" si="0"/>
        <v>0.9215502090713279</v>
      </c>
      <c r="E6">
        <v>1.23111451544623</v>
      </c>
      <c r="F6">
        <f t="shared" si="0"/>
        <v>1.3577275897072081</v>
      </c>
      <c r="G6">
        <v>0.513737215902481</v>
      </c>
      <c r="H6">
        <f t="shared" ref="H6" si="5">100*(G6-G$2)/G$2</f>
        <v>1.6946076320487724</v>
      </c>
      <c r="I6">
        <f t="shared" si="2"/>
        <v>-0.15840906711694819</v>
      </c>
      <c r="J6">
        <v>0.84157377260607302</v>
      </c>
      <c r="O6">
        <f>_xlfn.STDEV.S(E3:E28)</f>
        <v>3.1440267222873901E-2</v>
      </c>
    </row>
    <row r="7" spans="1:17" x14ac:dyDescent="0.25">
      <c r="A7" t="s">
        <v>8</v>
      </c>
      <c r="B7" t="s">
        <v>30</v>
      </c>
      <c r="C7">
        <v>5.4690262916548296</v>
      </c>
      <c r="D7">
        <f t="shared" si="0"/>
        <v>0.94967366043744428</v>
      </c>
      <c r="E7">
        <v>1.24274587562168</v>
      </c>
      <c r="F7">
        <f t="shared" si="0"/>
        <v>2.3153381298881297</v>
      </c>
      <c r="G7">
        <v>0.52159577509564503</v>
      </c>
      <c r="H7">
        <f t="shared" ref="H7" si="6">100*(G7-G$2)/G$2</f>
        <v>3.2502144071938046</v>
      </c>
      <c r="I7">
        <f t="shared" si="2"/>
        <v>-1.4997785764247658</v>
      </c>
      <c r="J7">
        <v>0.83026724806194996</v>
      </c>
      <c r="O7">
        <f>COUNT(E3:E28)</f>
        <v>26</v>
      </c>
    </row>
    <row r="8" spans="1:17" x14ac:dyDescent="0.25">
      <c r="A8" t="s">
        <v>7</v>
      </c>
      <c r="B8" t="s">
        <v>30</v>
      </c>
      <c r="C8">
        <v>5.4704807351999003</v>
      </c>
      <c r="D8">
        <f t="shared" si="0"/>
        <v>0.97652041402801693</v>
      </c>
      <c r="E8">
        <v>1.2344805645724799</v>
      </c>
      <c r="F8">
        <f t="shared" si="0"/>
        <v>1.6348546043849213</v>
      </c>
      <c r="G8">
        <v>0.51580994167138305</v>
      </c>
      <c r="H8">
        <f t="shared" ref="H8" si="7">100*(G8-G$2)/G$2</f>
        <v>2.1049050122513044</v>
      </c>
      <c r="I8">
        <f t="shared" si="2"/>
        <v>-0.39769251330281402</v>
      </c>
      <c r="J8">
        <v>0.83955683086218402</v>
      </c>
    </row>
    <row r="9" spans="1:17" x14ac:dyDescent="0.25">
      <c r="A9" t="s">
        <v>9</v>
      </c>
      <c r="B9" t="s">
        <v>30</v>
      </c>
      <c r="C9">
        <v>5.4684294412951697</v>
      </c>
      <c r="D9">
        <f t="shared" si="0"/>
        <v>0.93865673606761379</v>
      </c>
      <c r="E9">
        <v>1.23469984643818</v>
      </c>
      <c r="F9">
        <f t="shared" si="0"/>
        <v>1.6529080927729902</v>
      </c>
      <c r="G9">
        <v>0.51633662594582996</v>
      </c>
      <c r="H9">
        <f t="shared" ref="H9" si="8">100*(G9-G$2)/G$2</f>
        <v>2.2091624983315339</v>
      </c>
      <c r="I9">
        <f t="shared" si="2"/>
        <v>-0.52357713726908883</v>
      </c>
      <c r="J9">
        <v>0.83849573801586097</v>
      </c>
    </row>
    <row r="10" spans="1:17" x14ac:dyDescent="0.25">
      <c r="A10" t="s">
        <v>13</v>
      </c>
      <c r="B10" t="s">
        <v>30</v>
      </c>
      <c r="C10">
        <v>5.5007324623894398</v>
      </c>
      <c r="D10">
        <f t="shared" si="0"/>
        <v>1.5349199946093965</v>
      </c>
      <c r="E10">
        <v>1.2333937815064</v>
      </c>
      <c r="F10">
        <f t="shared" si="0"/>
        <v>1.5453796931733457</v>
      </c>
      <c r="G10">
        <v>0.513172389200656</v>
      </c>
      <c r="H10">
        <f t="shared" ref="H10" si="9">100*(G10-G$2)/G$2</f>
        <v>1.5827998282841693</v>
      </c>
      <c r="I10">
        <f t="shared" si="2"/>
        <v>1.0818447048699995</v>
      </c>
      <c r="J10">
        <v>0.85202798348279696</v>
      </c>
    </row>
    <row r="11" spans="1:17" x14ac:dyDescent="0.25">
      <c r="A11" t="s">
        <v>10</v>
      </c>
      <c r="B11" t="s">
        <v>30</v>
      </c>
      <c r="C11">
        <v>5.4984718932521197</v>
      </c>
      <c r="D11">
        <f t="shared" si="0"/>
        <v>1.4931934230901602</v>
      </c>
      <c r="E11">
        <v>1.2461970757383001</v>
      </c>
      <c r="F11">
        <f t="shared" si="0"/>
        <v>2.5994756304123183</v>
      </c>
      <c r="G11">
        <v>0.52572239246154995</v>
      </c>
      <c r="H11">
        <f t="shared" ref="H11" si="10">100*(G11-G$2)/G$2</f>
        <v>4.0670809313292864</v>
      </c>
      <c r="I11">
        <f t="shared" si="2"/>
        <v>0.36638009527595833</v>
      </c>
      <c r="J11">
        <v>0.84599726777568296</v>
      </c>
    </row>
    <row r="12" spans="1:17" x14ac:dyDescent="0.25">
      <c r="A12" t="s">
        <v>11</v>
      </c>
      <c r="B12" t="s">
        <v>30</v>
      </c>
      <c r="C12">
        <v>5.7243968175114803</v>
      </c>
      <c r="D12">
        <f t="shared" si="0"/>
        <v>5.6634142557350327</v>
      </c>
      <c r="E12">
        <v>1.3160625148040399</v>
      </c>
      <c r="F12">
        <f t="shared" si="0"/>
        <v>8.3515011746760219</v>
      </c>
      <c r="G12">
        <v>0.56052492044233604</v>
      </c>
      <c r="H12">
        <f t="shared" ref="H12" si="11">100*(G12-G$2)/G$2</f>
        <v>10.956263412283258</v>
      </c>
      <c r="I12">
        <f t="shared" si="2"/>
        <v>1.1959723569841303</v>
      </c>
      <c r="J12">
        <v>0.85298997575326196</v>
      </c>
    </row>
    <row r="13" spans="1:17" x14ac:dyDescent="0.25">
      <c r="A13" t="s">
        <v>12</v>
      </c>
      <c r="B13" t="s">
        <v>30</v>
      </c>
      <c r="C13">
        <v>5.4812879541932098</v>
      </c>
      <c r="D13">
        <f t="shared" si="0"/>
        <v>1.176004777856402</v>
      </c>
      <c r="E13">
        <v>1.2334114219814001</v>
      </c>
      <c r="F13">
        <f t="shared" si="0"/>
        <v>1.5468320344764317</v>
      </c>
      <c r="G13">
        <v>0.51482952026028495</v>
      </c>
      <c r="H13">
        <f t="shared" ref="H13" si="12">100*(G13-G$2)/G$2</f>
        <v>1.9108299722709272</v>
      </c>
      <c r="I13">
        <f t="shared" si="2"/>
        <v>0.36328086889841033</v>
      </c>
      <c r="J13">
        <v>0.84597114411709196</v>
      </c>
    </row>
    <row r="14" spans="1:17" x14ac:dyDescent="0.25">
      <c r="A14" t="s">
        <v>1</v>
      </c>
      <c r="B14" t="s">
        <v>32</v>
      </c>
      <c r="C14">
        <v>5.5417657965940101</v>
      </c>
      <c r="D14">
        <f t="shared" si="0"/>
        <v>2.2923311819484971</v>
      </c>
      <c r="E14">
        <v>1.2457635282608599</v>
      </c>
      <c r="F14">
        <f t="shared" si="0"/>
        <v>2.5637816421080228</v>
      </c>
      <c r="G14">
        <v>0.51994929271492896</v>
      </c>
      <c r="H14">
        <f t="shared" ref="H14" si="13">100*(G14-G$2)/G$2</f>
        <v>2.9242921759498324</v>
      </c>
      <c r="I14">
        <f t="shared" si="2"/>
        <v>1.0676371229122197</v>
      </c>
      <c r="J14">
        <v>0.85190822649338904</v>
      </c>
    </row>
    <row r="15" spans="1:17" x14ac:dyDescent="0.25">
      <c r="A15" t="s">
        <v>2</v>
      </c>
      <c r="B15" t="s">
        <v>32</v>
      </c>
      <c r="C15">
        <v>5.5469377878581998</v>
      </c>
      <c r="D15">
        <f t="shared" si="0"/>
        <v>2.3877980534629502</v>
      </c>
      <c r="E15">
        <v>1.24906589704301</v>
      </c>
      <c r="F15">
        <f t="shared" si="0"/>
        <v>2.8356658504593448</v>
      </c>
      <c r="G15">
        <v>0.52138261081502402</v>
      </c>
      <c r="H15">
        <f t="shared" ref="H15" si="14">100*(G15-G$2)/G$2</f>
        <v>3.2080184026842988</v>
      </c>
      <c r="I15">
        <f t="shared" si="2"/>
        <v>0.46865683829263816</v>
      </c>
      <c r="J15">
        <v>0.84685936766477898</v>
      </c>
    </row>
    <row r="16" spans="1:17" x14ac:dyDescent="0.25">
      <c r="A16" t="s">
        <v>14</v>
      </c>
      <c r="B16" t="s">
        <v>32</v>
      </c>
      <c r="C16">
        <v>5.6382572848615498</v>
      </c>
      <c r="D16">
        <f t="shared" si="0"/>
        <v>4.073413175736218</v>
      </c>
      <c r="E16">
        <v>1.26406672926263</v>
      </c>
      <c r="F16">
        <f t="shared" si="0"/>
        <v>4.0706852143436585</v>
      </c>
      <c r="G16">
        <v>0.52557117328980196</v>
      </c>
      <c r="H16">
        <f t="shared" ref="H16" si="15">100*(G16-G$2)/G$2</f>
        <v>4.0371470003985861</v>
      </c>
      <c r="I16">
        <f t="shared" si="2"/>
        <v>2.3727693973872075</v>
      </c>
      <c r="J16">
        <v>0.86290930411762501</v>
      </c>
    </row>
    <row r="17" spans="1:10" x14ac:dyDescent="0.25">
      <c r="A17" t="s">
        <v>6</v>
      </c>
      <c r="B17" t="s">
        <v>32</v>
      </c>
      <c r="C17">
        <v>5.4997560593119497</v>
      </c>
      <c r="D17">
        <f t="shared" si="0"/>
        <v>1.5168971205588402</v>
      </c>
      <c r="E17">
        <v>1.2403987076644101</v>
      </c>
      <c r="F17">
        <f t="shared" si="0"/>
        <v>2.1220956593986737</v>
      </c>
      <c r="G17">
        <v>0.51878134271989196</v>
      </c>
      <c r="H17">
        <f t="shared" ref="H17" si="16">100*(G17-G$2)/G$2</f>
        <v>2.693095733872942</v>
      </c>
      <c r="I17">
        <f t="shared" si="2"/>
        <v>-1.0959771479748042</v>
      </c>
      <c r="J17">
        <v>0.83367092671279197</v>
      </c>
    </row>
    <row r="18" spans="1:10" x14ac:dyDescent="0.25">
      <c r="A18" t="s">
        <v>5</v>
      </c>
      <c r="B18" t="s">
        <v>32</v>
      </c>
      <c r="C18">
        <v>5.54833513221618</v>
      </c>
      <c r="D18">
        <f t="shared" si="0"/>
        <v>2.4135908453433994</v>
      </c>
      <c r="E18">
        <v>1.2520633936749701</v>
      </c>
      <c r="F18">
        <f t="shared" si="0"/>
        <v>3.0824499174664326</v>
      </c>
      <c r="G18">
        <v>0.52294039663778702</v>
      </c>
      <c r="H18">
        <f t="shared" ref="H18" si="17">100*(G18-G$2)/G$2</f>
        <v>3.5163830940418412</v>
      </c>
      <c r="I18">
        <f t="shared" si="2"/>
        <v>-0.67455579376899111</v>
      </c>
      <c r="J18">
        <v>0.83722312530660403</v>
      </c>
    </row>
    <row r="19" spans="1:10" x14ac:dyDescent="0.25">
      <c r="A19" t="s">
        <v>8</v>
      </c>
      <c r="B19" t="s">
        <v>32</v>
      </c>
      <c r="C19">
        <v>5.4635976264752202</v>
      </c>
      <c r="D19">
        <f t="shared" si="0"/>
        <v>0.84946898979441365</v>
      </c>
      <c r="E19">
        <v>1.24990611993794</v>
      </c>
      <c r="F19">
        <f t="shared" si="0"/>
        <v>2.9048414488544982</v>
      </c>
      <c r="G19">
        <v>0.52663439663696598</v>
      </c>
      <c r="H19">
        <f t="shared" ref="H19" si="18">100*(G19-G$2)/G$2</f>
        <v>4.2476127361252409</v>
      </c>
      <c r="I19">
        <f t="shared" si="2"/>
        <v>-4.6305696962614666</v>
      </c>
      <c r="J19">
        <v>0.803877527412028</v>
      </c>
    </row>
    <row r="20" spans="1:10" x14ac:dyDescent="0.25">
      <c r="A20" t="s">
        <v>7</v>
      </c>
      <c r="B20" t="s">
        <v>32</v>
      </c>
      <c r="C20">
        <v>5.5358720502600303</v>
      </c>
      <c r="D20">
        <f t="shared" si="0"/>
        <v>2.1835418404233824</v>
      </c>
      <c r="E20">
        <v>1.2527627412573199</v>
      </c>
      <c r="F20">
        <f t="shared" si="0"/>
        <v>3.1400272434202559</v>
      </c>
      <c r="G20">
        <v>0.52415207638914296</v>
      </c>
      <c r="H20">
        <f t="shared" ref="H20" si="19">100*(G20-G$2)/G$2</f>
        <v>3.7562358691096911</v>
      </c>
      <c r="I20">
        <f t="shared" si="2"/>
        <v>-1.319407624914968</v>
      </c>
      <c r="J20">
        <v>0.83178761107612398</v>
      </c>
    </row>
    <row r="21" spans="1:10" x14ac:dyDescent="0.25">
      <c r="A21" t="s">
        <v>9</v>
      </c>
      <c r="B21" t="s">
        <v>32</v>
      </c>
      <c r="C21">
        <v>5.5232699771311804</v>
      </c>
      <c r="D21">
        <f t="shared" si="0"/>
        <v>1.950927275789899</v>
      </c>
      <c r="E21">
        <v>1.2516020094135401</v>
      </c>
      <c r="F21">
        <f t="shared" si="0"/>
        <v>3.0444641251640361</v>
      </c>
      <c r="G21">
        <v>0.52434373084310903</v>
      </c>
      <c r="H21">
        <f t="shared" ref="H21" si="20">100*(G21-G$2)/G$2</f>
        <v>3.7941739897941655</v>
      </c>
      <c r="I21">
        <f t="shared" si="2"/>
        <v>-1.897612583824104</v>
      </c>
      <c r="J21">
        <v>0.82691386934122102</v>
      </c>
    </row>
    <row r="22" spans="1:10" x14ac:dyDescent="0.25">
      <c r="A22" t="s">
        <v>10</v>
      </c>
      <c r="B22" t="s">
        <v>32</v>
      </c>
      <c r="C22">
        <v>5.6119825340455902</v>
      </c>
      <c r="D22">
        <f t="shared" si="0"/>
        <v>3.5884223603825314</v>
      </c>
      <c r="E22">
        <v>1.2719189458234801</v>
      </c>
      <c r="F22">
        <f t="shared" si="0"/>
        <v>4.7171586472895424</v>
      </c>
      <c r="G22">
        <v>0.53623613968750194</v>
      </c>
      <c r="H22">
        <f t="shared" ref="H22" si="21">100*(G22-G$2)/G$2</f>
        <v>6.1482838611335504</v>
      </c>
      <c r="I22">
        <f t="shared" si="2"/>
        <v>1.0363250084620061</v>
      </c>
      <c r="J22">
        <v>0.851644293857301</v>
      </c>
    </row>
    <row r="23" spans="1:10" x14ac:dyDescent="0.25">
      <c r="A23" t="s">
        <v>11</v>
      </c>
      <c r="B23" t="s">
        <v>32</v>
      </c>
      <c r="C23">
        <v>5.8166522657457698</v>
      </c>
      <c r="D23">
        <f t="shared" si="0"/>
        <v>7.3663055742243611</v>
      </c>
      <c r="E23">
        <v>1.3364385232365401</v>
      </c>
      <c r="F23">
        <f t="shared" si="0"/>
        <v>10.029059099755278</v>
      </c>
      <c r="G23">
        <v>0.56914999220891305</v>
      </c>
      <c r="H23">
        <f t="shared" ref="H23" si="22">100*(G23-G$2)/G$2</f>
        <v>12.663601837356222</v>
      </c>
      <c r="I23">
        <f t="shared" si="2"/>
        <v>2.923407082508354</v>
      </c>
      <c r="J23">
        <v>0.86755067881605097</v>
      </c>
    </row>
    <row r="24" spans="1:10" x14ac:dyDescent="0.25">
      <c r="A24" t="s">
        <v>12</v>
      </c>
      <c r="B24" t="s">
        <v>32</v>
      </c>
      <c r="C24">
        <v>5.5985806170975803</v>
      </c>
      <c r="D24">
        <f t="shared" si="0"/>
        <v>3.341043929529071</v>
      </c>
      <c r="E24">
        <v>1.2617380288169799</v>
      </c>
      <c r="F24">
        <f t="shared" si="0"/>
        <v>3.8789631751289115</v>
      </c>
      <c r="G24">
        <v>0.52686850022717402</v>
      </c>
      <c r="H24">
        <f t="shared" ref="H24" si="23">100*(G24-G$2)/G$2</f>
        <v>4.293953690244436</v>
      </c>
      <c r="I24">
        <f t="shared" si="2"/>
        <v>0.91897387304034173</v>
      </c>
      <c r="J24">
        <v>0.850655130555378</v>
      </c>
    </row>
    <row r="25" spans="1:10" x14ac:dyDescent="0.25">
      <c r="A25" t="s">
        <v>25</v>
      </c>
      <c r="B25" t="s">
        <v>31</v>
      </c>
      <c r="C25">
        <v>5.59858089366009</v>
      </c>
      <c r="D25">
        <f t="shared" si="0"/>
        <v>3.3410490344405526</v>
      </c>
      <c r="E25">
        <v>1.26706396066733</v>
      </c>
      <c r="F25">
        <f t="shared" si="0"/>
        <v>4.3174474451754374</v>
      </c>
      <c r="G25">
        <v>0.52914280295609695</v>
      </c>
      <c r="H25">
        <f t="shared" ref="H25" si="24">100*(G25-G$2)/G$2</f>
        <v>4.7441533574965318</v>
      </c>
      <c r="I25">
        <f t="shared" si="2"/>
        <v>-3.8617004313604051</v>
      </c>
      <c r="J25">
        <v>0.81035839577417801</v>
      </c>
    </row>
    <row r="26" spans="1:10" x14ac:dyDescent="0.25">
      <c r="A26" t="s">
        <v>26</v>
      </c>
      <c r="B26" t="s">
        <v>33</v>
      </c>
      <c r="C26">
        <v>5.6764675158573299</v>
      </c>
      <c r="D26">
        <f t="shared" si="0"/>
        <v>4.778714292207316</v>
      </c>
      <c r="E26">
        <v>1.2753904629780699</v>
      </c>
      <c r="F26">
        <f t="shared" si="0"/>
        <v>5.0029688506972843</v>
      </c>
      <c r="G26">
        <v>0.53294102312719405</v>
      </c>
      <c r="H26">
        <f t="shared" ref="H26" si="25">100*(G26-G$2)/G$2</f>
        <v>5.4960134486937662</v>
      </c>
      <c r="I26">
        <f t="shared" si="2"/>
        <v>23.306697574041493</v>
      </c>
      <c r="J26">
        <v>1.03936327231345</v>
      </c>
    </row>
    <row r="27" spans="1:10" x14ac:dyDescent="0.25">
      <c r="A27" t="s">
        <v>50</v>
      </c>
      <c r="B27" t="s">
        <v>30</v>
      </c>
      <c r="C27">
        <v>5.3010462151932503</v>
      </c>
      <c r="D27">
        <f t="shared" si="0"/>
        <v>-2.1509758877512724</v>
      </c>
      <c r="E27">
        <v>1.1731321959108101</v>
      </c>
      <c r="F27">
        <f t="shared" si="0"/>
        <v>-3.4159600524698353</v>
      </c>
      <c r="G27">
        <v>0.48426792383517298</v>
      </c>
      <c r="H27">
        <f t="shared" ref="H27" si="26">100*(G27-G$2)/G$2</f>
        <v>-4.1388574181998177</v>
      </c>
      <c r="I27">
        <f t="shared" si="2"/>
        <v>-1.4445409002888128</v>
      </c>
      <c r="J27">
        <v>0.83073285141483499</v>
      </c>
    </row>
    <row r="28" spans="1:10" x14ac:dyDescent="0.25">
      <c r="A28" t="s">
        <v>50</v>
      </c>
      <c r="B28" t="s">
        <v>32</v>
      </c>
      <c r="C28">
        <v>5.5504529880081197</v>
      </c>
      <c r="D28">
        <f t="shared" si="0"/>
        <v>2.4526831516616943</v>
      </c>
      <c r="E28">
        <v>1.28812765278595</v>
      </c>
      <c r="F28">
        <f t="shared" si="0"/>
        <v>6.0516224069731308</v>
      </c>
      <c r="G28">
        <v>0.54364839445570401</v>
      </c>
      <c r="H28">
        <f t="shared" ref="H28" si="27">100*(G28-G$2)/G$2</f>
        <v>7.6155443923701611</v>
      </c>
      <c r="I28">
        <f t="shared" si="2"/>
        <v>-4.7728156685049763</v>
      </c>
      <c r="J28">
        <v>0.80267852328578704</v>
      </c>
    </row>
    <row r="31" spans="1:10" x14ac:dyDescent="0.25">
      <c r="A31" s="7">
        <v>0.02</v>
      </c>
      <c r="B31" t="str">
        <f>B1</f>
        <v>Baseline</v>
      </c>
      <c r="C31" t="str">
        <f>D1</f>
        <v>2% discount rate</v>
      </c>
      <c r="D31" t="str">
        <f>I1</f>
        <v>As snapshot of CDR prices in 2050</v>
      </c>
      <c r="E31" t="s">
        <v>76</v>
      </c>
      <c r="F31" t="s">
        <v>77</v>
      </c>
      <c r="G31" t="s">
        <v>78</v>
      </c>
      <c r="H31" t="s">
        <v>79</v>
      </c>
      <c r="I31" t="s">
        <v>80</v>
      </c>
      <c r="J31" t="s">
        <v>81</v>
      </c>
    </row>
    <row r="32" spans="1:10" x14ac:dyDescent="0.25">
      <c r="A32" t="str">
        <f t="shared" ref="A32:B32" si="28">A2</f>
        <v>100 Mt Baseline</v>
      </c>
      <c r="B32" t="str">
        <f t="shared" si="28"/>
        <v>100 Mt</v>
      </c>
      <c r="C32">
        <f t="shared" ref="C32:C58" si="29">D2</f>
        <v>0</v>
      </c>
      <c r="D32">
        <f t="shared" ref="D32:D56" si="30">I2</f>
        <v>0</v>
      </c>
      <c r="J32">
        <v>0</v>
      </c>
    </row>
    <row r="33" spans="1:9" x14ac:dyDescent="0.25">
      <c r="A33" t="str">
        <f t="shared" ref="A33:B33" si="31">A3</f>
        <v>45Q-2040</v>
      </c>
      <c r="B33" t="str">
        <f t="shared" si="31"/>
        <v>500 Mt</v>
      </c>
      <c r="C33">
        <f t="shared" si="29"/>
        <v>0.64785695536394483</v>
      </c>
      <c r="D33">
        <f t="shared" si="30"/>
        <v>0.21249703186680166</v>
      </c>
      <c r="F33">
        <f>C33</f>
        <v>0.64785695536394483</v>
      </c>
    </row>
    <row r="34" spans="1:9" x14ac:dyDescent="0.25">
      <c r="A34" t="str">
        <f t="shared" ref="A34:B34" si="32">A4</f>
        <v>45Q-2050</v>
      </c>
      <c r="B34" t="str">
        <f t="shared" si="32"/>
        <v>500 Mt</v>
      </c>
      <c r="C34">
        <f t="shared" si="29"/>
        <v>2.2459408657409443E-3</v>
      </c>
      <c r="D34">
        <f t="shared" si="30"/>
        <v>-1.3655573070193403</v>
      </c>
      <c r="F34">
        <f>C34</f>
        <v>2.2459408657409443E-3</v>
      </c>
    </row>
    <row r="35" spans="1:9" x14ac:dyDescent="0.25">
      <c r="A35" t="str">
        <f t="shared" ref="A35:B35" si="33">A5</f>
        <v>Innovation-DACHubs</v>
      </c>
      <c r="B35" t="str">
        <f t="shared" si="33"/>
        <v>500 Mt</v>
      </c>
      <c r="C35">
        <f t="shared" si="29"/>
        <v>0.27657518865875208</v>
      </c>
      <c r="D35">
        <f t="shared" si="30"/>
        <v>-0.46376197004718345</v>
      </c>
      <c r="E35">
        <f>C35</f>
        <v>0.27657518865875208</v>
      </c>
    </row>
    <row r="36" spans="1:9" x14ac:dyDescent="0.25">
      <c r="A36" t="str">
        <f t="shared" ref="A36:B36" si="34">A6</f>
        <v>Innovation-maintain</v>
      </c>
      <c r="B36" t="str">
        <f t="shared" si="34"/>
        <v>500 Mt</v>
      </c>
      <c r="C36">
        <f t="shared" si="29"/>
        <v>0.9215502090713279</v>
      </c>
      <c r="D36">
        <f t="shared" si="30"/>
        <v>-0.15840906711694819</v>
      </c>
      <c r="E36">
        <f t="shared" ref="E36:E39" si="35">C36</f>
        <v>0.9215502090713279</v>
      </c>
    </row>
    <row r="37" spans="1:9" x14ac:dyDescent="0.25">
      <c r="A37" t="str">
        <f t="shared" ref="A37:B37" si="36">A7</f>
        <v>Innovation-rhodium18b</v>
      </c>
      <c r="B37" t="str">
        <f t="shared" si="36"/>
        <v>500 Mt</v>
      </c>
      <c r="C37">
        <f t="shared" si="29"/>
        <v>0.94967366043744428</v>
      </c>
      <c r="D37">
        <f t="shared" si="30"/>
        <v>-1.4997785764247658</v>
      </c>
      <c r="E37">
        <f t="shared" si="35"/>
        <v>0.94967366043744428</v>
      </c>
    </row>
    <row r="38" spans="1:9" x14ac:dyDescent="0.25">
      <c r="A38" t="str">
        <f t="shared" ref="A38:B38" si="37">A8</f>
        <v>Innovation-rhodium6b</v>
      </c>
      <c r="B38" t="str">
        <f t="shared" si="37"/>
        <v>500 Mt</v>
      </c>
      <c r="C38">
        <f t="shared" si="29"/>
        <v>0.97652041402801693</v>
      </c>
      <c r="D38">
        <f t="shared" si="30"/>
        <v>-0.39769251330281402</v>
      </c>
      <c r="E38">
        <f t="shared" si="35"/>
        <v>0.97652041402801693</v>
      </c>
    </row>
    <row r="39" spans="1:9" x14ac:dyDescent="0.25">
      <c r="A39" t="str">
        <f t="shared" ref="A39:B39" si="38">A9</f>
        <v>Innovation-triple</v>
      </c>
      <c r="B39" t="str">
        <f t="shared" si="38"/>
        <v>500 Mt</v>
      </c>
      <c r="C39">
        <f t="shared" si="29"/>
        <v>0.93865673606761379</v>
      </c>
      <c r="D39">
        <f t="shared" si="30"/>
        <v>-0.52357713726908883</v>
      </c>
      <c r="E39">
        <f t="shared" si="35"/>
        <v>0.93865673606761379</v>
      </c>
    </row>
    <row r="40" spans="1:9" x14ac:dyDescent="0.25">
      <c r="A40" t="str">
        <f t="shared" ref="A40:B40" si="39">A10</f>
        <v>Low Baseline</v>
      </c>
      <c r="B40" t="str">
        <f t="shared" si="39"/>
        <v>500 Mt</v>
      </c>
      <c r="C40">
        <f t="shared" si="29"/>
        <v>1.5349199946093965</v>
      </c>
      <c r="D40">
        <f t="shared" si="30"/>
        <v>1.0818447048699995</v>
      </c>
      <c r="I40">
        <f>C40</f>
        <v>1.5349199946093965</v>
      </c>
    </row>
    <row r="41" spans="1:9" x14ac:dyDescent="0.25">
      <c r="A41" t="str">
        <f t="shared" ref="A41:B41" si="40">A11</f>
        <v>Procure3B</v>
      </c>
      <c r="B41" t="str">
        <f t="shared" si="40"/>
        <v>500 Mt</v>
      </c>
      <c r="C41">
        <f t="shared" si="29"/>
        <v>1.4931934230901602</v>
      </c>
      <c r="D41">
        <f t="shared" si="30"/>
        <v>0.36638009527595833</v>
      </c>
      <c r="G41">
        <f>C41</f>
        <v>1.4931934230901602</v>
      </c>
    </row>
    <row r="42" spans="1:9" x14ac:dyDescent="0.25">
      <c r="A42" t="str">
        <f t="shared" ref="A42:B42" si="41">A12</f>
        <v>ProcureRhodium</v>
      </c>
      <c r="B42" t="str">
        <f t="shared" si="41"/>
        <v>500 Mt</v>
      </c>
      <c r="C42">
        <f t="shared" si="29"/>
        <v>5.6634142557350327</v>
      </c>
      <c r="D42">
        <f t="shared" si="30"/>
        <v>1.1959723569841303</v>
      </c>
      <c r="G42">
        <f>C42</f>
        <v>5.6634142557350327</v>
      </c>
    </row>
    <row r="43" spans="1:9" x14ac:dyDescent="0.25">
      <c r="A43" t="str">
        <f t="shared" ref="A43:B43" si="42">A13</f>
        <v>ProcureScaling</v>
      </c>
      <c r="B43" t="str">
        <f t="shared" si="42"/>
        <v>500 Mt</v>
      </c>
      <c r="C43">
        <f t="shared" si="29"/>
        <v>1.176004777856402</v>
      </c>
      <c r="D43">
        <f t="shared" si="30"/>
        <v>0.36328086889841033</v>
      </c>
      <c r="G43">
        <f>C43</f>
        <v>1.176004777856402</v>
      </c>
    </row>
    <row r="44" spans="1:9" x14ac:dyDescent="0.25">
      <c r="A44" t="str">
        <f t="shared" ref="A44:B44" si="43">A14</f>
        <v>45Q-2040</v>
      </c>
      <c r="B44" t="str">
        <f t="shared" si="43"/>
        <v>1.5 Gt</v>
      </c>
      <c r="C44">
        <f t="shared" si="29"/>
        <v>2.2923311819484971</v>
      </c>
      <c r="D44">
        <f t="shared" si="30"/>
        <v>1.0676371229122197</v>
      </c>
      <c r="F44">
        <f>C44</f>
        <v>2.2923311819484971</v>
      </c>
    </row>
    <row r="45" spans="1:9" x14ac:dyDescent="0.25">
      <c r="A45" t="str">
        <f t="shared" ref="A45:B45" si="44">A15</f>
        <v>45Q-2050</v>
      </c>
      <c r="B45" t="str">
        <f t="shared" si="44"/>
        <v>1.5 Gt</v>
      </c>
      <c r="C45">
        <f t="shared" si="29"/>
        <v>2.3877980534629502</v>
      </c>
      <c r="D45">
        <f t="shared" si="30"/>
        <v>0.46865683829263816</v>
      </c>
      <c r="F45">
        <f>C45</f>
        <v>2.3877980534629502</v>
      </c>
    </row>
    <row r="46" spans="1:9" x14ac:dyDescent="0.25">
      <c r="A46" t="str">
        <f t="shared" ref="A46:B46" si="45">A16</f>
        <v>High Baseline</v>
      </c>
      <c r="B46" t="str">
        <f t="shared" si="45"/>
        <v>1.5 Gt</v>
      </c>
      <c r="C46">
        <f t="shared" si="29"/>
        <v>4.073413175736218</v>
      </c>
      <c r="D46">
        <f t="shared" si="30"/>
        <v>2.3727693973872075</v>
      </c>
      <c r="I46">
        <f>C46</f>
        <v>4.073413175736218</v>
      </c>
    </row>
    <row r="47" spans="1:9" x14ac:dyDescent="0.25">
      <c r="A47" t="str">
        <f t="shared" ref="A47:B47" si="46">A17</f>
        <v>Innovation-DACHubs</v>
      </c>
      <c r="B47" t="str">
        <f t="shared" si="46"/>
        <v>1.5 Gt</v>
      </c>
      <c r="C47">
        <f t="shared" si="29"/>
        <v>1.5168971205588402</v>
      </c>
      <c r="D47">
        <f t="shared" si="30"/>
        <v>-1.0959771479748042</v>
      </c>
      <c r="E47">
        <f>C47</f>
        <v>1.5168971205588402</v>
      </c>
    </row>
    <row r="48" spans="1:9" x14ac:dyDescent="0.25">
      <c r="A48" t="str">
        <f t="shared" ref="A48:B48" si="47">A18</f>
        <v>Innovation-maintain</v>
      </c>
      <c r="B48" t="str">
        <f t="shared" si="47"/>
        <v>1.5 Gt</v>
      </c>
      <c r="C48">
        <f t="shared" si="29"/>
        <v>2.4135908453433994</v>
      </c>
      <c r="D48">
        <f t="shared" si="30"/>
        <v>-0.67455579376899111</v>
      </c>
      <c r="E48">
        <f t="shared" ref="E48:E51" si="48">C48</f>
        <v>2.4135908453433994</v>
      </c>
    </row>
    <row r="49" spans="1:10" x14ac:dyDescent="0.25">
      <c r="A49" t="str">
        <f t="shared" ref="A49:B49" si="49">A19</f>
        <v>Innovation-rhodium18b</v>
      </c>
      <c r="B49" t="str">
        <f t="shared" si="49"/>
        <v>1.5 Gt</v>
      </c>
      <c r="C49">
        <f t="shared" si="29"/>
        <v>0.84946898979441365</v>
      </c>
      <c r="D49">
        <f t="shared" si="30"/>
        <v>-4.6305696962614666</v>
      </c>
      <c r="E49">
        <f t="shared" si="48"/>
        <v>0.84946898979441365</v>
      </c>
    </row>
    <row r="50" spans="1:10" x14ac:dyDescent="0.25">
      <c r="A50" t="str">
        <f t="shared" ref="A50:B50" si="50">A20</f>
        <v>Innovation-rhodium6b</v>
      </c>
      <c r="B50" t="str">
        <f t="shared" si="50"/>
        <v>1.5 Gt</v>
      </c>
      <c r="C50">
        <f t="shared" si="29"/>
        <v>2.1835418404233824</v>
      </c>
      <c r="D50">
        <f t="shared" si="30"/>
        <v>-1.319407624914968</v>
      </c>
      <c r="E50">
        <f t="shared" si="48"/>
        <v>2.1835418404233824</v>
      </c>
    </row>
    <row r="51" spans="1:10" x14ac:dyDescent="0.25">
      <c r="A51" t="str">
        <f t="shared" ref="A51:B51" si="51">A21</f>
        <v>Innovation-triple</v>
      </c>
      <c r="B51" t="str">
        <f t="shared" si="51"/>
        <v>1.5 Gt</v>
      </c>
      <c r="C51">
        <f t="shared" si="29"/>
        <v>1.950927275789899</v>
      </c>
      <c r="D51">
        <f t="shared" si="30"/>
        <v>-1.897612583824104</v>
      </c>
      <c r="E51">
        <f t="shared" si="48"/>
        <v>1.950927275789899</v>
      </c>
    </row>
    <row r="52" spans="1:10" x14ac:dyDescent="0.25">
      <c r="A52" t="str">
        <f t="shared" ref="A52:B52" si="52">A22</f>
        <v>Procure3B</v>
      </c>
      <c r="B52" t="str">
        <f t="shared" si="52"/>
        <v>1.5 Gt</v>
      </c>
      <c r="C52">
        <f t="shared" si="29"/>
        <v>3.5884223603825314</v>
      </c>
      <c r="D52">
        <f t="shared" si="30"/>
        <v>1.0363250084620061</v>
      </c>
      <c r="G52">
        <f>C52</f>
        <v>3.5884223603825314</v>
      </c>
    </row>
    <row r="53" spans="1:10" x14ac:dyDescent="0.25">
      <c r="A53" t="str">
        <f t="shared" ref="A53:B53" si="53">A23</f>
        <v>ProcureRhodium</v>
      </c>
      <c r="B53" t="str">
        <f t="shared" si="53"/>
        <v>1.5 Gt</v>
      </c>
      <c r="C53">
        <f t="shared" si="29"/>
        <v>7.3663055742243611</v>
      </c>
      <c r="D53">
        <f t="shared" si="30"/>
        <v>2.923407082508354</v>
      </c>
      <c r="G53">
        <f>C53</f>
        <v>7.3663055742243611</v>
      </c>
    </row>
    <row r="54" spans="1:10" x14ac:dyDescent="0.25">
      <c r="A54" t="str">
        <f t="shared" ref="A54:B54" si="54">A24</f>
        <v>ProcureScaling</v>
      </c>
      <c r="B54" t="str">
        <f t="shared" si="54"/>
        <v>1.5 Gt</v>
      </c>
      <c r="C54">
        <f t="shared" si="29"/>
        <v>3.341043929529071</v>
      </c>
      <c r="D54">
        <f t="shared" si="30"/>
        <v>0.91897387304034173</v>
      </c>
      <c r="G54">
        <f>C54</f>
        <v>3.341043929529071</v>
      </c>
    </row>
    <row r="55" spans="1:10" x14ac:dyDescent="0.25">
      <c r="A55" t="str">
        <f t="shared" ref="A55:B55" si="55">A25</f>
        <v>2.4 Gt Baseline</v>
      </c>
      <c r="B55" t="str">
        <f t="shared" si="55"/>
        <v>2.4 Gt</v>
      </c>
      <c r="C55">
        <f t="shared" si="29"/>
        <v>3.3410490344405526</v>
      </c>
      <c r="D55">
        <f t="shared" si="30"/>
        <v>-3.8617004313604051</v>
      </c>
      <c r="I55">
        <f>C55</f>
        <v>3.3410490344405526</v>
      </c>
    </row>
    <row r="56" spans="1:10" x14ac:dyDescent="0.25">
      <c r="A56" t="str">
        <f t="shared" ref="A56:B56" si="56">A26</f>
        <v>4.1 Gt Baseline</v>
      </c>
      <c r="B56" t="str">
        <f t="shared" si="56"/>
        <v>4.1 Gt</v>
      </c>
      <c r="C56">
        <f t="shared" si="29"/>
        <v>4.778714292207316</v>
      </c>
      <c r="D56">
        <f t="shared" si="30"/>
        <v>23.306697574041493</v>
      </c>
      <c r="I56">
        <f>C56</f>
        <v>4.778714292207316</v>
      </c>
    </row>
    <row r="57" spans="1:10" x14ac:dyDescent="0.25">
      <c r="A57" t="str">
        <f>A27</f>
        <v>CDRIA-Rhodium18b</v>
      </c>
      <c r="B57" t="str">
        <f>B27</f>
        <v>500 Mt</v>
      </c>
      <c r="C57">
        <f>D27</f>
        <v>-2.1509758877512724</v>
      </c>
      <c r="D57">
        <f>I27</f>
        <v>-1.4445409002888128</v>
      </c>
      <c r="H57">
        <f>C57</f>
        <v>-2.1509758877512724</v>
      </c>
    </row>
    <row r="58" spans="1:10" x14ac:dyDescent="0.25">
      <c r="A58" t="str">
        <f t="shared" ref="A58:B58" si="57">A28</f>
        <v>CDRIA-Rhodium18b</v>
      </c>
      <c r="B58" t="str">
        <f t="shared" si="57"/>
        <v>1.5 Gt</v>
      </c>
      <c r="C58">
        <f t="shared" si="29"/>
        <v>2.4526831516616943</v>
      </c>
      <c r="D58">
        <f t="shared" ref="D58" si="58">I28</f>
        <v>-4.7728156685049763</v>
      </c>
      <c r="H58">
        <f>C58</f>
        <v>2.4526831516616943</v>
      </c>
    </row>
    <row r="60" spans="1:10" x14ac:dyDescent="0.25">
      <c r="A60" s="7">
        <v>0.12</v>
      </c>
      <c r="B60" s="7" t="str">
        <f t="shared" ref="B60:D61" si="59">B31</f>
        <v>Baseline</v>
      </c>
      <c r="C60" s="7" t="str">
        <f>F1</f>
        <v>12% discount rate</v>
      </c>
      <c r="D60" s="7" t="str">
        <f t="shared" si="59"/>
        <v>As snapshot of CDR prices in 2050</v>
      </c>
      <c r="E60" t="s">
        <v>76</v>
      </c>
      <c r="F60" t="s">
        <v>77</v>
      </c>
      <c r="G60" t="s">
        <v>78</v>
      </c>
      <c r="H60" t="s">
        <v>79</v>
      </c>
      <c r="I60" t="s">
        <v>80</v>
      </c>
      <c r="J60" t="s">
        <v>81</v>
      </c>
    </row>
    <row r="61" spans="1:10" x14ac:dyDescent="0.25">
      <c r="A61" s="7" t="str">
        <f>A32</f>
        <v>100 Mt Baseline</v>
      </c>
      <c r="B61" s="7" t="str">
        <f t="shared" si="59"/>
        <v>100 Mt</v>
      </c>
      <c r="C61" s="8">
        <f t="shared" ref="C61:C86" si="60">F2</f>
        <v>0</v>
      </c>
      <c r="D61">
        <f t="shared" si="59"/>
        <v>0</v>
      </c>
      <c r="I61" s="8"/>
      <c r="J61">
        <v>0</v>
      </c>
    </row>
    <row r="62" spans="1:10" x14ac:dyDescent="0.25">
      <c r="A62" s="7" t="str">
        <f t="shared" ref="A62:D62" si="61">A33</f>
        <v>45Q-2040</v>
      </c>
      <c r="B62" s="7" t="str">
        <f t="shared" si="61"/>
        <v>500 Mt</v>
      </c>
      <c r="C62" s="8">
        <f t="shared" si="60"/>
        <v>0.98599472057171911</v>
      </c>
      <c r="D62">
        <f t="shared" si="61"/>
        <v>0.21249703186680166</v>
      </c>
      <c r="F62" s="8">
        <f>C62</f>
        <v>0.98599472057171911</v>
      </c>
    </row>
    <row r="63" spans="1:10" x14ac:dyDescent="0.25">
      <c r="A63" s="7" t="str">
        <f t="shared" ref="A63:D63" si="62">A34</f>
        <v>45Q-2050</v>
      </c>
      <c r="B63" s="7" t="str">
        <f t="shared" si="62"/>
        <v>500 Mt</v>
      </c>
      <c r="C63" s="8">
        <f t="shared" si="60"/>
        <v>0.44448412606722876</v>
      </c>
      <c r="D63">
        <f t="shared" si="62"/>
        <v>-1.3655573070193403</v>
      </c>
      <c r="F63" s="8">
        <f>C63</f>
        <v>0.44448412606722876</v>
      </c>
    </row>
    <row r="64" spans="1:10" x14ac:dyDescent="0.25">
      <c r="A64" s="7" t="str">
        <f t="shared" ref="A64:D64" si="63">A35</f>
        <v>Innovation-DACHubs</v>
      </c>
      <c r="B64" s="7" t="str">
        <f t="shared" si="63"/>
        <v>500 Mt</v>
      </c>
      <c r="C64" s="8">
        <f t="shared" si="60"/>
        <v>0.64724767761331869</v>
      </c>
      <c r="D64">
        <f t="shared" si="63"/>
        <v>-0.46376197004718345</v>
      </c>
      <c r="E64" s="8">
        <f>C64</f>
        <v>0.64724767761331869</v>
      </c>
    </row>
    <row r="65" spans="1:9" x14ac:dyDescent="0.25">
      <c r="A65" s="7" t="str">
        <f t="shared" ref="A65:D65" si="64">A36</f>
        <v>Innovation-maintain</v>
      </c>
      <c r="B65" s="7" t="str">
        <f t="shared" si="64"/>
        <v>500 Mt</v>
      </c>
      <c r="C65" s="8">
        <f t="shared" si="60"/>
        <v>1.3577275897072081</v>
      </c>
      <c r="D65">
        <f t="shared" si="64"/>
        <v>-0.15840906711694819</v>
      </c>
      <c r="E65" s="8">
        <f>C65</f>
        <v>1.3577275897072081</v>
      </c>
    </row>
    <row r="66" spans="1:9" x14ac:dyDescent="0.25">
      <c r="A66" s="7" t="str">
        <f t="shared" ref="A66:D66" si="65">A37</f>
        <v>Innovation-rhodium18b</v>
      </c>
      <c r="B66" s="7" t="str">
        <f t="shared" si="65"/>
        <v>500 Mt</v>
      </c>
      <c r="C66" s="8">
        <f t="shared" si="60"/>
        <v>2.3153381298881297</v>
      </c>
      <c r="D66">
        <f t="shared" si="65"/>
        <v>-1.4997785764247658</v>
      </c>
      <c r="E66" s="8">
        <f>C66</f>
        <v>2.3153381298881297</v>
      </c>
    </row>
    <row r="67" spans="1:9" x14ac:dyDescent="0.25">
      <c r="A67" s="7" t="str">
        <f t="shared" ref="A67:D67" si="66">A38</f>
        <v>Innovation-rhodium6b</v>
      </c>
      <c r="B67" s="7" t="str">
        <f t="shared" si="66"/>
        <v>500 Mt</v>
      </c>
      <c r="C67" s="8">
        <f t="shared" si="60"/>
        <v>1.6348546043849213</v>
      </c>
      <c r="D67">
        <f t="shared" si="66"/>
        <v>-0.39769251330281402</v>
      </c>
      <c r="E67" s="8">
        <f>C67</f>
        <v>1.6348546043849213</v>
      </c>
    </row>
    <row r="68" spans="1:9" x14ac:dyDescent="0.25">
      <c r="A68" s="7" t="str">
        <f t="shared" ref="A68:D68" si="67">A39</f>
        <v>Innovation-triple</v>
      </c>
      <c r="B68" s="7" t="str">
        <f t="shared" si="67"/>
        <v>500 Mt</v>
      </c>
      <c r="C68" s="8">
        <f t="shared" si="60"/>
        <v>1.6529080927729902</v>
      </c>
      <c r="D68">
        <f t="shared" si="67"/>
        <v>-0.52357713726908883</v>
      </c>
      <c r="E68" s="8">
        <f>C68</f>
        <v>1.6529080927729902</v>
      </c>
    </row>
    <row r="69" spans="1:9" x14ac:dyDescent="0.25">
      <c r="A69" s="7" t="str">
        <f t="shared" ref="A69:D69" si="68">A40</f>
        <v>Low Baseline</v>
      </c>
      <c r="B69" s="7" t="str">
        <f t="shared" si="68"/>
        <v>500 Mt</v>
      </c>
      <c r="C69" s="8">
        <f t="shared" si="60"/>
        <v>1.5453796931733457</v>
      </c>
      <c r="D69">
        <f t="shared" si="68"/>
        <v>1.0818447048699995</v>
      </c>
      <c r="I69" s="8">
        <f>C69</f>
        <v>1.5453796931733457</v>
      </c>
    </row>
    <row r="70" spans="1:9" x14ac:dyDescent="0.25">
      <c r="A70" s="7" t="str">
        <f t="shared" ref="A70:D70" si="69">A41</f>
        <v>Procure3B</v>
      </c>
      <c r="B70" s="7" t="str">
        <f t="shared" si="69"/>
        <v>500 Mt</v>
      </c>
      <c r="C70" s="8">
        <f t="shared" si="60"/>
        <v>2.5994756304123183</v>
      </c>
      <c r="D70">
        <f t="shared" si="69"/>
        <v>0.36638009527595833</v>
      </c>
      <c r="G70" s="8">
        <f>C70</f>
        <v>2.5994756304123183</v>
      </c>
    </row>
    <row r="71" spans="1:9" x14ac:dyDescent="0.25">
      <c r="A71" s="7" t="str">
        <f t="shared" ref="A71:D71" si="70">A42</f>
        <v>ProcureRhodium</v>
      </c>
      <c r="B71" s="7" t="str">
        <f t="shared" si="70"/>
        <v>500 Mt</v>
      </c>
      <c r="C71" s="8">
        <f t="shared" si="60"/>
        <v>8.3515011746760219</v>
      </c>
      <c r="D71">
        <f t="shared" si="70"/>
        <v>1.1959723569841303</v>
      </c>
      <c r="G71" s="8">
        <f>C71</f>
        <v>8.3515011746760219</v>
      </c>
    </row>
    <row r="72" spans="1:9" x14ac:dyDescent="0.25">
      <c r="A72" s="7" t="str">
        <f t="shared" ref="A72:D72" si="71">A43</f>
        <v>ProcureScaling</v>
      </c>
      <c r="B72" s="7" t="str">
        <f t="shared" si="71"/>
        <v>500 Mt</v>
      </c>
      <c r="C72" s="8">
        <f t="shared" si="60"/>
        <v>1.5468320344764317</v>
      </c>
      <c r="D72">
        <f t="shared" si="71"/>
        <v>0.36328086889841033</v>
      </c>
      <c r="G72" s="8">
        <f>C72</f>
        <v>1.5468320344764317</v>
      </c>
    </row>
    <row r="73" spans="1:9" x14ac:dyDescent="0.25">
      <c r="A73" s="7" t="str">
        <f t="shared" ref="A73:D73" si="72">A44</f>
        <v>45Q-2040</v>
      </c>
      <c r="B73" s="7" t="str">
        <f t="shared" si="72"/>
        <v>1.5 Gt</v>
      </c>
      <c r="C73" s="8">
        <f t="shared" si="60"/>
        <v>2.5637816421080228</v>
      </c>
      <c r="D73">
        <f t="shared" si="72"/>
        <v>1.0676371229122197</v>
      </c>
      <c r="F73" s="8">
        <f>C73</f>
        <v>2.5637816421080228</v>
      </c>
    </row>
    <row r="74" spans="1:9" x14ac:dyDescent="0.25">
      <c r="A74" s="7" t="str">
        <f t="shared" ref="A74:D74" si="73">A45</f>
        <v>45Q-2050</v>
      </c>
      <c r="B74" s="7" t="str">
        <f t="shared" si="73"/>
        <v>1.5 Gt</v>
      </c>
      <c r="C74" s="8">
        <f t="shared" si="60"/>
        <v>2.8356658504593448</v>
      </c>
      <c r="D74">
        <f t="shared" si="73"/>
        <v>0.46865683829263816</v>
      </c>
      <c r="F74" s="8">
        <f>C74</f>
        <v>2.8356658504593448</v>
      </c>
    </row>
    <row r="75" spans="1:9" x14ac:dyDescent="0.25">
      <c r="A75" s="7" t="str">
        <f t="shared" ref="A75:D75" si="74">A46</f>
        <v>High Baseline</v>
      </c>
      <c r="B75" s="7" t="str">
        <f t="shared" si="74"/>
        <v>1.5 Gt</v>
      </c>
      <c r="C75" s="8">
        <f t="shared" si="60"/>
        <v>4.0706852143436585</v>
      </c>
      <c r="D75">
        <f t="shared" si="74"/>
        <v>2.3727693973872075</v>
      </c>
      <c r="I75" s="8">
        <f>C75</f>
        <v>4.0706852143436585</v>
      </c>
    </row>
    <row r="76" spans="1:9" x14ac:dyDescent="0.25">
      <c r="A76" s="7" t="str">
        <f t="shared" ref="A76:D76" si="75">A47</f>
        <v>Innovation-DACHubs</v>
      </c>
      <c r="B76" s="7" t="str">
        <f t="shared" si="75"/>
        <v>1.5 Gt</v>
      </c>
      <c r="C76" s="8">
        <f t="shared" si="60"/>
        <v>2.1220956593986737</v>
      </c>
      <c r="D76">
        <f t="shared" si="75"/>
        <v>-1.0959771479748042</v>
      </c>
      <c r="E76" s="8">
        <f>C76</f>
        <v>2.1220956593986737</v>
      </c>
    </row>
    <row r="77" spans="1:9" x14ac:dyDescent="0.25">
      <c r="A77" s="7" t="str">
        <f t="shared" ref="A77:D77" si="76">A48</f>
        <v>Innovation-maintain</v>
      </c>
      <c r="B77" s="7" t="str">
        <f t="shared" si="76"/>
        <v>1.5 Gt</v>
      </c>
      <c r="C77" s="8">
        <f t="shared" si="60"/>
        <v>3.0824499174664326</v>
      </c>
      <c r="D77">
        <f t="shared" si="76"/>
        <v>-0.67455579376899111</v>
      </c>
      <c r="E77" s="8">
        <f>C77</f>
        <v>3.0824499174664326</v>
      </c>
    </row>
    <row r="78" spans="1:9" x14ac:dyDescent="0.25">
      <c r="A78" s="7" t="str">
        <f t="shared" ref="A78:D78" si="77">A49</f>
        <v>Innovation-rhodium18b</v>
      </c>
      <c r="B78" s="7" t="str">
        <f t="shared" si="77"/>
        <v>1.5 Gt</v>
      </c>
      <c r="C78" s="8">
        <f t="shared" si="60"/>
        <v>2.9048414488544982</v>
      </c>
      <c r="D78">
        <f t="shared" si="77"/>
        <v>-4.6305696962614666</v>
      </c>
      <c r="E78" s="8">
        <f>C78</f>
        <v>2.9048414488544982</v>
      </c>
    </row>
    <row r="79" spans="1:9" x14ac:dyDescent="0.25">
      <c r="A79" s="7" t="str">
        <f t="shared" ref="A79:D79" si="78">A50</f>
        <v>Innovation-rhodium6b</v>
      </c>
      <c r="B79" s="7" t="str">
        <f t="shared" si="78"/>
        <v>1.5 Gt</v>
      </c>
      <c r="C79" s="8">
        <f t="shared" si="60"/>
        <v>3.1400272434202559</v>
      </c>
      <c r="D79">
        <f t="shared" si="78"/>
        <v>-1.319407624914968</v>
      </c>
      <c r="E79" s="8">
        <f>C79</f>
        <v>3.1400272434202559</v>
      </c>
    </row>
    <row r="80" spans="1:9" x14ac:dyDescent="0.25">
      <c r="A80" s="7" t="str">
        <f t="shared" ref="A80:D80" si="79">A51</f>
        <v>Innovation-triple</v>
      </c>
      <c r="B80" s="7" t="str">
        <f t="shared" si="79"/>
        <v>1.5 Gt</v>
      </c>
      <c r="C80" s="8">
        <f t="shared" si="60"/>
        <v>3.0444641251640361</v>
      </c>
      <c r="D80">
        <f t="shared" si="79"/>
        <v>-1.897612583824104</v>
      </c>
      <c r="E80" s="8">
        <f>C80</f>
        <v>3.0444641251640361</v>
      </c>
    </row>
    <row r="81" spans="1:10" x14ac:dyDescent="0.25">
      <c r="A81" s="7" t="str">
        <f t="shared" ref="A81:D81" si="80">A52</f>
        <v>Procure3B</v>
      </c>
      <c r="B81" s="7" t="str">
        <f t="shared" si="80"/>
        <v>1.5 Gt</v>
      </c>
      <c r="C81" s="8">
        <f t="shared" si="60"/>
        <v>4.7171586472895424</v>
      </c>
      <c r="D81">
        <f t="shared" si="80"/>
        <v>1.0363250084620061</v>
      </c>
      <c r="G81" s="8">
        <f>C81</f>
        <v>4.7171586472895424</v>
      </c>
    </row>
    <row r="82" spans="1:10" x14ac:dyDescent="0.25">
      <c r="A82" s="7" t="str">
        <f t="shared" ref="A82:D82" si="81">A53</f>
        <v>ProcureRhodium</v>
      </c>
      <c r="B82" s="7" t="str">
        <f t="shared" si="81"/>
        <v>1.5 Gt</v>
      </c>
      <c r="C82" s="8">
        <f t="shared" si="60"/>
        <v>10.029059099755278</v>
      </c>
      <c r="D82">
        <f t="shared" si="81"/>
        <v>2.923407082508354</v>
      </c>
      <c r="G82" s="8">
        <f>C82</f>
        <v>10.029059099755278</v>
      </c>
    </row>
    <row r="83" spans="1:10" x14ac:dyDescent="0.25">
      <c r="A83" s="7" t="str">
        <f t="shared" ref="A83:D83" si="82">A54</f>
        <v>ProcureScaling</v>
      </c>
      <c r="B83" s="7" t="str">
        <f t="shared" si="82"/>
        <v>1.5 Gt</v>
      </c>
      <c r="C83" s="8">
        <f t="shared" si="60"/>
        <v>3.8789631751289115</v>
      </c>
      <c r="D83">
        <f t="shared" si="82"/>
        <v>0.91897387304034173</v>
      </c>
      <c r="G83" s="8">
        <f>C83</f>
        <v>3.8789631751289115</v>
      </c>
    </row>
    <row r="84" spans="1:10" x14ac:dyDescent="0.25">
      <c r="A84" s="7" t="str">
        <f t="shared" ref="A84:D84" si="83">A55</f>
        <v>2.4 Gt Baseline</v>
      </c>
      <c r="B84" s="7" t="str">
        <f t="shared" si="83"/>
        <v>2.4 Gt</v>
      </c>
      <c r="C84" s="8">
        <f t="shared" si="60"/>
        <v>4.3174474451754374</v>
      </c>
      <c r="D84">
        <f t="shared" si="83"/>
        <v>-3.8617004313604051</v>
      </c>
      <c r="I84" s="8">
        <f>C84</f>
        <v>4.3174474451754374</v>
      </c>
    </row>
    <row r="85" spans="1:10" x14ac:dyDescent="0.25">
      <c r="A85" s="7" t="str">
        <f t="shared" ref="A85:D85" si="84">A56</f>
        <v>4.1 Gt Baseline</v>
      </c>
      <c r="B85" s="7" t="str">
        <f t="shared" si="84"/>
        <v>4.1 Gt</v>
      </c>
      <c r="C85" s="8">
        <f t="shared" si="60"/>
        <v>5.0029688506972843</v>
      </c>
      <c r="D85">
        <f t="shared" si="84"/>
        <v>23.306697574041493</v>
      </c>
      <c r="I85" s="8">
        <f>C85</f>
        <v>5.0029688506972843</v>
      </c>
    </row>
    <row r="86" spans="1:10" x14ac:dyDescent="0.25">
      <c r="A86" s="7" t="str">
        <f t="shared" ref="A86:D87" si="85">A57</f>
        <v>CDRIA-Rhodium18b</v>
      </c>
      <c r="B86" s="7" t="str">
        <f t="shared" si="85"/>
        <v>500 Mt</v>
      </c>
      <c r="C86" s="8">
        <f t="shared" si="60"/>
        <v>-3.4159600524698353</v>
      </c>
      <c r="D86">
        <f t="shared" si="85"/>
        <v>-1.4445409002888128</v>
      </c>
      <c r="H86" s="8">
        <f>C86</f>
        <v>-3.4159600524698353</v>
      </c>
    </row>
    <row r="87" spans="1:10" x14ac:dyDescent="0.25">
      <c r="A87" s="7" t="str">
        <f t="shared" si="85"/>
        <v>CDRIA-Rhodium18b</v>
      </c>
      <c r="B87" s="7" t="str">
        <f t="shared" si="85"/>
        <v>1.5 Gt</v>
      </c>
      <c r="C87" s="8">
        <f t="shared" ref="C87" si="86">F28</f>
        <v>6.0516224069731308</v>
      </c>
      <c r="D87">
        <f t="shared" si="85"/>
        <v>-4.7728156685049763</v>
      </c>
      <c r="H87" s="8">
        <f>C87</f>
        <v>6.0516224069731308</v>
      </c>
    </row>
    <row r="89" spans="1:10" x14ac:dyDescent="0.25">
      <c r="A89" s="7">
        <v>0.2</v>
      </c>
      <c r="B89" t="str">
        <f>B1</f>
        <v>Baseline</v>
      </c>
      <c r="C89" t="str">
        <f>H1</f>
        <v>20% discount rate</v>
      </c>
      <c r="D89" s="7" t="str">
        <f t="shared" ref="D89" si="87">D60</f>
        <v>As snapshot of CDR prices in 2050</v>
      </c>
      <c r="E89" t="s">
        <v>76</v>
      </c>
      <c r="F89" t="s">
        <v>77</v>
      </c>
      <c r="G89" t="s">
        <v>78</v>
      </c>
      <c r="H89" t="s">
        <v>79</v>
      </c>
      <c r="I89" t="s">
        <v>80</v>
      </c>
      <c r="J89" t="s">
        <v>81</v>
      </c>
    </row>
    <row r="90" spans="1:10" x14ac:dyDescent="0.25">
      <c r="A90" s="7" t="str">
        <f>A61</f>
        <v>100 Mt Baseline</v>
      </c>
      <c r="B90" s="7" t="str">
        <f>B61</f>
        <v>100 Mt</v>
      </c>
      <c r="C90">
        <f>H2</f>
        <v>0</v>
      </c>
      <c r="D90" s="8">
        <f>D61</f>
        <v>0</v>
      </c>
      <c r="I90" s="8"/>
      <c r="J90">
        <v>0</v>
      </c>
    </row>
    <row r="91" spans="1:10" x14ac:dyDescent="0.25">
      <c r="A91" s="7" t="str">
        <f t="shared" ref="A91:B91" si="88">A62</f>
        <v>45Q-2040</v>
      </c>
      <c r="B91" s="7" t="str">
        <f t="shared" si="88"/>
        <v>500 Mt</v>
      </c>
      <c r="C91">
        <f t="shared" ref="C91:C116" si="89">H3</f>
        <v>1.3438885594409384</v>
      </c>
      <c r="D91" s="8">
        <f t="shared" ref="D91:D116" si="90">D62</f>
        <v>0.21249703186680166</v>
      </c>
      <c r="F91" s="8">
        <f>C91</f>
        <v>1.3438885594409384</v>
      </c>
    </row>
    <row r="92" spans="1:10" x14ac:dyDescent="0.25">
      <c r="A92" s="7" t="str">
        <f t="shared" ref="A92:B92" si="91">A63</f>
        <v>45Q-2050</v>
      </c>
      <c r="B92" s="7" t="str">
        <f t="shared" si="91"/>
        <v>500 Mt</v>
      </c>
      <c r="C92">
        <f t="shared" si="89"/>
        <v>0.84723170018844907</v>
      </c>
      <c r="D92" s="8">
        <f t="shared" si="90"/>
        <v>-1.3655573070193403</v>
      </c>
      <c r="F92" s="8">
        <f>C92</f>
        <v>0.84723170018844907</v>
      </c>
    </row>
    <row r="93" spans="1:10" x14ac:dyDescent="0.25">
      <c r="A93" s="7" t="str">
        <f t="shared" ref="A93:B93" si="92">A64</f>
        <v>Innovation-DACHubs</v>
      </c>
      <c r="B93" s="7" t="str">
        <f t="shared" si="92"/>
        <v>500 Mt</v>
      </c>
      <c r="C93">
        <f t="shared" si="89"/>
        <v>1.0932573496051559</v>
      </c>
      <c r="D93" s="8">
        <f t="shared" si="90"/>
        <v>-0.46376197004718345</v>
      </c>
      <c r="E93" s="8">
        <f>C93</f>
        <v>1.0932573496051559</v>
      </c>
    </row>
    <row r="94" spans="1:10" x14ac:dyDescent="0.25">
      <c r="A94" s="7" t="str">
        <f t="shared" ref="A94:B94" si="93">A65</f>
        <v>Innovation-maintain</v>
      </c>
      <c r="B94" s="7" t="str">
        <f t="shared" si="93"/>
        <v>500 Mt</v>
      </c>
      <c r="C94">
        <f t="shared" si="89"/>
        <v>1.6946076320487724</v>
      </c>
      <c r="D94" s="8">
        <f t="shared" si="90"/>
        <v>-0.15840906711694819</v>
      </c>
      <c r="E94" s="8">
        <f>C94</f>
        <v>1.6946076320487724</v>
      </c>
    </row>
    <row r="95" spans="1:10" x14ac:dyDescent="0.25">
      <c r="A95" s="7" t="str">
        <f t="shared" ref="A95:B95" si="94">A66</f>
        <v>Innovation-rhodium18b</v>
      </c>
      <c r="B95" s="7" t="str">
        <f t="shared" si="94"/>
        <v>500 Mt</v>
      </c>
      <c r="C95">
        <f t="shared" si="89"/>
        <v>3.2502144071938046</v>
      </c>
      <c r="D95" s="8">
        <f t="shared" si="90"/>
        <v>-1.4997785764247658</v>
      </c>
      <c r="E95" s="8">
        <f>C95</f>
        <v>3.2502144071938046</v>
      </c>
    </row>
    <row r="96" spans="1:10" x14ac:dyDescent="0.25">
      <c r="A96" s="7" t="str">
        <f t="shared" ref="A96:B96" si="95">A67</f>
        <v>Innovation-rhodium6b</v>
      </c>
      <c r="B96" s="7" t="str">
        <f t="shared" si="95"/>
        <v>500 Mt</v>
      </c>
      <c r="C96">
        <f t="shared" si="89"/>
        <v>2.1049050122513044</v>
      </c>
      <c r="D96" s="8">
        <f t="shared" si="90"/>
        <v>-0.39769251330281402</v>
      </c>
      <c r="E96" s="8">
        <f>C96</f>
        <v>2.1049050122513044</v>
      </c>
    </row>
    <row r="97" spans="1:9" x14ac:dyDescent="0.25">
      <c r="A97" s="7" t="str">
        <f t="shared" ref="A97:B97" si="96">A68</f>
        <v>Innovation-triple</v>
      </c>
      <c r="B97" s="7" t="str">
        <f t="shared" si="96"/>
        <v>500 Mt</v>
      </c>
      <c r="C97">
        <f t="shared" si="89"/>
        <v>2.2091624983315339</v>
      </c>
      <c r="D97" s="8">
        <f t="shared" si="90"/>
        <v>-0.52357713726908883</v>
      </c>
      <c r="E97" s="8">
        <f>C97</f>
        <v>2.2091624983315339</v>
      </c>
    </row>
    <row r="98" spans="1:9" x14ac:dyDescent="0.25">
      <c r="A98" s="7" t="str">
        <f t="shared" ref="A98:B98" si="97">A69</f>
        <v>Low Baseline</v>
      </c>
      <c r="B98" s="7" t="str">
        <f t="shared" si="97"/>
        <v>500 Mt</v>
      </c>
      <c r="C98">
        <f t="shared" si="89"/>
        <v>1.5827998282841693</v>
      </c>
      <c r="D98" s="8">
        <f t="shared" si="90"/>
        <v>1.0818447048699995</v>
      </c>
      <c r="I98" s="8">
        <f>C98</f>
        <v>1.5827998282841693</v>
      </c>
    </row>
    <row r="99" spans="1:9" x14ac:dyDescent="0.25">
      <c r="A99" s="7" t="str">
        <f t="shared" ref="A99:B99" si="98">A70</f>
        <v>Procure3B</v>
      </c>
      <c r="B99" s="7" t="str">
        <f t="shared" si="98"/>
        <v>500 Mt</v>
      </c>
      <c r="C99">
        <f t="shared" si="89"/>
        <v>4.0670809313292864</v>
      </c>
      <c r="D99" s="8">
        <f t="shared" si="90"/>
        <v>0.36638009527595833</v>
      </c>
      <c r="G99" s="8">
        <f>C99</f>
        <v>4.0670809313292864</v>
      </c>
    </row>
    <row r="100" spans="1:9" x14ac:dyDescent="0.25">
      <c r="A100" s="7" t="str">
        <f t="shared" ref="A100:B100" si="99">A71</f>
        <v>ProcureRhodium</v>
      </c>
      <c r="B100" s="7" t="str">
        <f t="shared" si="99"/>
        <v>500 Mt</v>
      </c>
      <c r="C100">
        <f t="shared" si="89"/>
        <v>10.956263412283258</v>
      </c>
      <c r="D100" s="8">
        <f t="shared" si="90"/>
        <v>1.1959723569841303</v>
      </c>
      <c r="G100" s="8">
        <f>C100</f>
        <v>10.956263412283258</v>
      </c>
    </row>
    <row r="101" spans="1:9" x14ac:dyDescent="0.25">
      <c r="A101" s="7" t="str">
        <f t="shared" ref="A101:B101" si="100">A72</f>
        <v>ProcureScaling</v>
      </c>
      <c r="B101" s="7" t="str">
        <f t="shared" si="100"/>
        <v>500 Mt</v>
      </c>
      <c r="C101">
        <f t="shared" si="89"/>
        <v>1.9108299722709272</v>
      </c>
      <c r="D101" s="8">
        <f t="shared" si="90"/>
        <v>0.36328086889841033</v>
      </c>
      <c r="G101" s="8">
        <f>C101</f>
        <v>1.9108299722709272</v>
      </c>
    </row>
    <row r="102" spans="1:9" x14ac:dyDescent="0.25">
      <c r="A102" s="7" t="str">
        <f t="shared" ref="A102:B102" si="101">A73</f>
        <v>45Q-2040</v>
      </c>
      <c r="B102" s="7" t="str">
        <f t="shared" si="101"/>
        <v>1.5 Gt</v>
      </c>
      <c r="C102">
        <f t="shared" si="89"/>
        <v>2.9242921759498324</v>
      </c>
      <c r="D102" s="8">
        <f t="shared" si="90"/>
        <v>1.0676371229122197</v>
      </c>
      <c r="F102" s="8">
        <f>C102</f>
        <v>2.9242921759498324</v>
      </c>
    </row>
    <row r="103" spans="1:9" x14ac:dyDescent="0.25">
      <c r="A103" s="7" t="str">
        <f t="shared" ref="A103:B103" si="102">A74</f>
        <v>45Q-2050</v>
      </c>
      <c r="B103" s="7" t="str">
        <f t="shared" si="102"/>
        <v>1.5 Gt</v>
      </c>
      <c r="C103">
        <f t="shared" si="89"/>
        <v>3.2080184026842988</v>
      </c>
      <c r="D103" s="8">
        <f t="shared" si="90"/>
        <v>0.46865683829263816</v>
      </c>
      <c r="F103" s="8">
        <f>C103</f>
        <v>3.2080184026842988</v>
      </c>
    </row>
    <row r="104" spans="1:9" x14ac:dyDescent="0.25">
      <c r="A104" s="7" t="str">
        <f t="shared" ref="A104:B104" si="103">A75</f>
        <v>High Baseline</v>
      </c>
      <c r="B104" s="7" t="str">
        <f t="shared" si="103"/>
        <v>1.5 Gt</v>
      </c>
      <c r="C104">
        <f t="shared" si="89"/>
        <v>4.0371470003985861</v>
      </c>
      <c r="D104" s="8">
        <f t="shared" si="90"/>
        <v>2.3727693973872075</v>
      </c>
      <c r="I104" s="8">
        <f>C104</f>
        <v>4.0371470003985861</v>
      </c>
    </row>
    <row r="105" spans="1:9" x14ac:dyDescent="0.25">
      <c r="A105" s="7" t="str">
        <f t="shared" ref="A105:B105" si="104">A76</f>
        <v>Innovation-DACHubs</v>
      </c>
      <c r="B105" s="7" t="str">
        <f t="shared" si="104"/>
        <v>1.5 Gt</v>
      </c>
      <c r="C105">
        <f t="shared" si="89"/>
        <v>2.693095733872942</v>
      </c>
      <c r="D105" s="8">
        <f t="shared" si="90"/>
        <v>-1.0959771479748042</v>
      </c>
      <c r="E105" s="8">
        <f>C105</f>
        <v>2.693095733872942</v>
      </c>
    </row>
    <row r="106" spans="1:9" x14ac:dyDescent="0.25">
      <c r="A106" s="7" t="str">
        <f t="shared" ref="A106:B106" si="105">A77</f>
        <v>Innovation-maintain</v>
      </c>
      <c r="B106" s="7" t="str">
        <f t="shared" si="105"/>
        <v>1.5 Gt</v>
      </c>
      <c r="C106">
        <f t="shared" si="89"/>
        <v>3.5163830940418412</v>
      </c>
      <c r="D106" s="8">
        <f t="shared" si="90"/>
        <v>-0.67455579376899111</v>
      </c>
      <c r="E106" s="8">
        <f>C106</f>
        <v>3.5163830940418412</v>
      </c>
    </row>
    <row r="107" spans="1:9" x14ac:dyDescent="0.25">
      <c r="A107" s="7" t="str">
        <f t="shared" ref="A107:B107" si="106">A78</f>
        <v>Innovation-rhodium18b</v>
      </c>
      <c r="B107" s="7" t="str">
        <f t="shared" si="106"/>
        <v>1.5 Gt</v>
      </c>
      <c r="C107">
        <f t="shared" si="89"/>
        <v>4.2476127361252409</v>
      </c>
      <c r="D107" s="8">
        <f t="shared" si="90"/>
        <v>-4.6305696962614666</v>
      </c>
      <c r="E107" s="8">
        <f>C107</f>
        <v>4.2476127361252409</v>
      </c>
    </row>
    <row r="108" spans="1:9" x14ac:dyDescent="0.25">
      <c r="A108" s="7" t="str">
        <f t="shared" ref="A108:B108" si="107">A79</f>
        <v>Innovation-rhodium6b</v>
      </c>
      <c r="B108" s="7" t="str">
        <f t="shared" si="107"/>
        <v>1.5 Gt</v>
      </c>
      <c r="C108">
        <f t="shared" si="89"/>
        <v>3.7562358691096911</v>
      </c>
      <c r="D108" s="8">
        <f t="shared" si="90"/>
        <v>-1.319407624914968</v>
      </c>
      <c r="E108" s="8">
        <f>C108</f>
        <v>3.7562358691096911</v>
      </c>
    </row>
    <row r="109" spans="1:9" x14ac:dyDescent="0.25">
      <c r="A109" s="7" t="str">
        <f t="shared" ref="A109:B109" si="108">A80</f>
        <v>Innovation-triple</v>
      </c>
      <c r="B109" s="7" t="str">
        <f t="shared" si="108"/>
        <v>1.5 Gt</v>
      </c>
      <c r="C109">
        <f t="shared" si="89"/>
        <v>3.7941739897941655</v>
      </c>
      <c r="D109" s="8">
        <f t="shared" si="90"/>
        <v>-1.897612583824104</v>
      </c>
      <c r="E109" s="8">
        <f>C109</f>
        <v>3.7941739897941655</v>
      </c>
    </row>
    <row r="110" spans="1:9" x14ac:dyDescent="0.25">
      <c r="A110" s="7" t="str">
        <f t="shared" ref="A110:B110" si="109">A81</f>
        <v>Procure3B</v>
      </c>
      <c r="B110" s="7" t="str">
        <f t="shared" si="109"/>
        <v>1.5 Gt</v>
      </c>
      <c r="C110">
        <f t="shared" si="89"/>
        <v>6.1482838611335504</v>
      </c>
      <c r="D110" s="8">
        <f t="shared" si="90"/>
        <v>1.0363250084620061</v>
      </c>
      <c r="G110" s="8">
        <f>C110</f>
        <v>6.1482838611335504</v>
      </c>
    </row>
    <row r="111" spans="1:9" x14ac:dyDescent="0.25">
      <c r="A111" s="7" t="str">
        <f t="shared" ref="A111:B111" si="110">A82</f>
        <v>ProcureRhodium</v>
      </c>
      <c r="B111" s="7" t="str">
        <f t="shared" si="110"/>
        <v>1.5 Gt</v>
      </c>
      <c r="C111">
        <f t="shared" si="89"/>
        <v>12.663601837356222</v>
      </c>
      <c r="D111" s="8">
        <f t="shared" si="90"/>
        <v>2.923407082508354</v>
      </c>
      <c r="G111" s="8">
        <f>C111</f>
        <v>12.663601837356222</v>
      </c>
    </row>
    <row r="112" spans="1:9" x14ac:dyDescent="0.25">
      <c r="A112" s="7" t="str">
        <f t="shared" ref="A112:B112" si="111">A83</f>
        <v>ProcureScaling</v>
      </c>
      <c r="B112" s="7" t="str">
        <f t="shared" si="111"/>
        <v>1.5 Gt</v>
      </c>
      <c r="C112">
        <f t="shared" si="89"/>
        <v>4.293953690244436</v>
      </c>
      <c r="D112" s="8">
        <f t="shared" si="90"/>
        <v>0.91897387304034173</v>
      </c>
      <c r="G112" s="8">
        <f>C112</f>
        <v>4.293953690244436</v>
      </c>
    </row>
    <row r="113" spans="1:9" x14ac:dyDescent="0.25">
      <c r="A113" s="7" t="str">
        <f t="shared" ref="A113:B113" si="112">A84</f>
        <v>2.4 Gt Baseline</v>
      </c>
      <c r="B113" s="7" t="str">
        <f t="shared" si="112"/>
        <v>2.4 Gt</v>
      </c>
      <c r="C113">
        <f t="shared" si="89"/>
        <v>4.7441533574965318</v>
      </c>
      <c r="D113" s="8">
        <f t="shared" si="90"/>
        <v>-3.8617004313604051</v>
      </c>
      <c r="I113" s="8">
        <f>C113</f>
        <v>4.7441533574965318</v>
      </c>
    </row>
    <row r="114" spans="1:9" x14ac:dyDescent="0.25">
      <c r="A114" s="7" t="str">
        <f t="shared" ref="A114:B114" si="113">A85</f>
        <v>4.1 Gt Baseline</v>
      </c>
      <c r="B114" s="7" t="str">
        <f t="shared" si="113"/>
        <v>4.1 Gt</v>
      </c>
      <c r="C114">
        <f t="shared" si="89"/>
        <v>5.4960134486937662</v>
      </c>
      <c r="D114" s="8">
        <f t="shared" si="90"/>
        <v>23.306697574041493</v>
      </c>
      <c r="I114" s="8">
        <f>C114</f>
        <v>5.4960134486937662</v>
      </c>
    </row>
    <row r="115" spans="1:9" x14ac:dyDescent="0.25">
      <c r="A115" s="7" t="str">
        <f t="shared" ref="A115:B115" si="114">A86</f>
        <v>CDRIA-Rhodium18b</v>
      </c>
      <c r="B115" s="7" t="str">
        <f t="shared" si="114"/>
        <v>500 Mt</v>
      </c>
      <c r="C115">
        <f t="shared" si="89"/>
        <v>-4.1388574181998177</v>
      </c>
      <c r="D115" s="8">
        <f t="shared" si="90"/>
        <v>-1.4445409002888128</v>
      </c>
      <c r="H115" s="8">
        <f>C115</f>
        <v>-4.1388574181998177</v>
      </c>
    </row>
    <row r="116" spans="1:9" x14ac:dyDescent="0.25">
      <c r="A116" s="7" t="str">
        <f t="shared" ref="A116:B116" si="115">A87</f>
        <v>CDRIA-Rhodium18b</v>
      </c>
      <c r="B116" s="7" t="str">
        <f t="shared" si="115"/>
        <v>1.5 Gt</v>
      </c>
      <c r="C116">
        <f t="shared" si="89"/>
        <v>7.6155443923701611</v>
      </c>
      <c r="D116" s="8">
        <f t="shared" si="90"/>
        <v>-4.7728156685049763</v>
      </c>
      <c r="H116">
        <f>C116</f>
        <v>7.6155443923701611</v>
      </c>
    </row>
  </sheetData>
  <autoFilter ref="A1:H26" xr:uid="{66EF8D6B-AAC7-4D47-8A22-E3B6AC50568B}">
    <sortState xmlns:xlrd2="http://schemas.microsoft.com/office/spreadsheetml/2017/richdata2" ref="A14:H24">
      <sortCondition ref="A1:A26"/>
    </sortState>
  </autoFilter>
  <phoneticPr fontId="3" type="noConversion"/>
  <conditionalFormatting sqref="D2:D28 F2:F28 H2:I28">
    <cfRule type="colorScale" priority="3">
      <colorScale>
        <cfvo type="min"/>
        <cfvo type="num" val="0"/>
        <cfvo type="max"/>
        <color rgb="FF00B050"/>
        <color theme="0"/>
        <color rgb="FFC00000"/>
      </colorScale>
    </cfRule>
  </conditionalFormatting>
  <conditionalFormatting sqref="E35:Z35 E36:E39">
    <cfRule type="colorScale" priority="4">
      <colorScale>
        <cfvo type="min"/>
        <cfvo type="num" val="0"/>
        <cfvo type="max"/>
        <color rgb="FF00B050"/>
        <color theme="0"/>
        <color rgb="FFC00000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DCC38-97F2-44B2-A211-84A041F26FA0}">
  <dimension ref="A1:O23"/>
  <sheetViews>
    <sheetView workbookViewId="0">
      <selection activeCell="J29" sqref="J29"/>
    </sheetView>
  </sheetViews>
  <sheetFormatPr defaultRowHeight="15" x14ac:dyDescent="0.25"/>
  <cols>
    <col min="1" max="1" width="22.28515625" bestFit="1" customWidth="1"/>
    <col min="2" max="2" width="10.85546875" bestFit="1" customWidth="1"/>
    <col min="3" max="3" width="12.7109375" bestFit="1" customWidth="1"/>
    <col min="4" max="4" width="13.85546875" bestFit="1" customWidth="1"/>
    <col min="5" max="5" width="17.7109375" bestFit="1" customWidth="1"/>
    <col min="6" max="6" width="25.5703125" bestFit="1" customWidth="1"/>
    <col min="7" max="7" width="20.85546875" bestFit="1" customWidth="1"/>
    <col min="8" max="8" width="28.7109375" bestFit="1" customWidth="1"/>
    <col min="11" max="11" width="22.85546875" bestFit="1" customWidth="1"/>
    <col min="14" max="14" width="26" bestFit="1" customWidth="1"/>
  </cols>
  <sheetData>
    <row r="1" spans="1:15" x14ac:dyDescent="0.25">
      <c r="A1" t="s">
        <v>0</v>
      </c>
      <c r="B1" t="s">
        <v>28</v>
      </c>
      <c r="C1" t="s">
        <v>36</v>
      </c>
      <c r="D1" t="s">
        <v>37</v>
      </c>
      <c r="E1" t="s">
        <v>48</v>
      </c>
      <c r="F1" t="s">
        <v>49</v>
      </c>
      <c r="G1" t="s">
        <v>46</v>
      </c>
      <c r="H1" t="s">
        <v>47</v>
      </c>
      <c r="K1" s="3" t="s">
        <v>44</v>
      </c>
      <c r="L1">
        <f>CORREL(D2:D23,F2:F23)</f>
        <v>0.67272727272727262</v>
      </c>
      <c r="N1" s="3" t="s">
        <v>45</v>
      </c>
      <c r="O1">
        <f>CORREL(C2:C23,H2:H23)</f>
        <v>3.8878507412835051E-2</v>
      </c>
    </row>
    <row r="2" spans="1:15" x14ac:dyDescent="0.25">
      <c r="A2" t="s">
        <v>2</v>
      </c>
      <c r="B2" t="s">
        <v>32</v>
      </c>
      <c r="C2">
        <v>-0.70390616075908496</v>
      </c>
      <c r="D2">
        <v>8</v>
      </c>
      <c r="E2">
        <v>18.574625943324801</v>
      </c>
      <c r="F2">
        <v>10</v>
      </c>
      <c r="G2">
        <v>7.3634914210611901</v>
      </c>
      <c r="H2">
        <v>1</v>
      </c>
    </row>
    <row r="3" spans="1:15" x14ac:dyDescent="0.25">
      <c r="A3" t="s">
        <v>14</v>
      </c>
      <c r="B3" t="s">
        <v>32</v>
      </c>
      <c r="C3">
        <v>0</v>
      </c>
      <c r="D3">
        <v>10</v>
      </c>
      <c r="E3">
        <v>17.3728711500404</v>
      </c>
      <c r="F3">
        <v>9</v>
      </c>
      <c r="G3">
        <v>7.9854624669163199</v>
      </c>
      <c r="H3">
        <v>2</v>
      </c>
    </row>
    <row r="4" spans="1:15" x14ac:dyDescent="0.25">
      <c r="A4" t="s">
        <v>1</v>
      </c>
      <c r="B4" t="s">
        <v>32</v>
      </c>
      <c r="C4">
        <v>-0.78055119327006905</v>
      </c>
      <c r="D4">
        <v>7</v>
      </c>
      <c r="E4">
        <v>10.5657233468163</v>
      </c>
      <c r="F4">
        <v>5</v>
      </c>
      <c r="G4">
        <v>12.943976807287701</v>
      </c>
      <c r="H4">
        <v>3</v>
      </c>
    </row>
    <row r="5" spans="1:15" x14ac:dyDescent="0.25">
      <c r="A5" t="s">
        <v>6</v>
      </c>
      <c r="B5" t="s">
        <v>32</v>
      </c>
      <c r="C5">
        <v>-3.7041148122252601</v>
      </c>
      <c r="D5">
        <v>5</v>
      </c>
      <c r="E5">
        <v>6.9142507501659596</v>
      </c>
      <c r="F5">
        <v>2</v>
      </c>
      <c r="G5">
        <v>16.816335761750899</v>
      </c>
      <c r="H5">
        <v>4</v>
      </c>
    </row>
    <row r="6" spans="1:15" x14ac:dyDescent="0.25">
      <c r="A6" t="s">
        <v>9</v>
      </c>
      <c r="B6" t="s">
        <v>32</v>
      </c>
      <c r="C6">
        <v>-4.6760340109967</v>
      </c>
      <c r="D6">
        <v>2</v>
      </c>
      <c r="E6">
        <v>9.1295821492606297</v>
      </c>
      <c r="F6">
        <v>3</v>
      </c>
      <c r="G6">
        <v>18.019593931069998</v>
      </c>
      <c r="H6">
        <v>5</v>
      </c>
    </row>
    <row r="7" spans="1:15" x14ac:dyDescent="0.25">
      <c r="A7" t="s">
        <v>12</v>
      </c>
      <c r="B7" t="s">
        <v>32</v>
      </c>
      <c r="C7">
        <v>-0.79606851539385404</v>
      </c>
      <c r="D7">
        <v>6</v>
      </c>
      <c r="E7">
        <v>14.5016716897262</v>
      </c>
      <c r="F7">
        <v>7</v>
      </c>
      <c r="G7">
        <v>18.068472816125901</v>
      </c>
      <c r="H7">
        <v>6</v>
      </c>
    </row>
    <row r="8" spans="1:15" x14ac:dyDescent="0.25">
      <c r="A8" t="s">
        <v>8</v>
      </c>
      <c r="B8" t="s">
        <v>32</v>
      </c>
      <c r="C8">
        <v>-6.2792075696240897</v>
      </c>
      <c r="D8">
        <v>1</v>
      </c>
      <c r="E8">
        <v>4.3055182785194903</v>
      </c>
      <c r="F8">
        <v>1</v>
      </c>
      <c r="G8">
        <v>20.904336245338801</v>
      </c>
      <c r="H8">
        <v>7</v>
      </c>
    </row>
    <row r="9" spans="1:15" x14ac:dyDescent="0.25">
      <c r="A9" t="s">
        <v>7</v>
      </c>
      <c r="B9" t="s">
        <v>32</v>
      </c>
      <c r="C9">
        <v>-4.5270896828626404</v>
      </c>
      <c r="D9">
        <v>3</v>
      </c>
      <c r="E9">
        <v>10.094129555691</v>
      </c>
      <c r="F9">
        <v>4</v>
      </c>
      <c r="G9">
        <v>21.4277299143567</v>
      </c>
      <c r="H9">
        <v>8</v>
      </c>
    </row>
    <row r="10" spans="1:15" x14ac:dyDescent="0.25">
      <c r="A10" t="s">
        <v>10</v>
      </c>
      <c r="B10" t="s">
        <v>32</v>
      </c>
      <c r="C10">
        <v>-0.43719754556903001</v>
      </c>
      <c r="D10">
        <v>9</v>
      </c>
      <c r="E10">
        <v>15.5568590322536</v>
      </c>
      <c r="F10">
        <v>8</v>
      </c>
      <c r="G10">
        <v>30.32001009859</v>
      </c>
      <c r="H10">
        <v>9</v>
      </c>
    </row>
    <row r="11" spans="1:15" x14ac:dyDescent="0.25">
      <c r="A11" t="s">
        <v>5</v>
      </c>
      <c r="B11" t="s">
        <v>32</v>
      </c>
      <c r="C11">
        <v>-3.9166135590809201</v>
      </c>
      <c r="D11">
        <v>4</v>
      </c>
      <c r="E11">
        <v>10.9377981211906</v>
      </c>
      <c r="F11">
        <v>6</v>
      </c>
      <c r="G11">
        <v>33.8032802979519</v>
      </c>
      <c r="H11">
        <v>10</v>
      </c>
    </row>
    <row r="12" spans="1:15" x14ac:dyDescent="0.25">
      <c r="A12" t="s">
        <v>11</v>
      </c>
      <c r="B12" t="s">
        <v>32</v>
      </c>
      <c r="C12">
        <v>3.6940786172137897E-2</v>
      </c>
      <c r="D12">
        <v>11</v>
      </c>
      <c r="E12">
        <v>30.603730057832198</v>
      </c>
      <c r="F12">
        <v>11</v>
      </c>
      <c r="G12">
        <v>93.382246268824602</v>
      </c>
      <c r="H12">
        <v>11</v>
      </c>
    </row>
    <row r="13" spans="1:15" x14ac:dyDescent="0.25">
      <c r="A13" t="s">
        <v>5</v>
      </c>
      <c r="B13" t="s">
        <v>30</v>
      </c>
      <c r="C13">
        <v>-1.7952663161307201</v>
      </c>
      <c r="D13">
        <v>4</v>
      </c>
      <c r="E13">
        <v>11.080702210154501</v>
      </c>
      <c r="F13">
        <v>4</v>
      </c>
      <c r="G13">
        <v>12.1687368263228</v>
      </c>
      <c r="H13">
        <v>1</v>
      </c>
    </row>
    <row r="14" spans="1:15" x14ac:dyDescent="0.25">
      <c r="A14" t="s">
        <v>1</v>
      </c>
      <c r="B14" t="s">
        <v>30</v>
      </c>
      <c r="C14">
        <v>-0.55420087336513202</v>
      </c>
      <c r="D14">
        <v>7</v>
      </c>
      <c r="E14">
        <v>7.9722193986204699</v>
      </c>
      <c r="F14">
        <v>3</v>
      </c>
      <c r="G14">
        <v>15.427706085558601</v>
      </c>
      <c r="H14">
        <v>2</v>
      </c>
    </row>
    <row r="15" spans="1:15" x14ac:dyDescent="0.25">
      <c r="A15" t="s">
        <v>8</v>
      </c>
      <c r="B15" t="s">
        <v>30</v>
      </c>
      <c r="C15">
        <v>-3.2383964853381602</v>
      </c>
      <c r="D15">
        <v>1</v>
      </c>
      <c r="E15">
        <v>13.3924163736789</v>
      </c>
      <c r="F15">
        <v>8</v>
      </c>
      <c r="G15">
        <v>17.572339232378901</v>
      </c>
      <c r="H15">
        <v>3</v>
      </c>
    </row>
    <row r="16" spans="1:15" x14ac:dyDescent="0.25">
      <c r="A16" t="s">
        <v>13</v>
      </c>
      <c r="B16" t="s">
        <v>30</v>
      </c>
      <c r="C16">
        <v>0</v>
      </c>
      <c r="D16">
        <v>10</v>
      </c>
      <c r="E16">
        <v>17.279164053851499</v>
      </c>
      <c r="F16">
        <v>10</v>
      </c>
      <c r="G16">
        <v>17.985190607705601</v>
      </c>
      <c r="H16">
        <v>4</v>
      </c>
    </row>
    <row r="17" spans="1:8" x14ac:dyDescent="0.25">
      <c r="A17" t="s">
        <v>9</v>
      </c>
      <c r="B17" t="s">
        <v>30</v>
      </c>
      <c r="C17">
        <v>-2.2891584853534401</v>
      </c>
      <c r="D17">
        <v>2</v>
      </c>
      <c r="E17">
        <v>11.804833462263</v>
      </c>
      <c r="F17">
        <v>5</v>
      </c>
      <c r="G17">
        <v>18.347595088783098</v>
      </c>
      <c r="H17">
        <v>5</v>
      </c>
    </row>
    <row r="18" spans="1:8" x14ac:dyDescent="0.25">
      <c r="A18" t="s">
        <v>7</v>
      </c>
      <c r="B18" t="s">
        <v>30</v>
      </c>
      <c r="C18">
        <v>-2.2172361920194099</v>
      </c>
      <c r="D18">
        <v>3</v>
      </c>
      <c r="E18">
        <v>12.090518117610101</v>
      </c>
      <c r="F18">
        <v>6</v>
      </c>
      <c r="G18">
        <v>18.844388223606401</v>
      </c>
      <c r="H18">
        <v>6</v>
      </c>
    </row>
    <row r="19" spans="1:8" x14ac:dyDescent="0.25">
      <c r="A19" t="s">
        <v>12</v>
      </c>
      <c r="B19" t="s">
        <v>30</v>
      </c>
      <c r="C19">
        <v>-0.10194222025196401</v>
      </c>
      <c r="D19">
        <v>8</v>
      </c>
      <c r="E19">
        <v>13.3113794026041</v>
      </c>
      <c r="F19">
        <v>7</v>
      </c>
      <c r="G19">
        <v>21.1134106483448</v>
      </c>
      <c r="H19">
        <v>7</v>
      </c>
    </row>
    <row r="20" spans="1:8" x14ac:dyDescent="0.25">
      <c r="A20" t="s">
        <v>6</v>
      </c>
      <c r="B20" t="s">
        <v>30</v>
      </c>
      <c r="C20">
        <v>-1.20099872998618</v>
      </c>
      <c r="D20">
        <v>5</v>
      </c>
      <c r="E20">
        <v>3.27434679522118</v>
      </c>
      <c r="F20">
        <v>2</v>
      </c>
      <c r="G20">
        <v>21.891315429941098</v>
      </c>
      <c r="H20">
        <v>8</v>
      </c>
    </row>
    <row r="21" spans="1:8" x14ac:dyDescent="0.25">
      <c r="A21" t="s">
        <v>2</v>
      </c>
      <c r="B21" t="s">
        <v>30</v>
      </c>
      <c r="C21">
        <v>-0.55690592949661299</v>
      </c>
      <c r="D21">
        <v>6</v>
      </c>
      <c r="E21">
        <v>4.18215697221197E-2</v>
      </c>
      <c r="F21">
        <v>1</v>
      </c>
      <c r="G21">
        <v>24.3236703991907</v>
      </c>
      <c r="H21">
        <v>9</v>
      </c>
    </row>
    <row r="22" spans="1:8" x14ac:dyDescent="0.25">
      <c r="A22" t="s">
        <v>10</v>
      </c>
      <c r="B22" t="s">
        <v>30</v>
      </c>
      <c r="C22">
        <v>-3.1121273134907899E-2</v>
      </c>
      <c r="D22">
        <v>9</v>
      </c>
      <c r="E22">
        <v>16.858636173362701</v>
      </c>
      <c r="F22">
        <v>9</v>
      </c>
      <c r="G22">
        <v>25.6581977557504</v>
      </c>
      <c r="H22">
        <v>10</v>
      </c>
    </row>
    <row r="23" spans="1:8" x14ac:dyDescent="0.25">
      <c r="A23" t="s">
        <v>11</v>
      </c>
      <c r="B23" t="s">
        <v>30</v>
      </c>
      <c r="C23">
        <v>4.9027927127704499E-2</v>
      </c>
      <c r="D23">
        <v>11</v>
      </c>
      <c r="E23">
        <v>58.794583510587898</v>
      </c>
      <c r="F23">
        <v>11</v>
      </c>
      <c r="G23">
        <v>52.730135299082299</v>
      </c>
      <c r="H23">
        <v>11</v>
      </c>
    </row>
  </sheetData>
  <autoFilter ref="A1:H23" xr:uid="{C6EDCC38-97F2-44B2-A211-84A041F26FA0}">
    <sortState xmlns:xlrd2="http://schemas.microsoft.com/office/spreadsheetml/2017/richdata2" ref="A2:H12">
      <sortCondition ref="G1:G23"/>
    </sortState>
  </autoFilter>
  <phoneticPr fontId="3" type="noConversion"/>
  <conditionalFormatting sqref="C2:C12">
    <cfRule type="colorScale" priority="5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C13:C23">
    <cfRule type="colorScale" priority="26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E2:E12">
    <cfRule type="colorScale" priority="3">
      <colorScale>
        <cfvo type="min"/>
        <cfvo type="num" val="0"/>
        <cfvo type="max"/>
        <color rgb="FF00B050"/>
        <color theme="0"/>
        <color rgb="FFC00000"/>
      </colorScale>
    </cfRule>
  </conditionalFormatting>
  <conditionalFormatting sqref="E13:E23">
    <cfRule type="colorScale" priority="4">
      <colorScale>
        <cfvo type="min"/>
        <cfvo type="num" val="0"/>
        <cfvo type="max"/>
        <color rgb="FF00B050"/>
        <color theme="0"/>
        <color rgb="FFC00000"/>
      </colorScale>
    </cfRule>
  </conditionalFormatting>
  <conditionalFormatting sqref="G2:G12">
    <cfRule type="colorScale" priority="2">
      <colorScale>
        <cfvo type="min"/>
        <cfvo type="num" val="0"/>
        <cfvo type="max"/>
        <color rgb="FF00B050"/>
        <color theme="0"/>
        <color rgb="FFC00000"/>
      </colorScale>
    </cfRule>
  </conditionalFormatting>
  <conditionalFormatting sqref="G13:G23">
    <cfRule type="colorScale" priority="1">
      <colorScale>
        <cfvo type="min"/>
        <cfvo type="num" val="0"/>
        <cfvo type="max"/>
        <color rgb="FF00B050"/>
        <color theme="0"/>
        <color rgb="FFC00000"/>
      </colorScale>
    </cfRule>
  </conditionalFormatting>
  <conditionalFormatting sqref="J3:J13">
    <cfRule type="colorScale" priority="27">
      <colorScale>
        <cfvo type="min"/>
        <cfvo type="num" val="-1"/>
        <cfvo type="max"/>
        <color theme="6"/>
        <color theme="0"/>
        <color rgb="FFC0000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Low</vt:lpstr>
      <vt:lpstr>High</vt:lpstr>
      <vt:lpstr>Plotting Marginal CostsBenefits</vt:lpstr>
      <vt:lpstr>Marginal C emissions</vt:lpstr>
      <vt:lpstr>Net-Zero Mandate</vt:lpstr>
      <vt:lpstr>Counterproductive Intervention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2025-10-29T16:38:10Z</dcterms:created>
  <dcterms:modified xsi:type="dcterms:W3CDTF">2026-04-14T15:23:36Z</dcterms:modified>
</cp:coreProperties>
</file>