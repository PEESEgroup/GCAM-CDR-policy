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54447C34-B964-433E-8C9C-9CCD894DDF21}" xr6:coauthVersionLast="47" xr6:coauthVersionMax="47" xr10:uidLastSave="{00000000-0000-0000-0000-000000000000}"/>
  <bookViews>
    <workbookView xWindow="-120" yWindow="-120" windowWidth="29040" windowHeight="17520" activeTab="4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  <sheet name="Counterproductive Intervention" sheetId="4" r:id="rId6"/>
  </sheets>
  <definedNames>
    <definedName name="_xlnm._FilterDatabase" localSheetId="5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5" l="1"/>
  <c r="J93" i="5"/>
  <c r="J92" i="5"/>
  <c r="J91" i="5"/>
  <c r="J90" i="5"/>
  <c r="N89" i="5"/>
  <c r="H84" i="5"/>
  <c r="G81" i="5"/>
  <c r="I80" i="5"/>
  <c r="E77" i="5"/>
  <c r="E76" i="5"/>
  <c r="E75" i="5"/>
  <c r="F74" i="5"/>
  <c r="M98" i="5"/>
  <c r="L97" i="5"/>
  <c r="L96" i="5"/>
  <c r="L95" i="5"/>
  <c r="K88" i="5"/>
  <c r="K87" i="5"/>
  <c r="K86" i="5"/>
  <c r="K85" i="5"/>
  <c r="G83" i="5"/>
  <c r="G82" i="5"/>
  <c r="E79" i="5"/>
  <c r="E78" i="5"/>
  <c r="F73" i="5"/>
  <c r="F72" i="5"/>
  <c r="F71" i="5"/>
  <c r="A70" i="5"/>
  <c r="Q2" i="3"/>
  <c r="P2" i="3"/>
  <c r="N2" i="3"/>
  <c r="O2" i="3"/>
  <c r="O7" i="3"/>
  <c r="O6" i="3"/>
  <c r="M2" i="3"/>
  <c r="M61" i="5"/>
  <c r="L60" i="5"/>
  <c r="L59" i="5"/>
  <c r="L58" i="5"/>
  <c r="J57" i="5"/>
  <c r="J56" i="5"/>
  <c r="J55" i="5"/>
  <c r="J54" i="5"/>
  <c r="J53" i="5"/>
  <c r="N52" i="5"/>
  <c r="K51" i="5"/>
  <c r="K50" i="5"/>
  <c r="K49" i="5"/>
  <c r="K48" i="5"/>
  <c r="H47" i="5"/>
  <c r="G46" i="5"/>
  <c r="G45" i="5"/>
  <c r="G44" i="5"/>
  <c r="I43" i="5"/>
  <c r="E42" i="5"/>
  <c r="E41" i="5"/>
  <c r="E40" i="5"/>
  <c r="E39" i="5"/>
  <c r="E38" i="5"/>
  <c r="F37" i="5"/>
  <c r="F36" i="5"/>
  <c r="F35" i="5"/>
  <c r="F34" i="5"/>
  <c r="A33" i="5"/>
  <c r="F2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L27" i="5"/>
  <c r="L28" i="5"/>
  <c r="L26" i="5"/>
  <c r="N20" i="5"/>
  <c r="M29" i="5"/>
  <c r="K19" i="5"/>
  <c r="K18" i="5"/>
  <c r="K17" i="5"/>
  <c r="K16" i="5"/>
  <c r="J22" i="5"/>
  <c r="J23" i="5"/>
  <c r="J24" i="5"/>
  <c r="J25" i="5"/>
  <c r="J21" i="5"/>
  <c r="E10" i="5"/>
  <c r="E6" i="5"/>
  <c r="F3" i="5"/>
  <c r="F4" i="5"/>
  <c r="F5" i="5"/>
  <c r="E7" i="5"/>
  <c r="E8" i="5"/>
  <c r="E9" i="5"/>
  <c r="I11" i="5"/>
  <c r="G12" i="5"/>
  <c r="G13" i="5"/>
  <c r="G14" i="5"/>
  <c r="H15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<sst xmlns="http://schemas.openxmlformats.org/spreadsheetml/2006/main" count="565" uniqueCount="98">
  <si>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</si>
  <si>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</si>
  <si>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</si>
  <si>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</si>
  <si>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</si>
  <si>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</si>
  <si>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</si>
  <si>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</si>
  <si>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</si>
  <si>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</si>
  <si>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</si>
  <si>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</si>
  <si>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</si>
  <si>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</si>
  <si>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</si>
  <si>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</si>
  <si>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</si>
  <si>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</si>
  <si>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</si>
  <si>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</si>
  <si>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</si>
  <si>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</si>
  <si>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</si>
  <si>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</si>
  <si>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</si>
  <si>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</si>
  <si>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</si>
  <si>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</si>
  <si>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</si>
  <si>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</si>
  <si>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</si>
  <si>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</si>
  <si>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</si>
  <si>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</si>
  <si>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</si>
  <si>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</si>
  <si>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</si>
  <si>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</si>
  <si>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</si>
  <si>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</si>
  <si>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</si>
  <si>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</si>
  <si>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</si>
  <si>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</si>
  <si>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</si>
  <si>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</si>
  <si>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</si>
  <si>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</si>
  <si>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</si>
  <si>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</si>
  <si>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</si>
  <si>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</si>
  <si>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</si>
  <si>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</si>
  <si>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</si>
  <si>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</si>
  <si>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</si>
  <si>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</si>
  <si>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</si>
  <si>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</si>
  <si>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</si>
  <si>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</si>
  <si>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</si>
  <si>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</si>
  <si>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</si>
  <si>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</si>
  <si>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</si>
  <si>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</si>
  <si>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</si>
  <si>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</si>
  <si>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</si>
  <si>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</si>
  <si>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</si>
  <si>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</si>
  <si>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</si>
  <si>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</si>
  <si>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</si>
  <si>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</si>
  <si>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</si>
  <si>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</si>
  <si>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</si>
  <si>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</si>
  <si>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</si>
  <si>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</si>
  <si>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</si>
  <si>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</si>
  <si>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Baseline - 500 Mt</t>
  </si>
  <si>
    <t>Innovation - 1.5 Gt</t>
  </si>
  <si>
    <t>Subsidy - 1.5 Gt</t>
  </si>
  <si>
    <t>Procurement - 1.5 Gt</t>
  </si>
  <si>
    <t>Optimal - 1.5 Gt</t>
  </si>
  <si>
    <t>Baseline - 1.5 Gt</t>
  </si>
  <si>
    <t>Negative Benefits are Bad</t>
  </si>
  <si>
    <t>Median Under 12%</t>
  </si>
  <si>
    <t>CI</t>
  </si>
  <si>
    <t>Lower Range</t>
  </si>
  <si>
    <t>Upper Range</t>
  </si>
  <si>
    <t>Mean under 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</si>
</sst>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02-4BEA-8473-035688DC5CE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6-449D-95C0-FE50AEB6EDA4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6-449D-95C0-FE50AEB6EDA4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26-449D-95C0-FE50AEB6EDA4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26-449D-95C0-FE50AEB6EDA4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6-449D-95C0-FE50AEB6EDA4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26-449D-95C0-FE50AEB6EDA4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26-449D-95C0-FE50AEB6EDA4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26-449D-95C0-FE50AEB6EDA4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26-449D-95C0-FE50AEB6EDA4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526-449D-95C0-FE50AEB6E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0B-4289-9AA8-700F5A53814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0728399405295"/>
          <c:y val="3.5891588464031364E-2"/>
          <c:w val="0.81587610049720338"/>
          <c:h val="0.881718130163324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0-4B72-95A3-6A71B05277E2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80-4B72-95A3-6A71B05277E2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0-4B72-95A3-6A71B05277E2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80-4B72-95A3-6A71B05277E2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80-4B72-95A3-6A71B05277E2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80-4B72-95A3-6A71B05277E2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780-4B72-95A3-6A71B05277E2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780-4B72-95A3-6A71B05277E2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780-4B72-95A3-6A71B05277E2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780-4B72-95A3-6A71B052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5-4451-BD4A-48C7DB21EC8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29788046276341"/>
          <c:y val="1.6694774261572769E-2"/>
          <c:w val="0.8028524970053269"/>
          <c:h val="0.928145851558177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8-4E5B-9826-91639B230F7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8-4E5B-9826-91639B230F7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8-4E5B-9826-91639B230F7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8-4E5B-9826-91639B230F7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8-4E5B-9826-91639B230F7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8-4E5B-9826-91639B230F7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8-4E5B-9826-91639B230F7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8-4E5B-9826-91639B230F7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8-4E5B-9826-91639B230F7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AB8-4E5B-9826-91639B230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microsoft.com/office/2014/relationships/chartEx" Target="../charts/chartEx1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142875</xdr:rowOff>
    </xdr:from>
    <xdr:to>
      <xdr:col>17</xdr:col>
      <xdr:colOff>238125</xdr:colOff>
      <xdr:row>31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273051</xdr:colOff>
      <xdr:row>21</xdr:row>
      <xdr:rowOff>152400</xdr:rowOff>
    </xdr:from>
    <xdr:to>
      <xdr:col>12</xdr:col>
      <xdr:colOff>561975</xdr:colOff>
      <xdr:row>25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285750</xdr:colOff>
      <xdr:row>13</xdr:row>
      <xdr:rowOff>47625</xdr:rowOff>
    </xdr:from>
    <xdr:to>
      <xdr:col>14</xdr:col>
      <xdr:colOff>381000</xdr:colOff>
      <xdr:row>21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24</xdr:row>
      <xdr:rowOff>47625</xdr:rowOff>
    </xdr:from>
    <xdr:to>
      <xdr:col>17</xdr:col>
      <xdr:colOff>228600</xdr:colOff>
      <xdr:row>25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200025</xdr:colOff>
      <xdr:row>56</xdr:row>
      <xdr:rowOff>85724</xdr:rowOff>
    </xdr:from>
    <xdr:to>
      <xdr:col>17</xdr:col>
      <xdr:colOff>352425</xdr:colOff>
      <xdr:row>58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190500</xdr:colOff>
      <xdr:row>44</xdr:row>
      <xdr:rowOff>107156</xdr:rowOff>
    </xdr:from>
    <xdr:to>
      <xdr:col>19</xdr:col>
      <xdr:colOff>529828</xdr:colOff>
      <xdr:row>56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352425</xdr:colOff>
      <xdr:row>56</xdr:row>
      <xdr:rowOff>9525</xdr:rowOff>
    </xdr:from>
    <xdr:to>
      <xdr:col>22</xdr:col>
      <xdr:colOff>28575</xdr:colOff>
      <xdr:row>58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400050</xdr:colOff>
      <xdr:row>96</xdr:row>
      <xdr:rowOff>57150</xdr:rowOff>
    </xdr:from>
    <xdr:to>
      <xdr:col>14</xdr:col>
      <xdr:colOff>133350</xdr:colOff>
      <xdr:row>98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403224</xdr:colOff>
      <xdr:row>77</xdr:row>
      <xdr:rowOff>57150</xdr:rowOff>
    </xdr:from>
    <xdr:to>
      <xdr:col>14</xdr:col>
      <xdr:colOff>0</xdr:colOff>
      <xdr:row>95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C6FE2FF0-62E4-4E72-B9BE-823A5DB4940B}"/>
            </a:ext>
          </a:extLst>
        </xdr:cNvPr>
        <xdr:cNvCxnSpPr/>
      </xdr:nvCxnSpPr>
      <xdr:spPr>
        <a:xfrm flipV="1">
          <a:off x="10610849" y="7677150"/>
          <a:ext cx="200026" cy="3381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395657</xdr:colOff>
      <xdr:row>13</xdr:row>
      <xdr:rowOff>36635</xdr:rowOff>
    </xdr:from>
    <xdr:to>
      <xdr:col>17</xdr:col>
      <xdr:colOff>219809</xdr:colOff>
      <xdr:row>24</xdr:row>
      <xdr:rowOff>58616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44AF586F-1868-4FE9-BC65-1E7708442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36</xdr:row>
      <xdr:rowOff>0</xdr:rowOff>
    </xdr:from>
    <xdr:to>
      <xdr:col>23</xdr:col>
      <xdr:colOff>202955</xdr:colOff>
      <xdr:row>62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517072</xdr:colOff>
      <xdr:row>46</xdr:row>
      <xdr:rowOff>95249</xdr:rowOff>
    </xdr:from>
    <xdr:to>
      <xdr:col>23</xdr:col>
      <xdr:colOff>163286</xdr:colOff>
      <xdr:row>57</xdr:row>
      <xdr:rowOff>11566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4048F74-9372-473E-BCFD-3BF4D3EC8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204107</xdr:colOff>
      <xdr:row>55</xdr:row>
      <xdr:rowOff>68036</xdr:rowOff>
    </xdr:from>
    <xdr:to>
      <xdr:col>18</xdr:col>
      <xdr:colOff>353786</xdr:colOff>
      <xdr:row>57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190500</xdr:colOff>
      <xdr:row>46</xdr:row>
      <xdr:rowOff>122464</xdr:rowOff>
    </xdr:from>
    <xdr:to>
      <xdr:col>20</xdr:col>
      <xdr:colOff>503464</xdr:colOff>
      <xdr:row>55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326571</xdr:colOff>
      <xdr:row>57</xdr:row>
      <xdr:rowOff>13607</xdr:rowOff>
    </xdr:from>
    <xdr:to>
      <xdr:col>23</xdr:col>
      <xdr:colOff>136071</xdr:colOff>
      <xdr:row>57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70</xdr:row>
      <xdr:rowOff>0</xdr:rowOff>
    </xdr:from>
    <xdr:to>
      <xdr:col>24</xdr:col>
      <xdr:colOff>202956</xdr:colOff>
      <xdr:row>96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78</xdr:row>
      <xdr:rowOff>190499</xdr:rowOff>
    </xdr:from>
    <xdr:to>
      <xdr:col>24</xdr:col>
      <xdr:colOff>81643</xdr:colOff>
      <xdr:row>92</xdr:row>
      <xdr:rowOff>38780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C43E9C5A-B9F8-4243-8646-5BB6B53B0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97972</xdr:colOff>
      <xdr:row>91</xdr:row>
      <xdr:rowOff>54429</xdr:rowOff>
    </xdr:from>
    <xdr:to>
      <xdr:col>19</xdr:col>
      <xdr:colOff>557893</xdr:colOff>
      <xdr:row>93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122465</xdr:colOff>
      <xdr:row>79</xdr:row>
      <xdr:rowOff>13607</xdr:rowOff>
    </xdr:from>
    <xdr:to>
      <xdr:col>20</xdr:col>
      <xdr:colOff>571500</xdr:colOff>
      <xdr:row>91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557893</xdr:colOff>
      <xdr:row>92</xdr:row>
      <xdr:rowOff>54429</xdr:rowOff>
    </xdr:from>
    <xdr:to>
      <xdr:col>24</xdr:col>
      <xdr:colOff>68036</xdr:colOff>
      <xdr:row>93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J17" sqref="J17:K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51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52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51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workbookViewId="0">
      <selection activeCell="J18" sqref="J18:K31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51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52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51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P138"/>
  <sheetViews>
    <sheetView zoomScale="70" zoomScaleNormal="70" workbookViewId="0">
      <selection activeCell="AC75" sqref="AC75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8.7109375" bestFit="1" customWidth="1"/>
    <col min="10" max="10" width="9.7109375" bestFit="1" customWidth="1"/>
    <col min="11" max="11" width="11.28515625" bestFit="1" customWidth="1"/>
    <col min="12" max="12" width="9.7109375" bestFit="1" customWidth="1"/>
    <col min="13" max="13" width="10.140625" bestFit="1" customWidth="1"/>
    <col min="14" max="14" width="9.28515625" bestFit="1" customWidth="1"/>
  </cols>
  <sheetData>
    <row r="1" spans="1:16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P1" s="7">
        <v>0.12</v>
      </c>
    </row>
    <row r="2" spans="1:16" x14ac:dyDescent="0.25">
      <c r="A2" t="s">
        <v>1</v>
      </c>
      <c r="B2" t="s">
        <v>30</v>
      </c>
      <c r="C2" s="1">
        <v>11.644658803537901</v>
      </c>
      <c r="D2" s="1">
        <v>20.995318762810705</v>
      </c>
      <c r="F2" s="1">
        <f>C2</f>
        <v>11.644658803537901</v>
      </c>
    </row>
    <row r="3" spans="1:16" x14ac:dyDescent="0.25">
      <c r="A3" t="s">
        <v>2</v>
      </c>
      <c r="B3" t="s">
        <v>30</v>
      </c>
      <c r="C3" s="1">
        <v>30.8488092279228</v>
      </c>
      <c r="D3" s="1">
        <v>57.295127698267699</v>
      </c>
      <c r="F3" s="1">
        <f>C3</f>
        <v>30.8488092279228</v>
      </c>
    </row>
    <row r="4" spans="1:16" x14ac:dyDescent="0.25">
      <c r="A4" t="s">
        <v>3</v>
      </c>
      <c r="B4" t="s">
        <v>30</v>
      </c>
      <c r="C4" s="1">
        <v>48.889259790475499</v>
      </c>
      <c r="D4" s="1">
        <v>17.1979631434811</v>
      </c>
      <c r="F4" s="1">
        <f>C4</f>
        <v>48.889259790475499</v>
      </c>
    </row>
    <row r="5" spans="1:16" x14ac:dyDescent="0.25">
      <c r="A5" t="s">
        <v>4</v>
      </c>
      <c r="B5" t="s">
        <v>30</v>
      </c>
      <c r="C5" s="1">
        <v>124.837112954951</v>
      </c>
      <c r="D5" s="1">
        <v>114.2747717876463</v>
      </c>
      <c r="F5" s="1">
        <f>C5</f>
        <v>124.837112954951</v>
      </c>
    </row>
    <row r="6" spans="1:16" x14ac:dyDescent="0.25">
      <c r="A6" t="s">
        <v>6</v>
      </c>
      <c r="B6" t="s">
        <v>30</v>
      </c>
      <c r="C6" s="1">
        <v>5.7182312864800897</v>
      </c>
      <c r="D6" s="1">
        <v>4.1659214180670006</v>
      </c>
      <c r="E6" s="1">
        <f>C6</f>
        <v>5.7182312864800897</v>
      </c>
    </row>
    <row r="7" spans="1:16" x14ac:dyDescent="0.25">
      <c r="A7" t="s">
        <v>5</v>
      </c>
      <c r="B7" t="s">
        <v>30</v>
      </c>
      <c r="C7" s="1">
        <v>6.1003980291767999</v>
      </c>
      <c r="D7" s="1">
        <v>1.180627920843901</v>
      </c>
      <c r="E7" s="1">
        <f>C7</f>
        <v>6.1003980291767999</v>
      </c>
    </row>
    <row r="8" spans="1:16" x14ac:dyDescent="0.25">
      <c r="A8" t="s">
        <v>8</v>
      </c>
      <c r="B8" t="s">
        <v>30</v>
      </c>
      <c r="C8" s="1">
        <v>20.9724031247715</v>
      </c>
      <c r="D8" s="1">
        <v>6.8639098429973</v>
      </c>
      <c r="E8" s="1">
        <f>C8</f>
        <v>20.9724031247715</v>
      </c>
    </row>
    <row r="9" spans="1:16" x14ac:dyDescent="0.25">
      <c r="A9" t="s">
        <v>7</v>
      </c>
      <c r="B9" t="s">
        <v>30</v>
      </c>
      <c r="C9" s="1">
        <v>9.1759801601351985</v>
      </c>
      <c r="D9" s="1">
        <v>2.3271051036413009</v>
      </c>
      <c r="E9" s="1">
        <f>C9</f>
        <v>9.1759801601351985</v>
      </c>
    </row>
    <row r="10" spans="1:16" x14ac:dyDescent="0.25">
      <c r="A10" t="s">
        <v>9</v>
      </c>
      <c r="B10" t="s">
        <v>30</v>
      </c>
      <c r="C10" s="1">
        <v>10.472884531638799</v>
      </c>
      <c r="D10" s="1">
        <v>3.3537537925179004</v>
      </c>
      <c r="E10" s="1">
        <f>C10</f>
        <v>10.472884531638799</v>
      </c>
    </row>
    <row r="11" spans="1:16" x14ac:dyDescent="0.25">
      <c r="A11" t="s">
        <v>13</v>
      </c>
      <c r="B11" t="s">
        <v>30</v>
      </c>
      <c r="C11" s="1">
        <v>0</v>
      </c>
      <c r="D11" s="1">
        <v>0</v>
      </c>
      <c r="I11" s="1">
        <f>C11</f>
        <v>0</v>
      </c>
    </row>
    <row r="12" spans="1:16" x14ac:dyDescent="0.25">
      <c r="A12" t="s">
        <v>10</v>
      </c>
      <c r="B12" t="s">
        <v>30</v>
      </c>
      <c r="C12" s="1">
        <v>3.2085743248811902E-2</v>
      </c>
      <c r="D12" s="1">
        <v>20.766988076812304</v>
      </c>
      <c r="G12" s="1">
        <f>C12</f>
        <v>3.2085743248811902E-2</v>
      </c>
    </row>
    <row r="13" spans="1:16" x14ac:dyDescent="0.25">
      <c r="A13" t="s">
        <v>11</v>
      </c>
      <c r="B13" t="s">
        <v>30</v>
      </c>
      <c r="C13" s="1">
        <v>-4.4606170443716504</v>
      </c>
      <c r="D13" s="1">
        <v>210.7920060033253</v>
      </c>
      <c r="G13" s="1">
        <f>C13</f>
        <v>-4.4606170443716504</v>
      </c>
    </row>
    <row r="14" spans="1:16" x14ac:dyDescent="0.25">
      <c r="A14" t="s">
        <v>12</v>
      </c>
      <c r="B14" t="s">
        <v>30</v>
      </c>
      <c r="C14" s="1">
        <v>0.18416268361230301</v>
      </c>
      <c r="D14" s="1">
        <v>6.3180926480786024</v>
      </c>
      <c r="G14" s="1">
        <f>C14</f>
        <v>0.18416268361230301</v>
      </c>
    </row>
    <row r="15" spans="1:16" x14ac:dyDescent="0.25">
      <c r="A15" t="s">
        <v>51</v>
      </c>
      <c r="B15" t="s">
        <v>30</v>
      </c>
      <c r="C15" s="1">
        <v>55.3942403007933</v>
      </c>
      <c r="D15" s="1">
        <v>32.817166808422193</v>
      </c>
      <c r="H15" s="1">
        <f>C15</f>
        <v>55.3942403007933</v>
      </c>
    </row>
    <row r="16" spans="1:16" x14ac:dyDescent="0.25">
      <c r="A16" t="s">
        <v>1</v>
      </c>
      <c r="B16" t="s">
        <v>32</v>
      </c>
      <c r="C16" s="1">
        <v>24.0124014868552</v>
      </c>
      <c r="D16" s="1">
        <v>35.808276148183701</v>
      </c>
      <c r="K16" s="1">
        <f>C16</f>
        <v>24.0124014868552</v>
      </c>
    </row>
    <row r="17" spans="1:14" x14ac:dyDescent="0.25">
      <c r="A17" t="s">
        <v>2</v>
      </c>
      <c r="B17" t="s">
        <v>32</v>
      </c>
      <c r="C17" s="1">
        <v>84.257525916830588</v>
      </c>
      <c r="D17" s="1">
        <v>128.0220106422783</v>
      </c>
      <c r="K17" s="1">
        <f>C17</f>
        <v>84.257525916830588</v>
      </c>
    </row>
    <row r="18" spans="1:14" x14ac:dyDescent="0.25">
      <c r="A18" t="s">
        <v>3</v>
      </c>
      <c r="B18" t="s">
        <v>32</v>
      </c>
      <c r="C18" s="1">
        <v>74.162147660175606</v>
      </c>
      <c r="D18" s="1">
        <v>27.285354272450402</v>
      </c>
      <c r="K18" s="1">
        <f>C18</f>
        <v>74.162147660175606</v>
      </c>
    </row>
    <row r="19" spans="1:14" x14ac:dyDescent="0.25">
      <c r="A19" t="s">
        <v>4</v>
      </c>
      <c r="B19" t="s">
        <v>32</v>
      </c>
      <c r="C19" s="1">
        <v>265.90276421105403</v>
      </c>
      <c r="D19" s="1">
        <v>253.71793079119632</v>
      </c>
      <c r="K19" s="1">
        <f>C19</f>
        <v>265.90276421105403</v>
      </c>
    </row>
    <row r="20" spans="1:14" x14ac:dyDescent="0.25">
      <c r="A20" t="s">
        <v>14</v>
      </c>
      <c r="B20" t="s">
        <v>32</v>
      </c>
      <c r="C20" s="1">
        <v>0</v>
      </c>
      <c r="D20" s="1">
        <v>0</v>
      </c>
      <c r="N20" s="1">
        <f>C20</f>
        <v>0</v>
      </c>
    </row>
    <row r="21" spans="1:14" x14ac:dyDescent="0.25">
      <c r="A21" t="s">
        <v>6</v>
      </c>
      <c r="B21" t="s">
        <v>32</v>
      </c>
      <c r="C21" s="1">
        <v>14.041807010664401</v>
      </c>
      <c r="D21" s="1">
        <v>4.4587286396716008</v>
      </c>
      <c r="J21" s="1">
        <f>C21</f>
        <v>14.041807010664401</v>
      </c>
    </row>
    <row r="22" spans="1:14" x14ac:dyDescent="0.25">
      <c r="A22" t="s">
        <v>5</v>
      </c>
      <c r="B22" t="s">
        <v>32</v>
      </c>
      <c r="C22" s="1">
        <v>12.795920628411601</v>
      </c>
      <c r="D22" s="1">
        <v>1.2062085655634001</v>
      </c>
      <c r="J22" s="1">
        <f>C22</f>
        <v>12.795920628411601</v>
      </c>
    </row>
    <row r="23" spans="1:14" x14ac:dyDescent="0.25">
      <c r="A23" t="s">
        <v>8</v>
      </c>
      <c r="B23" t="s">
        <v>32</v>
      </c>
      <c r="C23" s="1">
        <v>38.626101035459101</v>
      </c>
      <c r="D23" s="1">
        <v>6.9536838408824986</v>
      </c>
      <c r="J23" s="1">
        <f>C23</f>
        <v>38.626101035459101</v>
      </c>
    </row>
    <row r="24" spans="1:14" x14ac:dyDescent="0.25">
      <c r="A24" t="s">
        <v>7</v>
      </c>
      <c r="B24" t="s">
        <v>32</v>
      </c>
      <c r="C24" s="1">
        <v>17.986986790839499</v>
      </c>
      <c r="D24" s="1">
        <v>2.3645824738394001</v>
      </c>
      <c r="J24" s="1">
        <f>C24</f>
        <v>17.986986790839499</v>
      </c>
    </row>
    <row r="25" spans="1:14" x14ac:dyDescent="0.25">
      <c r="A25" t="s">
        <v>9</v>
      </c>
      <c r="B25" t="s">
        <v>32</v>
      </c>
      <c r="C25" s="1">
        <v>20.252154009836197</v>
      </c>
      <c r="D25" s="1">
        <v>3.3936502690387989</v>
      </c>
      <c r="J25" s="1">
        <f>C25</f>
        <v>20.252154009836197</v>
      </c>
    </row>
    <row r="26" spans="1:14" x14ac:dyDescent="0.25">
      <c r="A26" t="s">
        <v>10</v>
      </c>
      <c r="B26" t="s">
        <v>32</v>
      </c>
      <c r="C26" s="1">
        <v>2.5552191726661397</v>
      </c>
      <c r="D26" s="1">
        <v>20.786948308100502</v>
      </c>
      <c r="L26" s="1">
        <f>C26</f>
        <v>2.5552191726661397</v>
      </c>
    </row>
    <row r="27" spans="1:14" x14ac:dyDescent="0.25">
      <c r="A27" t="s">
        <v>11</v>
      </c>
      <c r="B27" t="s">
        <v>32</v>
      </c>
      <c r="C27" s="1">
        <v>-5.1575221174354304</v>
      </c>
      <c r="D27" s="1">
        <v>223.00696647797531</v>
      </c>
      <c r="L27" s="1">
        <f>C27</f>
        <v>-5.1575221174354304</v>
      </c>
    </row>
    <row r="28" spans="1:14" x14ac:dyDescent="0.25">
      <c r="A28" t="s">
        <v>12</v>
      </c>
      <c r="B28" t="s">
        <v>32</v>
      </c>
      <c r="C28" s="1">
        <v>2.70791448460225</v>
      </c>
      <c r="D28" s="1">
        <v>6.3290725084344013</v>
      </c>
      <c r="L28" s="1">
        <f>C28</f>
        <v>2.70791448460225</v>
      </c>
    </row>
    <row r="29" spans="1:14" x14ac:dyDescent="0.25">
      <c r="A29" t="s">
        <v>51</v>
      </c>
      <c r="B29" t="s">
        <v>32</v>
      </c>
      <c r="C29" s="1">
        <v>100.07899781724501</v>
      </c>
      <c r="D29" s="1">
        <v>33.740132463993199</v>
      </c>
      <c r="M29" s="1">
        <f>C29</f>
        <v>100.07899781724501</v>
      </c>
    </row>
    <row r="32" spans="1:14" x14ac:dyDescent="0.25">
      <c r="C32" s="1" t="s">
        <v>92</v>
      </c>
      <c r="D32" s="1"/>
    </row>
    <row r="33" spans="1:16" x14ac:dyDescent="0.25">
      <c r="A33" t="str">
        <f>Low!A33</f>
        <v>Low Baseline</v>
      </c>
      <c r="B33" t="s">
        <v>28</v>
      </c>
      <c r="C33" t="s">
        <v>38</v>
      </c>
      <c r="D33" t="s">
        <v>39</v>
      </c>
      <c r="E33" t="s">
        <v>82</v>
      </c>
      <c r="F33" t="s">
        <v>83</v>
      </c>
      <c r="G33" t="s">
        <v>84</v>
      </c>
      <c r="H33" t="s">
        <v>85</v>
      </c>
      <c r="I33" t="s">
        <v>86</v>
      </c>
      <c r="J33" t="s">
        <v>87</v>
      </c>
      <c r="K33" t="s">
        <v>88</v>
      </c>
      <c r="L33" t="s">
        <v>89</v>
      </c>
      <c r="M33" t="s">
        <v>90</v>
      </c>
      <c r="N33" t="s">
        <v>91</v>
      </c>
      <c r="P33" s="7">
        <v>0.02</v>
      </c>
    </row>
    <row r="34" spans="1:16" x14ac:dyDescent="0.25">
      <c r="A34" t="s">
        <v>1</v>
      </c>
      <c r="B34" t="s">
        <v>30</v>
      </c>
      <c r="C34" s="1">
        <v>40.991392169844005</v>
      </c>
      <c r="D34" s="1">
        <v>59.4787370107423</v>
      </c>
      <c r="F34" s="1">
        <f>C34</f>
        <v>40.991392169844005</v>
      </c>
    </row>
    <row r="35" spans="1:16" x14ac:dyDescent="0.25">
      <c r="A35" t="s">
        <v>2</v>
      </c>
      <c r="B35" t="s">
        <v>30</v>
      </c>
      <c r="C35" s="1">
        <v>190.30731757226701</v>
      </c>
      <c r="D35" s="1">
        <v>327.23642892221409</v>
      </c>
      <c r="F35" s="1">
        <f>C35</f>
        <v>190.30731757226701</v>
      </c>
    </row>
    <row r="36" spans="1:16" x14ac:dyDescent="0.25">
      <c r="A36" t="s">
        <v>3</v>
      </c>
      <c r="B36" t="s">
        <v>30</v>
      </c>
      <c r="C36" s="1">
        <v>112.322040618713</v>
      </c>
      <c r="D36" s="1">
        <v>42.255357612054198</v>
      </c>
      <c r="F36" s="1">
        <f>C36</f>
        <v>112.322040618713</v>
      </c>
    </row>
    <row r="37" spans="1:16" x14ac:dyDescent="0.25">
      <c r="A37" t="s">
        <v>4</v>
      </c>
      <c r="B37" t="s">
        <v>30</v>
      </c>
      <c r="C37" s="1">
        <v>611.71112191152508</v>
      </c>
      <c r="D37" s="1">
        <v>618.48096790879902</v>
      </c>
      <c r="F37" s="1">
        <f>C37</f>
        <v>611.71112191152508</v>
      </c>
    </row>
    <row r="38" spans="1:16" x14ac:dyDescent="0.25">
      <c r="A38" t="s">
        <v>6</v>
      </c>
      <c r="B38" t="s">
        <v>30</v>
      </c>
      <c r="C38" s="1">
        <v>23.639052484741402</v>
      </c>
      <c r="D38" s="1">
        <v>5.1967019918885997</v>
      </c>
      <c r="E38" s="1">
        <f>C38</f>
        <v>23.639052484741402</v>
      </c>
    </row>
    <row r="39" spans="1:16" x14ac:dyDescent="0.25">
      <c r="A39" t="s">
        <v>5</v>
      </c>
      <c r="B39" t="s">
        <v>30</v>
      </c>
      <c r="C39" s="1">
        <v>30.682746255407402</v>
      </c>
      <c r="D39" s="1">
        <v>2.6047893640988988</v>
      </c>
      <c r="E39" s="1">
        <f>C39</f>
        <v>30.682746255407402</v>
      </c>
    </row>
    <row r="40" spans="1:16" x14ac:dyDescent="0.25">
      <c r="A40" t="s">
        <v>8</v>
      </c>
      <c r="B40" t="s">
        <v>30</v>
      </c>
      <c r="C40" s="1">
        <v>97.079650583780889</v>
      </c>
      <c r="D40" s="1">
        <v>15.4915645497712</v>
      </c>
      <c r="E40" s="1">
        <f>C40</f>
        <v>97.079650583780889</v>
      </c>
    </row>
    <row r="41" spans="1:16" x14ac:dyDescent="0.25">
      <c r="A41" t="s">
        <v>7</v>
      </c>
      <c r="B41" t="s">
        <v>30</v>
      </c>
      <c r="C41" s="1">
        <v>43.683158017839396</v>
      </c>
      <c r="D41" s="1">
        <v>5.2154990279757003</v>
      </c>
      <c r="E41" s="1">
        <f>C41</f>
        <v>43.683158017839396</v>
      </c>
    </row>
    <row r="42" spans="1:16" x14ac:dyDescent="0.25">
      <c r="A42" t="s">
        <v>9</v>
      </c>
      <c r="B42" t="s">
        <v>30</v>
      </c>
      <c r="C42" s="1">
        <v>50.470555104885598</v>
      </c>
      <c r="D42" s="1">
        <v>7.5615187567422</v>
      </c>
      <c r="E42" s="1">
        <f>C42</f>
        <v>50.470555104885598</v>
      </c>
    </row>
    <row r="43" spans="1:16" x14ac:dyDescent="0.25">
      <c r="A43" t="s">
        <v>13</v>
      </c>
      <c r="B43" t="s">
        <v>30</v>
      </c>
      <c r="C43" s="1">
        <v>0</v>
      </c>
      <c r="D43" s="1">
        <v>0</v>
      </c>
      <c r="I43" s="1">
        <f>C43</f>
        <v>0</v>
      </c>
    </row>
    <row r="44" spans="1:16" x14ac:dyDescent="0.25">
      <c r="A44" t="s">
        <v>10</v>
      </c>
      <c r="B44" t="s">
        <v>30</v>
      </c>
      <c r="C44" s="1">
        <v>1.4045679010868701</v>
      </c>
      <c r="D44" s="1">
        <v>30.645956721305598</v>
      </c>
      <c r="G44" s="1">
        <f>C44</f>
        <v>1.4045679010868701</v>
      </c>
    </row>
    <row r="45" spans="1:16" x14ac:dyDescent="0.25">
      <c r="A45" t="s">
        <v>11</v>
      </c>
      <c r="B45" t="s">
        <v>30</v>
      </c>
      <c r="C45" s="1">
        <v>-40.603419309400401</v>
      </c>
      <c r="D45" s="1">
        <v>813.68307561047015</v>
      </c>
      <c r="G45" s="1">
        <f>C45</f>
        <v>-40.603419309400401</v>
      </c>
    </row>
    <row r="46" spans="1:16" x14ac:dyDescent="0.25">
      <c r="A46" t="s">
        <v>12</v>
      </c>
      <c r="B46" t="s">
        <v>30</v>
      </c>
      <c r="C46" s="1">
        <v>2.6267782954144598</v>
      </c>
      <c r="D46" s="1">
        <v>11.2811978684907</v>
      </c>
      <c r="G46" s="1">
        <f>C46</f>
        <v>2.6267782954144598</v>
      </c>
    </row>
    <row r="47" spans="1:16" x14ac:dyDescent="0.25">
      <c r="A47" t="s">
        <v>51</v>
      </c>
      <c r="B47" t="s">
        <v>30</v>
      </c>
      <c r="C47" s="1">
        <v>177.56027976733</v>
      </c>
      <c r="D47" s="1">
        <v>70.162474951677609</v>
      </c>
      <c r="H47" s="1">
        <f>C47</f>
        <v>177.56027976733</v>
      </c>
    </row>
    <row r="48" spans="1:16" x14ac:dyDescent="0.25">
      <c r="A48" t="s">
        <v>1</v>
      </c>
      <c r="B48" t="s">
        <v>32</v>
      </c>
      <c r="C48" s="1">
        <v>94.8647314703082</v>
      </c>
      <c r="D48" s="1">
        <v>105.08096196454019</v>
      </c>
      <c r="K48" s="1">
        <f>C48</f>
        <v>94.8647314703082</v>
      </c>
    </row>
    <row r="49" spans="1:14" x14ac:dyDescent="0.25">
      <c r="A49" t="s">
        <v>2</v>
      </c>
      <c r="B49" t="s">
        <v>32</v>
      </c>
      <c r="C49" s="1">
        <v>573.81981405192494</v>
      </c>
      <c r="D49" s="1">
        <v>798.73901931422722</v>
      </c>
      <c r="K49" s="1">
        <f>C49</f>
        <v>573.81981405192494</v>
      </c>
    </row>
    <row r="50" spans="1:14" x14ac:dyDescent="0.25">
      <c r="A50" t="s">
        <v>3</v>
      </c>
      <c r="B50" t="s">
        <v>32</v>
      </c>
      <c r="C50" s="1">
        <v>189.54767770812401</v>
      </c>
      <c r="D50" s="1">
        <v>64.787876392268402</v>
      </c>
      <c r="K50" s="1">
        <f>C50</f>
        <v>189.54767770812401</v>
      </c>
    </row>
    <row r="51" spans="1:14" x14ac:dyDescent="0.25">
      <c r="A51" t="s">
        <v>4</v>
      </c>
      <c r="B51" t="s">
        <v>32</v>
      </c>
      <c r="C51" s="1">
        <v>1529.26070418628</v>
      </c>
      <c r="D51" s="1">
        <v>1518.8165934068911</v>
      </c>
      <c r="K51" s="1">
        <f>C51</f>
        <v>1529.26070418628</v>
      </c>
    </row>
    <row r="52" spans="1:14" x14ac:dyDescent="0.25">
      <c r="A52" t="s">
        <v>14</v>
      </c>
      <c r="B52" t="s">
        <v>32</v>
      </c>
      <c r="C52" s="1">
        <v>0</v>
      </c>
      <c r="D52" s="1">
        <v>0</v>
      </c>
      <c r="N52" s="1">
        <f>C52</f>
        <v>0</v>
      </c>
    </row>
    <row r="53" spans="1:14" x14ac:dyDescent="0.25">
      <c r="A53" t="s">
        <v>6</v>
      </c>
      <c r="B53" t="s">
        <v>32</v>
      </c>
      <c r="C53" s="1">
        <v>81.711783899172602</v>
      </c>
      <c r="D53" s="1">
        <v>5.6051284844642977</v>
      </c>
      <c r="J53" s="1">
        <f>C53</f>
        <v>81.711783899172602</v>
      </c>
    </row>
    <row r="54" spans="1:14" x14ac:dyDescent="0.25">
      <c r="A54" t="s">
        <v>5</v>
      </c>
      <c r="B54" t="s">
        <v>32</v>
      </c>
      <c r="C54" s="1">
        <v>74.78762320090479</v>
      </c>
      <c r="D54" s="1">
        <v>2.6403666692845982</v>
      </c>
      <c r="J54" s="1">
        <f>C54</f>
        <v>74.78762320090479</v>
      </c>
    </row>
    <row r="55" spans="1:14" x14ac:dyDescent="0.25">
      <c r="A55" t="s">
        <v>8</v>
      </c>
      <c r="B55" t="s">
        <v>32</v>
      </c>
      <c r="C55" s="1">
        <v>201.38240255214799</v>
      </c>
      <c r="D55" s="1">
        <v>15.616703859231301</v>
      </c>
      <c r="J55" s="1">
        <f>C55</f>
        <v>201.38240255214799</v>
      </c>
    </row>
    <row r="56" spans="1:14" x14ac:dyDescent="0.25">
      <c r="A56" t="s">
        <v>7</v>
      </c>
      <c r="B56" t="s">
        <v>32</v>
      </c>
      <c r="C56" s="1">
        <v>98.338675448048605</v>
      </c>
      <c r="D56" s="1">
        <v>5.2676678858786001</v>
      </c>
      <c r="J56" s="1">
        <f>C56</f>
        <v>98.338675448048605</v>
      </c>
    </row>
    <row r="57" spans="1:14" x14ac:dyDescent="0.25">
      <c r="A57" t="s">
        <v>9</v>
      </c>
      <c r="B57" t="s">
        <v>32</v>
      </c>
      <c r="C57" s="1">
        <v>112.560083841115</v>
      </c>
      <c r="D57" s="1">
        <v>7.6170945780759975</v>
      </c>
      <c r="J57" s="1">
        <f>C57</f>
        <v>112.560083841115</v>
      </c>
    </row>
    <row r="58" spans="1:14" x14ac:dyDescent="0.25">
      <c r="A58" t="s">
        <v>10</v>
      </c>
      <c r="B58" t="s">
        <v>32</v>
      </c>
      <c r="C58" s="1">
        <v>20.6128411262535</v>
      </c>
      <c r="D58" s="1">
        <v>30.693055206306003</v>
      </c>
      <c r="L58" s="1">
        <f>C58</f>
        <v>20.6128411262535</v>
      </c>
    </row>
    <row r="59" spans="1:14" x14ac:dyDescent="0.25">
      <c r="A59" t="s">
        <v>11</v>
      </c>
      <c r="B59" t="s">
        <v>32</v>
      </c>
      <c r="C59" s="1">
        <v>-33.750559282223406</v>
      </c>
      <c r="D59" s="1">
        <v>897.18483790330924</v>
      </c>
      <c r="L59" s="1">
        <f>C59</f>
        <v>-33.750559282223406</v>
      </c>
    </row>
    <row r="60" spans="1:14" x14ac:dyDescent="0.25">
      <c r="A60" t="s">
        <v>12</v>
      </c>
      <c r="B60" t="s">
        <v>32</v>
      </c>
      <c r="C60" s="1">
        <v>22.101075343330997</v>
      </c>
      <c r="D60" s="1">
        <v>11.3081758052999</v>
      </c>
      <c r="L60" s="1">
        <f>C60</f>
        <v>22.101075343330997</v>
      </c>
    </row>
    <row r="61" spans="1:14" x14ac:dyDescent="0.25">
      <c r="A61" t="s">
        <v>51</v>
      </c>
      <c r="B61" t="s">
        <v>32</v>
      </c>
      <c r="C61" s="1">
        <v>343.06427648368401</v>
      </c>
      <c r="D61" s="1">
        <v>79.712141348113391</v>
      </c>
      <c r="M61" s="1">
        <f>C61</f>
        <v>343.06427648368401</v>
      </c>
    </row>
    <row r="62" spans="1:14" x14ac:dyDescent="0.25">
      <c r="C62" s="1"/>
    </row>
    <row r="63" spans="1:14" x14ac:dyDescent="0.25">
      <c r="C63" s="1"/>
    </row>
    <row r="64" spans="1:14" x14ac:dyDescent="0.25">
      <c r="C64" s="1"/>
    </row>
    <row r="65" spans="1:16" x14ac:dyDescent="0.25">
      <c r="C65" s="1"/>
    </row>
    <row r="66" spans="1:16" x14ac:dyDescent="0.25">
      <c r="C66" s="1"/>
    </row>
    <row r="67" spans="1:16" x14ac:dyDescent="0.25">
      <c r="C67" s="1"/>
    </row>
    <row r="68" spans="1:16" x14ac:dyDescent="0.25">
      <c r="C68" s="1"/>
    </row>
    <row r="69" spans="1:16" x14ac:dyDescent="0.25">
      <c r="C69" s="1"/>
    </row>
    <row r="70" spans="1:16" x14ac:dyDescent="0.25">
      <c r="A70">
        <f>Low!A70</f>
        <v>0</v>
      </c>
      <c r="B70" t="s">
        <v>28</v>
      </c>
      <c r="C70" t="s">
        <v>19</v>
      </c>
      <c r="D70" t="s">
        <v>20</v>
      </c>
      <c r="E70" t="s">
        <v>82</v>
      </c>
      <c r="F70" t="s">
        <v>83</v>
      </c>
      <c r="G70" t="s">
        <v>84</v>
      </c>
      <c r="H70" t="s">
        <v>85</v>
      </c>
      <c r="I70" t="s">
        <v>86</v>
      </c>
      <c r="J70" t="s">
        <v>87</v>
      </c>
      <c r="K70" t="s">
        <v>88</v>
      </c>
      <c r="L70" t="s">
        <v>89</v>
      </c>
      <c r="M70" t="s">
        <v>90</v>
      </c>
      <c r="N70" t="s">
        <v>91</v>
      </c>
      <c r="P70" s="7">
        <v>0.2</v>
      </c>
    </row>
    <row r="71" spans="1:16" x14ac:dyDescent="0.25">
      <c r="A71" t="s">
        <v>1</v>
      </c>
      <c r="B71" t="s">
        <v>30</v>
      </c>
      <c r="C71" s="1">
        <v>5.0021063151110798</v>
      </c>
      <c r="D71" s="1">
        <v>10.203174483434049</v>
      </c>
      <c r="F71" s="1">
        <f>C71</f>
        <v>5.0021063151110798</v>
      </c>
    </row>
    <row r="72" spans="1:16" x14ac:dyDescent="0.25">
      <c r="A72" t="s">
        <v>2</v>
      </c>
      <c r="B72" t="s">
        <v>30</v>
      </c>
      <c r="C72" s="1">
        <v>9.3940921605190795</v>
      </c>
      <c r="D72" s="1">
        <v>18.899450639673852</v>
      </c>
      <c r="F72" s="1">
        <f>C72</f>
        <v>9.3940921605190795</v>
      </c>
    </row>
    <row r="73" spans="1:16" x14ac:dyDescent="0.25">
      <c r="A73" t="s">
        <v>3</v>
      </c>
      <c r="B73" t="s">
        <v>30</v>
      </c>
      <c r="C73" s="1">
        <v>28.941918173507901</v>
      </c>
      <c r="D73" s="1">
        <v>8.1479350694003507</v>
      </c>
      <c r="F73" s="1">
        <f>C73</f>
        <v>28.941918173507901</v>
      </c>
    </row>
    <row r="74" spans="1:16" x14ac:dyDescent="0.25">
      <c r="A74" t="s">
        <v>4</v>
      </c>
      <c r="B74" t="s">
        <v>30</v>
      </c>
      <c r="C74" s="1">
        <v>49.513350620204001</v>
      </c>
      <c r="D74" s="1">
        <v>37.966275643994955</v>
      </c>
      <c r="F74" s="1">
        <f>C74</f>
        <v>49.513350620204001</v>
      </c>
    </row>
    <row r="75" spans="1:16" x14ac:dyDescent="0.25">
      <c r="A75" t="s">
        <v>6</v>
      </c>
      <c r="B75" t="s">
        <v>30</v>
      </c>
      <c r="C75" s="1">
        <v>2.7903663637267599</v>
      </c>
      <c r="D75" s="1">
        <v>3.5888208597516513</v>
      </c>
      <c r="E75" s="1">
        <f>C75</f>
        <v>2.7903663637267599</v>
      </c>
    </row>
    <row r="76" spans="1:16" x14ac:dyDescent="0.25">
      <c r="A76" t="s">
        <v>5</v>
      </c>
      <c r="B76" t="s">
        <v>30</v>
      </c>
      <c r="C76" s="1">
        <v>2.3607973050558697</v>
      </c>
      <c r="D76" s="1">
        <v>0.81423624224365088</v>
      </c>
      <c r="E76" s="1">
        <f>C76</f>
        <v>2.3607973050558697</v>
      </c>
    </row>
    <row r="77" spans="1:16" x14ac:dyDescent="0.25">
      <c r="A77" t="s">
        <v>8</v>
      </c>
      <c r="B77" t="s">
        <v>30</v>
      </c>
      <c r="C77" s="1">
        <v>8.4064334333911788</v>
      </c>
      <c r="D77" s="1">
        <v>3.9576675821073515</v>
      </c>
      <c r="E77" s="1">
        <f>C77</f>
        <v>8.4064334333911788</v>
      </c>
    </row>
    <row r="78" spans="1:16" x14ac:dyDescent="0.25">
      <c r="A78" t="s">
        <v>7</v>
      </c>
      <c r="B78" t="s">
        <v>30</v>
      </c>
      <c r="C78" s="1">
        <v>3.6100129557775897</v>
      </c>
      <c r="D78" s="1">
        <v>1.3515964489735506</v>
      </c>
      <c r="E78" s="1">
        <f>C78</f>
        <v>3.6100129557775897</v>
      </c>
    </row>
    <row r="79" spans="1:16" x14ac:dyDescent="0.25">
      <c r="A79" t="s">
        <v>9</v>
      </c>
      <c r="B79" t="s">
        <v>30</v>
      </c>
      <c r="C79" s="1">
        <v>4.2134803805597603</v>
      </c>
      <c r="D79" s="1">
        <v>2.2893718320445515</v>
      </c>
      <c r="E79" s="1">
        <f>C79</f>
        <v>4.2134803805597603</v>
      </c>
    </row>
    <row r="80" spans="1:16" x14ac:dyDescent="0.25">
      <c r="A80" t="s">
        <v>13</v>
      </c>
      <c r="B80" t="s">
        <v>30</v>
      </c>
      <c r="C80" s="1">
        <v>0</v>
      </c>
      <c r="D80" s="1">
        <v>0</v>
      </c>
      <c r="I80" s="1">
        <f>C80</f>
        <v>0</v>
      </c>
    </row>
    <row r="81" spans="1:14" x14ac:dyDescent="0.25">
      <c r="A81" t="s">
        <v>10</v>
      </c>
      <c r="B81" t="s">
        <v>30</v>
      </c>
      <c r="C81" s="1">
        <v>0.22743782558660999</v>
      </c>
      <c r="D81" s="1">
        <v>16.410750520843852</v>
      </c>
      <c r="G81" s="1">
        <f>C81</f>
        <v>0.22743782558660999</v>
      </c>
    </row>
    <row r="82" spans="1:14" x14ac:dyDescent="0.25">
      <c r="A82" t="s">
        <v>11</v>
      </c>
      <c r="B82" t="s">
        <v>30</v>
      </c>
      <c r="C82" s="1">
        <v>1.03107110519603</v>
      </c>
      <c r="D82" s="1">
        <v>98.908904641411851</v>
      </c>
      <c r="G82" s="1">
        <f>C82</f>
        <v>1.03107110519603</v>
      </c>
    </row>
    <row r="83" spans="1:14" x14ac:dyDescent="0.25">
      <c r="A83" t="s">
        <v>12</v>
      </c>
      <c r="B83" t="s">
        <v>30</v>
      </c>
      <c r="C83" s="1">
        <v>0.125237709722896</v>
      </c>
      <c r="D83" s="1">
        <v>4.2883705311750511</v>
      </c>
      <c r="G83" s="1">
        <f>C83</f>
        <v>0.125237709722896</v>
      </c>
    </row>
    <row r="84" spans="1:14" x14ac:dyDescent="0.25">
      <c r="A84" t="s">
        <v>51</v>
      </c>
      <c r="B84" t="s">
        <v>30</v>
      </c>
      <c r="C84" s="1">
        <v>27.847218892906103</v>
      </c>
      <c r="D84" s="1">
        <v>19.04779606237355</v>
      </c>
      <c r="H84" s="1">
        <f>C84</f>
        <v>27.847218892906103</v>
      </c>
    </row>
    <row r="85" spans="1:14" x14ac:dyDescent="0.25">
      <c r="A85" t="s">
        <v>1</v>
      </c>
      <c r="B85" t="s">
        <v>32</v>
      </c>
      <c r="C85" s="1">
        <v>9.6861108143464012</v>
      </c>
      <c r="D85" s="1">
        <v>16.925729540503301</v>
      </c>
      <c r="K85" s="1">
        <f>C85</f>
        <v>9.6861108143464012</v>
      </c>
    </row>
    <row r="86" spans="1:14" x14ac:dyDescent="0.25">
      <c r="A86" t="s">
        <v>2</v>
      </c>
      <c r="B86" t="s">
        <v>32</v>
      </c>
      <c r="C86" s="1">
        <v>23.2048464252616</v>
      </c>
      <c r="D86" s="1">
        <v>38.662374986253099</v>
      </c>
      <c r="K86" s="1">
        <f>C86</f>
        <v>23.2048464252616</v>
      </c>
    </row>
    <row r="87" spans="1:14" x14ac:dyDescent="0.25">
      <c r="A87" t="s">
        <v>3</v>
      </c>
      <c r="B87" t="s">
        <v>32</v>
      </c>
      <c r="C87" s="1">
        <v>41.535203838220703</v>
      </c>
      <c r="D87" s="1">
        <v>13.708461255472802</v>
      </c>
      <c r="K87" s="1">
        <f>C87</f>
        <v>41.535203838220703</v>
      </c>
    </row>
    <row r="88" spans="1:14" x14ac:dyDescent="0.25">
      <c r="A88" t="s">
        <v>4</v>
      </c>
      <c r="B88" t="s">
        <v>32</v>
      </c>
      <c r="C88" s="1">
        <v>90.741464406757501</v>
      </c>
      <c r="D88" s="1">
        <v>78.332000371381497</v>
      </c>
      <c r="K88" s="1">
        <f>C88</f>
        <v>90.741464406757501</v>
      </c>
    </row>
    <row r="89" spans="1:14" x14ac:dyDescent="0.25">
      <c r="A89" t="s">
        <v>14</v>
      </c>
      <c r="B89" t="s">
        <v>32</v>
      </c>
      <c r="C89" s="1">
        <v>0</v>
      </c>
      <c r="D89" s="1">
        <v>0</v>
      </c>
      <c r="N89" s="1">
        <f>C89</f>
        <v>0</v>
      </c>
    </row>
    <row r="90" spans="1:14" x14ac:dyDescent="0.25">
      <c r="A90" t="s">
        <v>6</v>
      </c>
      <c r="B90" t="s">
        <v>32</v>
      </c>
      <c r="C90" s="1">
        <v>5.0673328268512492</v>
      </c>
      <c r="D90" s="1">
        <v>3.820039274949</v>
      </c>
      <c r="J90" s="1">
        <f>C90</f>
        <v>5.0673328268512492</v>
      </c>
    </row>
    <row r="91" spans="1:14" x14ac:dyDescent="0.25">
      <c r="A91" t="s">
        <v>5</v>
      </c>
      <c r="B91" t="s">
        <v>32</v>
      </c>
      <c r="C91" s="1">
        <v>4.2773243685469495</v>
      </c>
      <c r="D91" s="1">
        <v>0.8344883380848005</v>
      </c>
      <c r="J91" s="1">
        <f>C91</f>
        <v>4.2773243685469495</v>
      </c>
    </row>
    <row r="92" spans="1:14" x14ac:dyDescent="0.25">
      <c r="A92" t="s">
        <v>8</v>
      </c>
      <c r="B92" t="s">
        <v>32</v>
      </c>
      <c r="C92" s="1">
        <v>14.1048743016727</v>
      </c>
      <c r="D92" s="1">
        <v>4.0286001936125011</v>
      </c>
      <c r="J92" s="1">
        <f>C92</f>
        <v>14.1048743016727</v>
      </c>
    </row>
    <row r="93" spans="1:14" x14ac:dyDescent="0.25">
      <c r="A93" t="s">
        <v>7</v>
      </c>
      <c r="B93" t="s">
        <v>32</v>
      </c>
      <c r="C93" s="1">
        <v>6.3020903447309804</v>
      </c>
      <c r="D93" s="1">
        <v>1.3812443078485013</v>
      </c>
      <c r="J93" s="1">
        <f>C93</f>
        <v>6.3020903447309804</v>
      </c>
    </row>
    <row r="94" spans="1:14" x14ac:dyDescent="0.25">
      <c r="A94" t="s">
        <v>9</v>
      </c>
      <c r="B94" t="s">
        <v>32</v>
      </c>
      <c r="C94" s="1">
        <v>7.1335598014398505</v>
      </c>
      <c r="D94" s="1">
        <v>2.3209136639806003</v>
      </c>
      <c r="J94" s="1">
        <f>C94</f>
        <v>7.1335598014398505</v>
      </c>
    </row>
    <row r="95" spans="1:14" x14ac:dyDescent="0.25">
      <c r="A95" t="s">
        <v>10</v>
      </c>
      <c r="B95" t="s">
        <v>32</v>
      </c>
      <c r="C95" s="1">
        <v>0.81700285092435609</v>
      </c>
      <c r="D95" s="1">
        <v>16.421397322411298</v>
      </c>
      <c r="L95" s="1">
        <f>C95</f>
        <v>0.81700285092435609</v>
      </c>
    </row>
    <row r="96" spans="1:14" x14ac:dyDescent="0.25">
      <c r="A96" t="s">
        <v>11</v>
      </c>
      <c r="B96" t="s">
        <v>32</v>
      </c>
      <c r="C96" s="1">
        <v>0.354460813324316</v>
      </c>
      <c r="D96" s="1">
        <v>102.1177423380357</v>
      </c>
      <c r="L96" s="1">
        <f>C96</f>
        <v>0.354460813324316</v>
      </c>
    </row>
    <row r="97" spans="1:13" x14ac:dyDescent="0.25">
      <c r="A97" t="s">
        <v>12</v>
      </c>
      <c r="B97" t="s">
        <v>32</v>
      </c>
      <c r="C97" s="1">
        <v>0.69201167725153201</v>
      </c>
      <c r="D97" s="1">
        <v>4.2940256378068007</v>
      </c>
      <c r="L97" s="1">
        <f>C97</f>
        <v>0.69201167725153201</v>
      </c>
    </row>
    <row r="98" spans="1:13" x14ac:dyDescent="0.25">
      <c r="A98" t="s">
        <v>51</v>
      </c>
      <c r="B98" t="s">
        <v>32</v>
      </c>
      <c r="C98" s="1">
        <v>49.751588765194498</v>
      </c>
      <c r="D98" s="1">
        <v>17.341505146567602</v>
      </c>
      <c r="M98" s="1">
        <f>C98</f>
        <v>49.751588765194498</v>
      </c>
    </row>
    <row r="100" spans="1:13" x14ac:dyDescent="0.25">
      <c r="C100" s="1"/>
      <c r="D100" s="1"/>
    </row>
    <row r="101" spans="1:13" x14ac:dyDescent="0.25">
      <c r="C101" s="1"/>
      <c r="D101" s="1"/>
    </row>
    <row r="102" spans="1:13" x14ac:dyDescent="0.25">
      <c r="C102" s="1"/>
      <c r="D102" s="1"/>
    </row>
    <row r="103" spans="1:13" x14ac:dyDescent="0.25">
      <c r="C103" s="1"/>
      <c r="D103" s="1"/>
    </row>
    <row r="104" spans="1:13" x14ac:dyDescent="0.25">
      <c r="C104" s="1"/>
      <c r="D104" s="1"/>
    </row>
    <row r="105" spans="1:13" x14ac:dyDescent="0.25">
      <c r="C105" s="1"/>
      <c r="D105" s="1"/>
    </row>
    <row r="106" spans="1:13" x14ac:dyDescent="0.25">
      <c r="C106" s="1"/>
      <c r="D106" s="1"/>
    </row>
    <row r="107" spans="1:13" x14ac:dyDescent="0.25">
      <c r="C107" s="1"/>
      <c r="D107" s="1"/>
    </row>
    <row r="108" spans="1:13" x14ac:dyDescent="0.25">
      <c r="C108" s="1"/>
      <c r="D108" s="1"/>
    </row>
    <row r="109" spans="1:13" x14ac:dyDescent="0.25">
      <c r="C109" s="1"/>
      <c r="D109" s="1"/>
    </row>
    <row r="110" spans="1:13" x14ac:dyDescent="0.25">
      <c r="C110" s="1"/>
      <c r="D110" s="1"/>
    </row>
    <row r="111" spans="1:13" x14ac:dyDescent="0.25">
      <c r="C111" s="1"/>
      <c r="D111" s="1"/>
    </row>
    <row r="112" spans="1:13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12" sqref="H12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2" bestFit="1" customWidth="1"/>
    <col min="4" max="4" width="9.7109375" bestFit="1" customWidth="1"/>
    <col min="5" max="5" width="9.42578125" bestFit="1" customWidth="1"/>
  </cols>
  <sheetData>
    <row r="1" spans="1:5" x14ac:dyDescent="0.25">
      <c r="A1" t="s">
        <v>0</v>
      </c>
      <c r="B1" t="s">
        <v>60</v>
      </c>
      <c r="C1" t="s">
        <v>68</v>
      </c>
      <c r="D1" t="s">
        <v>69</v>
      </c>
      <c r="E1" t="s">
        <v>71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70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60</v>
      </c>
      <c r="C6" t="s">
        <v>68</v>
      </c>
      <c r="D6" t="s">
        <v>69</v>
      </c>
      <c r="E6" t="s">
        <v>59</v>
      </c>
    </row>
    <row r="7" spans="1:5" x14ac:dyDescent="0.25">
      <c r="A7" t="s">
        <v>61</v>
      </c>
      <c r="B7" s="8">
        <v>44.88</v>
      </c>
      <c r="C7" s="8">
        <v>697.52</v>
      </c>
      <c r="D7" s="8">
        <f>C7*44/12</f>
        <v>2557.5733333333333</v>
      </c>
      <c r="E7" s="8" t="s">
        <v>70</v>
      </c>
    </row>
    <row r="8" spans="1:5" x14ac:dyDescent="0.25">
      <c r="A8" t="s">
        <v>62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64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66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63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67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65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60</v>
      </c>
      <c r="C16" t="s">
        <v>68</v>
      </c>
      <c r="D16" t="s">
        <v>69</v>
      </c>
      <c r="E16" t="s">
        <v>59</v>
      </c>
    </row>
    <row r="17" spans="1:5" x14ac:dyDescent="0.25">
      <c r="A17" t="s">
        <v>61</v>
      </c>
      <c r="B17" s="8">
        <v>100</v>
      </c>
      <c r="C17" s="8">
        <v>-18.37</v>
      </c>
      <c r="D17" s="8">
        <f>C17*44/12</f>
        <v>-67.356666666666669</v>
      </c>
      <c r="E17" s="8" t="s">
        <v>70</v>
      </c>
    </row>
    <row r="18" spans="1:5" x14ac:dyDescent="0.25">
      <c r="A18" t="s">
        <v>62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63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64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65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66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67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tabSelected="1" topLeftCell="C1" zoomScale="60" zoomScaleNormal="60" workbookViewId="0">
      <selection activeCell="T52" sqref="T5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42</v>
      </c>
      <c r="D1" t="s">
        <v>73</v>
      </c>
      <c r="E1" t="s">
        <v>34</v>
      </c>
      <c r="F1" t="s">
        <v>72</v>
      </c>
      <c r="G1" t="s">
        <v>35</v>
      </c>
      <c r="H1" t="s">
        <v>74</v>
      </c>
      <c r="I1" t="s">
        <v>75</v>
      </c>
      <c r="J1" t="s">
        <v>43</v>
      </c>
      <c r="M1" t="s">
        <v>93</v>
      </c>
      <c r="N1" t="s">
        <v>97</v>
      </c>
      <c r="O1" t="s">
        <v>94</v>
      </c>
      <c r="P1" t="s">
        <v>95</v>
      </c>
      <c r="Q1" t="s">
        <v>96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50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50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76</v>
      </c>
      <c r="F31" t="s">
        <v>77</v>
      </c>
      <c r="G31" t="s">
        <v>78</v>
      </c>
      <c r="H31" t="s">
        <v>79</v>
      </c>
      <c r="I31" t="s">
        <v>80</v>
      </c>
      <c r="J31" t="s">
        <v>81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76</v>
      </c>
      <c r="F60" t="s">
        <v>77</v>
      </c>
      <c r="G60" t="s">
        <v>78</v>
      </c>
      <c r="H60" t="s">
        <v>79</v>
      </c>
      <c r="I60" t="s">
        <v>80</v>
      </c>
      <c r="J60" t="s">
        <v>81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76</v>
      </c>
      <c r="F89" t="s">
        <v>77</v>
      </c>
      <c r="G89" t="s">
        <v>78</v>
      </c>
      <c r="H89" t="s">
        <v>79</v>
      </c>
      <c r="I89" t="s">
        <v>80</v>
      </c>
      <c r="J89" t="s">
        <v>81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J29" sqref="J29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Low</vt:lpstr>
      <vt:lpstr>High</vt:lpstr>
      <vt:lpstr>Plotting Marginal CostsBenefits</vt:lpstr>
      <vt:lpstr>Marginal C emissions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2026-05-20T13:10:13Z</dcterms:modified>
</cp:coreProperties>
</file>