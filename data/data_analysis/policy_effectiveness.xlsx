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3088B160-18C9-4CF8-8A6D-F1F0B698A7DE}" xr6:coauthVersionLast="47" xr6:coauthVersionMax="47" xr10:uidLastSave="{00000000-0000-0000-0000-000000000000}"/>
  <bookViews>
    <workbookView xWindow="-120" yWindow="-120" windowWidth="29040" windowHeight="17520" xr2:uid="{5B094011-67C9-461D-BBBF-A6D3FE50B4AB}"/>
  </bookViews>
  <sheets>
    <sheet name="Low" sheetId="1" r:id="rId1"/>
    <sheet name="High" sheetId="2" r:id="rId2"/>
  </sheets>
  <definedNames>
    <definedName name="_xlnm._FilterDatabase" localSheetId="0" hidden="1">Low!$A$3:$AP$3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13" i="2" l="1"/>
  <c r="AK13" i="2"/>
  <c r="AL13" i="2" s="1"/>
  <c r="AF13" i="2"/>
  <c r="AJ13" i="2" s="1"/>
  <c r="AA13" i="2"/>
  <c r="AD13" i="2" s="1"/>
  <c r="Z13" i="2"/>
  <c r="Y13" i="2"/>
  <c r="X13" i="2"/>
  <c r="W13" i="2"/>
  <c r="V13" i="2"/>
  <c r="Q13" i="2"/>
  <c r="U13" i="2" s="1"/>
  <c r="AP12" i="2"/>
  <c r="AO12" i="2"/>
  <c r="AN12" i="2"/>
  <c r="AM12" i="2"/>
  <c r="AL12" i="2"/>
  <c r="AK12" i="2"/>
  <c r="AF12" i="2"/>
  <c r="AJ12" i="2" s="1"/>
  <c r="AA12" i="2"/>
  <c r="AE12" i="2" s="1"/>
  <c r="Z12" i="2"/>
  <c r="Y12" i="2"/>
  <c r="X12" i="2"/>
  <c r="W12" i="2"/>
  <c r="V12" i="2"/>
  <c r="U12" i="2" s="1"/>
  <c r="T12" i="2"/>
  <c r="S12" i="2"/>
  <c r="R12" i="2"/>
  <c r="Q12" i="2"/>
  <c r="AP11" i="2"/>
  <c r="AK11" i="2"/>
  <c r="AL11" i="2" s="1"/>
  <c r="AJ11" i="2"/>
  <c r="AI11" i="2"/>
  <c r="AH11" i="2"/>
  <c r="AG11" i="2"/>
  <c r="AF11" i="2"/>
  <c r="AA11" i="2"/>
  <c r="AB11" i="2" s="1"/>
  <c r="V11" i="2"/>
  <c r="Z11" i="2" s="1"/>
  <c r="Q11" i="2"/>
  <c r="U11" i="2" s="1"/>
  <c r="AP10" i="2"/>
  <c r="AK10" i="2"/>
  <c r="AO10" i="2" s="1"/>
  <c r="AF10" i="2"/>
  <c r="AJ10" i="2" s="1"/>
  <c r="AE10" i="2"/>
  <c r="AD10" i="2"/>
  <c r="AC10" i="2"/>
  <c r="AB10" i="2"/>
  <c r="AA10" i="2"/>
  <c r="V10" i="2"/>
  <c r="W10" i="2" s="1"/>
  <c r="Q10" i="2"/>
  <c r="U10" i="2" s="1"/>
  <c r="AP9" i="2"/>
  <c r="AK9" i="2"/>
  <c r="AO9" i="2" s="1"/>
  <c r="AH9" i="2"/>
  <c r="AG9" i="2"/>
  <c r="AF9" i="2"/>
  <c r="AJ9" i="2" s="1"/>
  <c r="AA9" i="2"/>
  <c r="AE9" i="2" s="1"/>
  <c r="Z9" i="2"/>
  <c r="Y9" i="2"/>
  <c r="X9" i="2"/>
  <c r="W9" i="2"/>
  <c r="V9" i="2"/>
  <c r="Q9" i="2"/>
  <c r="U9" i="2" s="1"/>
  <c r="AP8" i="2"/>
  <c r="AO8" i="2"/>
  <c r="AN8" i="2"/>
  <c r="AM8" i="2"/>
  <c r="AL8" i="2"/>
  <c r="AK8" i="2"/>
  <c r="AF8" i="2"/>
  <c r="AG8" i="2" s="1"/>
  <c r="AA8" i="2"/>
  <c r="AE8" i="2" s="1"/>
  <c r="V8" i="2"/>
  <c r="Z8" i="2" s="1"/>
  <c r="U8" i="2"/>
  <c r="T8" i="2"/>
  <c r="S8" i="2"/>
  <c r="R8" i="2"/>
  <c r="Q8" i="2"/>
  <c r="AP7" i="2"/>
  <c r="AK7" i="2"/>
  <c r="AI7" i="2" s="1"/>
  <c r="AJ7" i="2"/>
  <c r="AF7" i="2"/>
  <c r="AA7" i="2"/>
  <c r="AC7" i="2" s="1"/>
  <c r="V7" i="2"/>
  <c r="Z7" i="2" s="1"/>
  <c r="Q7" i="2"/>
  <c r="U7" i="2" s="1"/>
  <c r="AP6" i="2"/>
  <c r="AN6" i="2"/>
  <c r="AK6" i="2"/>
  <c r="AO6" i="2" s="1"/>
  <c r="AF6" i="2"/>
  <c r="AI6" i="2" s="1"/>
  <c r="AE6" i="2"/>
  <c r="AC6" i="2"/>
  <c r="AB6" i="2"/>
  <c r="AA6" i="2"/>
  <c r="V6" i="2"/>
  <c r="Z6" i="2" s="1"/>
  <c r="Q6" i="2"/>
  <c r="U6" i="2" s="1"/>
  <c r="AP5" i="2"/>
  <c r="AK5" i="2"/>
  <c r="AO5" i="2" s="1"/>
  <c r="AF5" i="2"/>
  <c r="AI5" i="2" s="1"/>
  <c r="AA5" i="2"/>
  <c r="Y5" i="2" s="1"/>
  <c r="Z5" i="2"/>
  <c r="V5" i="2"/>
  <c r="Q5" i="2"/>
  <c r="U5" i="2" s="1"/>
  <c r="AP4" i="2"/>
  <c r="AO4" i="2"/>
  <c r="AN4" i="2"/>
  <c r="AM4" i="2"/>
  <c r="AL4" i="2"/>
  <c r="AK4" i="2"/>
  <c r="AF4" i="2"/>
  <c r="AJ4" i="2" s="1"/>
  <c r="AA4" i="2"/>
  <c r="AE4" i="2" s="1"/>
  <c r="X4" i="2"/>
  <c r="W4" i="2"/>
  <c r="V4" i="2"/>
  <c r="Y4" i="2" s="1"/>
  <c r="U4" i="2"/>
  <c r="T4" i="2"/>
  <c r="S4" i="2"/>
  <c r="R4" i="2"/>
  <c r="Q4" i="2"/>
  <c r="Q5" i="1"/>
  <c r="V5" i="1"/>
  <c r="AA5" i="1"/>
  <c r="AF5" i="1"/>
  <c r="AK5" i="1"/>
  <c r="AP5" i="1"/>
  <c r="Q6" i="1"/>
  <c r="V6" i="1"/>
  <c r="AA6" i="1"/>
  <c r="AF6" i="1"/>
  <c r="AK6" i="1"/>
  <c r="AP6" i="1"/>
  <c r="Q7" i="1"/>
  <c r="V7" i="1"/>
  <c r="AA7" i="1"/>
  <c r="AF7" i="1"/>
  <c r="AB7" i="1" s="1"/>
  <c r="AK7" i="1"/>
  <c r="AP7" i="1"/>
  <c r="Q8" i="1"/>
  <c r="V8" i="1"/>
  <c r="AA8" i="1"/>
  <c r="AF8" i="1"/>
  <c r="AK8" i="1"/>
  <c r="AP8" i="1"/>
  <c r="AL8" i="1" s="1"/>
  <c r="Q9" i="1"/>
  <c r="V9" i="1"/>
  <c r="AA9" i="1"/>
  <c r="AF9" i="1"/>
  <c r="AK9" i="1"/>
  <c r="AP9" i="1"/>
  <c r="Q10" i="1"/>
  <c r="V10" i="1"/>
  <c r="S10" i="1" s="1"/>
  <c r="AA10" i="1"/>
  <c r="AF10" i="1"/>
  <c r="AK10" i="1"/>
  <c r="AP10" i="1"/>
  <c r="Q11" i="1"/>
  <c r="V11" i="1"/>
  <c r="AA11" i="1"/>
  <c r="AF11" i="1"/>
  <c r="AB11" i="1" s="1"/>
  <c r="AK11" i="1"/>
  <c r="AP11" i="1"/>
  <c r="Q12" i="1"/>
  <c r="V12" i="1"/>
  <c r="AA12" i="1"/>
  <c r="AF12" i="1"/>
  <c r="AK12" i="1"/>
  <c r="AP12" i="1"/>
  <c r="Q13" i="1"/>
  <c r="V13" i="1"/>
  <c r="AA13" i="1"/>
  <c r="AF13" i="1"/>
  <c r="AB13" i="1" s="1"/>
  <c r="AK13" i="1"/>
  <c r="AP13" i="1"/>
  <c r="Q14" i="1"/>
  <c r="V14" i="1"/>
  <c r="AA14" i="1"/>
  <c r="AF14" i="1"/>
  <c r="AB14" i="1" s="1"/>
  <c r="AK14" i="1"/>
  <c r="AJ14" i="1" s="1"/>
  <c r="AP14" i="1"/>
  <c r="AP4" i="1"/>
  <c r="AK4" i="1"/>
  <c r="AF4" i="1"/>
  <c r="AA4" i="1"/>
  <c r="V4" i="1"/>
  <c r="Q4" i="1"/>
  <c r="AM7" i="1" l="1"/>
  <c r="AI10" i="1"/>
  <c r="Y5" i="1"/>
  <c r="X9" i="1"/>
  <c r="AO14" i="1"/>
  <c r="AC10" i="1"/>
  <c r="AL12" i="1"/>
  <c r="R9" i="1"/>
  <c r="AL5" i="1"/>
  <c r="AG5" i="1"/>
  <c r="AO4" i="1"/>
  <c r="R5" i="1"/>
  <c r="S13" i="1"/>
  <c r="AL9" i="1"/>
  <c r="U6" i="1"/>
  <c r="AB5" i="2"/>
  <c r="AL7" i="2"/>
  <c r="AC8" i="2"/>
  <c r="AM10" i="2"/>
  <c r="AM7" i="2"/>
  <c r="AN10" i="2"/>
  <c r="AE5" i="2"/>
  <c r="AB12" i="2"/>
  <c r="AD12" i="2"/>
  <c r="AH5" i="2"/>
  <c r="AN11" i="2"/>
  <c r="AM11" i="1"/>
  <c r="AL11" i="1"/>
  <c r="AO11" i="2"/>
  <c r="AN11" i="1"/>
  <c r="AJ5" i="2"/>
  <c r="AD6" i="2"/>
  <c r="R11" i="2"/>
  <c r="AB13" i="2"/>
  <c r="AO7" i="2"/>
  <c r="AB9" i="2"/>
  <c r="R10" i="2"/>
  <c r="AC12" i="2"/>
  <c r="AN5" i="1"/>
  <c r="AD9" i="2"/>
  <c r="AB8" i="2"/>
  <c r="R6" i="2"/>
  <c r="G6" i="2" s="1"/>
  <c r="AD8" i="2"/>
  <c r="AG9" i="1"/>
  <c r="S6" i="2"/>
  <c r="AI12" i="1"/>
  <c r="T6" i="2"/>
  <c r="U9" i="1"/>
  <c r="AM11" i="2"/>
  <c r="S7" i="2"/>
  <c r="T7" i="2"/>
  <c r="F11" i="2"/>
  <c r="W7" i="2"/>
  <c r="X7" i="2"/>
  <c r="AE13" i="2"/>
  <c r="U5" i="1"/>
  <c r="Z4" i="2"/>
  <c r="E4" i="2" s="1"/>
  <c r="AH6" i="2"/>
  <c r="Y7" i="2"/>
  <c r="W11" i="2"/>
  <c r="F12" i="2"/>
  <c r="G12" i="2"/>
  <c r="E12" i="2"/>
  <c r="AG13" i="2"/>
  <c r="AM10" i="1"/>
  <c r="AJ7" i="1"/>
  <c r="AB4" i="2"/>
  <c r="F4" i="2" s="1"/>
  <c r="AJ6" i="2"/>
  <c r="W8" i="2"/>
  <c r="AG10" i="2"/>
  <c r="X11" i="2"/>
  <c r="AH13" i="2"/>
  <c r="AL10" i="2"/>
  <c r="AD5" i="2"/>
  <c r="AN7" i="2"/>
  <c r="AG5" i="2"/>
  <c r="R7" i="2"/>
  <c r="F7" i="2" s="1"/>
  <c r="AC9" i="2"/>
  <c r="S10" i="2"/>
  <c r="S11" i="2"/>
  <c r="AC13" i="2"/>
  <c r="T11" i="2"/>
  <c r="AI9" i="2"/>
  <c r="AC4" i="2"/>
  <c r="X8" i="2"/>
  <c r="E8" i="2" s="1"/>
  <c r="Y11" i="2"/>
  <c r="AI13" i="2"/>
  <c r="AC7" i="1"/>
  <c r="AD4" i="2"/>
  <c r="X5" i="2"/>
  <c r="AL6" i="2"/>
  <c r="AH7" i="2"/>
  <c r="Y8" i="2"/>
  <c r="AI10" i="2"/>
  <c r="AC5" i="2"/>
  <c r="AM12" i="1"/>
  <c r="T10" i="2"/>
  <c r="T5" i="1"/>
  <c r="AG6" i="2"/>
  <c r="W5" i="2"/>
  <c r="AG7" i="2"/>
  <c r="AH10" i="2"/>
  <c r="AC13" i="1"/>
  <c r="AM6" i="2"/>
  <c r="AJ5" i="1"/>
  <c r="AG4" i="2"/>
  <c r="R5" i="2"/>
  <c r="AL5" i="2"/>
  <c r="W6" i="2"/>
  <c r="AB7" i="2"/>
  <c r="R9" i="2"/>
  <c r="AL9" i="2"/>
  <c r="AG12" i="2"/>
  <c r="R13" i="2"/>
  <c r="AO11" i="1"/>
  <c r="AI5" i="1"/>
  <c r="AH4" i="2"/>
  <c r="S5" i="2"/>
  <c r="AM5" i="2"/>
  <c r="X6" i="2"/>
  <c r="E6" i="2" s="1"/>
  <c r="AH8" i="2"/>
  <c r="S9" i="2"/>
  <c r="AM9" i="2"/>
  <c r="X10" i="2"/>
  <c r="AC11" i="2"/>
  <c r="AH12" i="2"/>
  <c r="S13" i="2"/>
  <c r="AM13" i="2"/>
  <c r="AB8" i="1"/>
  <c r="AH5" i="1"/>
  <c r="AI4" i="2"/>
  <c r="T5" i="2"/>
  <c r="AN5" i="2"/>
  <c r="Y6" i="2"/>
  <c r="AD7" i="2"/>
  <c r="AI8" i="2"/>
  <c r="T9" i="2"/>
  <c r="AN9" i="2"/>
  <c r="Y10" i="2"/>
  <c r="AD11" i="2"/>
  <c r="AI12" i="2"/>
  <c r="T13" i="2"/>
  <c r="AN13" i="2"/>
  <c r="AN13" i="1"/>
  <c r="X11" i="1"/>
  <c r="AE7" i="2"/>
  <c r="AJ8" i="2"/>
  <c r="Z10" i="2"/>
  <c r="AE11" i="2"/>
  <c r="AO13" i="2"/>
  <c r="AO5" i="1"/>
  <c r="AD5" i="1"/>
  <c r="AE14" i="1"/>
  <c r="W14" i="1"/>
  <c r="AL13" i="1"/>
  <c r="AG13" i="1"/>
  <c r="R13" i="1"/>
  <c r="AH12" i="1"/>
  <c r="AG12" i="1"/>
  <c r="S12" i="1"/>
  <c r="Y12" i="1"/>
  <c r="T12" i="1"/>
  <c r="R12" i="1"/>
  <c r="W11" i="1"/>
  <c r="T11" i="1"/>
  <c r="S11" i="1"/>
  <c r="R11" i="1"/>
  <c r="U11" i="1"/>
  <c r="AB10" i="1"/>
  <c r="AD10" i="1"/>
  <c r="AE10" i="1"/>
  <c r="X10" i="1"/>
  <c r="Z10" i="1"/>
  <c r="Y10" i="1"/>
  <c r="W10" i="1"/>
  <c r="AO9" i="1"/>
  <c r="AM8" i="1"/>
  <c r="AC8" i="1"/>
  <c r="W8" i="1"/>
  <c r="R8" i="1"/>
  <c r="S8" i="1"/>
  <c r="AD7" i="1"/>
  <c r="Y7" i="1"/>
  <c r="W7" i="1"/>
  <c r="X7" i="1"/>
  <c r="AO6" i="1"/>
  <c r="AG6" i="1"/>
  <c r="AC6" i="1"/>
  <c r="AE6" i="1"/>
  <c r="AD6" i="1"/>
  <c r="AH6" i="1"/>
  <c r="AB6" i="1"/>
  <c r="U10" i="1"/>
  <c r="AB12" i="1"/>
  <c r="AL7" i="1"/>
  <c r="AI14" i="1"/>
  <c r="AG11" i="1"/>
  <c r="T13" i="1"/>
  <c r="AG14" i="1"/>
  <c r="AE11" i="1"/>
  <c r="AI7" i="1"/>
  <c r="X12" i="1"/>
  <c r="AD11" i="1"/>
  <c r="AJ10" i="1"/>
  <c r="AH7" i="1"/>
  <c r="AN6" i="1"/>
  <c r="T6" i="1"/>
  <c r="Z5" i="1"/>
  <c r="T14" i="1"/>
  <c r="AE12" i="1"/>
  <c r="AC9" i="1"/>
  <c r="R14" i="1"/>
  <c r="AC12" i="1"/>
  <c r="S7" i="1"/>
  <c r="AN10" i="1"/>
  <c r="Z9" i="1"/>
  <c r="R7" i="1"/>
  <c r="Y9" i="1"/>
  <c r="AC5" i="1"/>
  <c r="Z12" i="1"/>
  <c r="R10" i="1"/>
  <c r="AD8" i="1"/>
  <c r="W12" i="1"/>
  <c r="AC11" i="1"/>
  <c r="AG7" i="1"/>
  <c r="AM6" i="1"/>
  <c r="S6" i="1"/>
  <c r="AD14" i="1"/>
  <c r="AJ13" i="1"/>
  <c r="AH10" i="1"/>
  <c r="AN9" i="1"/>
  <c r="T9" i="1"/>
  <c r="Z8" i="1"/>
  <c r="AL6" i="1"/>
  <c r="R6" i="1"/>
  <c r="X5" i="1"/>
  <c r="AC14" i="1"/>
  <c r="AI13" i="1"/>
  <c r="AO12" i="1"/>
  <c r="U12" i="1"/>
  <c r="AG10" i="1"/>
  <c r="AM9" i="1"/>
  <c r="S9" i="1"/>
  <c r="Y8" i="1"/>
  <c r="AE7" i="1"/>
  <c r="W5" i="1"/>
  <c r="AO7" i="1"/>
  <c r="AD12" i="1"/>
  <c r="AN7" i="1"/>
  <c r="AI11" i="1"/>
  <c r="AG8" i="1"/>
  <c r="T10" i="1"/>
  <c r="X6" i="1"/>
  <c r="U13" i="1"/>
  <c r="AH14" i="1"/>
  <c r="AL10" i="1"/>
  <c r="AB5" i="1"/>
  <c r="AM13" i="1"/>
  <c r="W9" i="1"/>
  <c r="AN14" i="1"/>
  <c r="AJ8" i="1"/>
  <c r="Y13" i="1"/>
  <c r="AJ11" i="1"/>
  <c r="AH8" i="1"/>
  <c r="AO10" i="1"/>
  <c r="AE5" i="1"/>
  <c r="AH11" i="1"/>
  <c r="AO13" i="1"/>
  <c r="AE8" i="1"/>
  <c r="W6" i="1"/>
  <c r="AH13" i="1"/>
  <c r="AN12" i="1"/>
  <c r="Z11" i="1"/>
  <c r="X8" i="1"/>
  <c r="AJ6" i="1"/>
  <c r="Y11" i="1"/>
  <c r="AI6" i="1"/>
  <c r="U14" i="1"/>
  <c r="Z13" i="1"/>
  <c r="AI8" i="1"/>
  <c r="AL14" i="1"/>
  <c r="Z6" i="1"/>
  <c r="Z14" i="1"/>
  <c r="Y14" i="1"/>
  <c r="AE13" i="1"/>
  <c r="AI9" i="1"/>
  <c r="AO8" i="1"/>
  <c r="U8" i="1"/>
  <c r="AM5" i="1"/>
  <c r="S5" i="1"/>
  <c r="AD9" i="1"/>
  <c r="AM14" i="1"/>
  <c r="X13" i="1"/>
  <c r="AB9" i="1"/>
  <c r="Y6" i="1"/>
  <c r="AJ9" i="1"/>
  <c r="X14" i="1"/>
  <c r="AD13" i="1"/>
  <c r="AJ12" i="1"/>
  <c r="AH9" i="1"/>
  <c r="AN8" i="1"/>
  <c r="T8" i="1"/>
  <c r="Z7" i="1"/>
  <c r="AE9" i="1"/>
  <c r="S14" i="1"/>
  <c r="U7" i="1"/>
  <c r="T7" i="1"/>
  <c r="W13" i="1"/>
  <c r="AE4" i="1"/>
  <c r="Z4" i="1"/>
  <c r="AI4" i="1"/>
  <c r="AJ4" i="1"/>
  <c r="AL4" i="1"/>
  <c r="R4" i="1"/>
  <c r="S4" i="1"/>
  <c r="T4" i="1"/>
  <c r="U4" i="1"/>
  <c r="W4" i="1"/>
  <c r="X4" i="1"/>
  <c r="Y4" i="1"/>
  <c r="AB4" i="1"/>
  <c r="AC4" i="1"/>
  <c r="AD4" i="1"/>
  <c r="AG4" i="1"/>
  <c r="AH4" i="1"/>
  <c r="AM4" i="1"/>
  <c r="AN4" i="1"/>
  <c r="F5" i="1" l="1"/>
  <c r="B7" i="2"/>
  <c r="B11" i="2"/>
  <c r="B6" i="2"/>
  <c r="H6" i="2" s="1"/>
  <c r="B12" i="2"/>
  <c r="H12" i="2" s="1"/>
  <c r="B8" i="2"/>
  <c r="H8" i="2" s="1"/>
  <c r="B5" i="2"/>
  <c r="B10" i="2"/>
  <c r="B13" i="2"/>
  <c r="B9" i="2"/>
  <c r="B4" i="2"/>
  <c r="H4" i="2" s="1"/>
  <c r="I4" i="2"/>
  <c r="C11" i="2"/>
  <c r="I11" i="2" s="1"/>
  <c r="C7" i="2"/>
  <c r="I7" i="2" s="1"/>
  <c r="C10" i="2"/>
  <c r="C12" i="2"/>
  <c r="I12" i="2" s="1"/>
  <c r="C13" i="2"/>
  <c r="C6" i="2"/>
  <c r="C5" i="2"/>
  <c r="C9" i="2"/>
  <c r="C8" i="2"/>
  <c r="C4" i="2"/>
  <c r="G11" i="2"/>
  <c r="F6" i="2"/>
  <c r="I6" i="2" s="1"/>
  <c r="F13" i="2"/>
  <c r="I13" i="2" s="1"/>
  <c r="E13" i="2"/>
  <c r="H13" i="2" s="1"/>
  <c r="G13" i="2"/>
  <c r="G9" i="2"/>
  <c r="F9" i="2"/>
  <c r="I9" i="2" s="1"/>
  <c r="E9" i="2"/>
  <c r="H9" i="2" s="1"/>
  <c r="G4" i="2"/>
  <c r="F10" i="2"/>
  <c r="I10" i="2" s="1"/>
  <c r="G10" i="2"/>
  <c r="G5" i="1"/>
  <c r="F8" i="2"/>
  <c r="G8" i="2"/>
  <c r="E7" i="2"/>
  <c r="F4" i="1"/>
  <c r="G4" i="1"/>
  <c r="E4" i="1"/>
  <c r="G7" i="2"/>
  <c r="E5" i="1"/>
  <c r="F5" i="2"/>
  <c r="I5" i="2" s="1"/>
  <c r="G5" i="2"/>
  <c r="E5" i="2"/>
  <c r="H5" i="2" s="1"/>
  <c r="E10" i="2"/>
  <c r="H10" i="2" s="1"/>
  <c r="F10" i="1"/>
  <c r="E11" i="2"/>
  <c r="H11" i="2" s="1"/>
  <c r="G14" i="1"/>
  <c r="E14" i="1"/>
  <c r="F14" i="1"/>
  <c r="G13" i="1"/>
  <c r="E13" i="1"/>
  <c r="F13" i="1"/>
  <c r="E12" i="1"/>
  <c r="G12" i="1"/>
  <c r="F12" i="1"/>
  <c r="G11" i="1"/>
  <c r="F11" i="1"/>
  <c r="E11" i="1"/>
  <c r="E10" i="1"/>
  <c r="G10" i="1"/>
  <c r="E9" i="1"/>
  <c r="F9" i="1"/>
  <c r="G9" i="1"/>
  <c r="E8" i="1"/>
  <c r="F8" i="1"/>
  <c r="G8" i="1"/>
  <c r="E7" i="1"/>
  <c r="F7" i="1"/>
  <c r="G7" i="1"/>
  <c r="E6" i="1"/>
  <c r="F6" i="1"/>
  <c r="G6" i="1"/>
  <c r="J4" i="2" l="1"/>
  <c r="D11" i="2"/>
  <c r="J11" i="2" s="1"/>
  <c r="D7" i="2"/>
  <c r="J7" i="2" s="1"/>
  <c r="D13" i="2"/>
  <c r="J13" i="2" s="1"/>
  <c r="D9" i="2"/>
  <c r="J9" i="2" s="1"/>
  <c r="D10" i="2"/>
  <c r="J10" i="2" s="1"/>
  <c r="D6" i="2"/>
  <c r="J6" i="2" s="1"/>
  <c r="D12" i="2"/>
  <c r="J12" i="2" s="1"/>
  <c r="D4" i="2"/>
  <c r="D8" i="2"/>
  <c r="D5" i="2"/>
  <c r="J5" i="2"/>
  <c r="H12" i="1"/>
  <c r="H14" i="1"/>
  <c r="H5" i="1"/>
  <c r="H4" i="1"/>
  <c r="H8" i="1"/>
  <c r="H11" i="1"/>
  <c r="H9" i="1"/>
  <c r="H7" i="1"/>
  <c r="H10" i="1"/>
  <c r="D5" i="1"/>
  <c r="J5" i="1" s="1"/>
  <c r="D14" i="1"/>
  <c r="J14" i="1" s="1"/>
  <c r="D12" i="1"/>
  <c r="J12" i="1" s="1"/>
  <c r="D8" i="1"/>
  <c r="J8" i="1" s="1"/>
  <c r="D6" i="1"/>
  <c r="D4" i="1"/>
  <c r="D13" i="1"/>
  <c r="J13" i="1" s="1"/>
  <c r="D11" i="1"/>
  <c r="J11" i="1" s="1"/>
  <c r="D9" i="1"/>
  <c r="J9" i="1" s="1"/>
  <c r="J4" i="1"/>
  <c r="D10" i="1"/>
  <c r="J10" i="1" s="1"/>
  <c r="D7" i="1"/>
  <c r="J7" i="1" s="1"/>
  <c r="J6" i="1"/>
  <c r="C4" i="1"/>
  <c r="I4" i="1" s="1"/>
  <c r="C14" i="1"/>
  <c r="I14" i="1" s="1"/>
  <c r="C11" i="1"/>
  <c r="I11" i="1" s="1"/>
  <c r="C10" i="1"/>
  <c r="I10" i="1" s="1"/>
  <c r="C8" i="1"/>
  <c r="I8" i="1" s="1"/>
  <c r="C9" i="1"/>
  <c r="I9" i="1" s="1"/>
  <c r="C7" i="1"/>
  <c r="C6" i="1"/>
  <c r="C5" i="1"/>
  <c r="I5" i="1" s="1"/>
  <c r="C12" i="1"/>
  <c r="I12" i="1" s="1"/>
  <c r="C13" i="1"/>
  <c r="I13" i="1" s="1"/>
  <c r="I6" i="1"/>
  <c r="H7" i="2"/>
  <c r="H6" i="1"/>
  <c r="J8" i="2"/>
  <c r="I8" i="2"/>
  <c r="I7" i="1"/>
  <c r="H13" i="1"/>
</calcChain>
</file>

<file path=xl/sharedStrings.xml><?xml version="1.0" encoding="utf-8"?>
<sst xmlns="http://schemas.openxmlformats.org/spreadsheetml/2006/main" count="35" uniqueCount="28">
  <si>
    <t>Policy Effectivess</t>
  </si>
  <si>
    <t>Scenario</t>
  </si>
  <si>
    <t>Interpolation</t>
  </si>
  <si>
    <t>Results</t>
  </si>
  <si>
    <t>Baseline NPV</t>
  </si>
  <si>
    <t>NPV with Discount Rate</t>
  </si>
  <si>
    <t>Change in NPV from Baseline</t>
  </si>
  <si>
    <t>low_low</t>
  </si>
  <si>
    <t>innovation-DACHubs_low</t>
  </si>
  <si>
    <t>innovation-maintain_low</t>
  </si>
  <si>
    <t>innovation-rhodium-6B_low</t>
  </si>
  <si>
    <t>innovation-rhodium-18B_low</t>
  </si>
  <si>
    <t>innovation-triple_low</t>
  </si>
  <si>
    <t>s1-itc-l_low</t>
  </si>
  <si>
    <t>s1-noBECCS-itc-l_low</t>
  </si>
  <si>
    <t>s1-procure-3B-l_low</t>
  </si>
  <si>
    <t>s1-procure-rhodium-l_low</t>
  </si>
  <si>
    <t>s1-procure-scaling-l_low</t>
  </si>
  <si>
    <t>high_high</t>
  </si>
  <si>
    <t>innovation-DACHubs_high</t>
  </si>
  <si>
    <t>innovation-maintain_high</t>
  </si>
  <si>
    <t>innovation-rhodium-6B_high</t>
  </si>
  <si>
    <t>innovation-rhodium-18B_high</t>
  </si>
  <si>
    <t>innovation-triple_high</t>
  </si>
  <si>
    <t>s1-itc-h_high</t>
  </si>
  <si>
    <t>s1-procure-3B-h_high</t>
  </si>
  <si>
    <t>s1-procure-rhodium-h_high</t>
  </si>
  <si>
    <t>s1-procure-scaling-h_high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</si>
</sst>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9" fontId="0" fillId="0" borderId="0" xfId="0" applyNumberFormat="1"/>
    <xf numFmtId="8" fontId="0" fillId="0" borderId="0" xfId="0" applyNumberForma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DBF1-F2D7-44F8-977D-1BE3C41C10B1}">
  <dimension ref="A1:AP14"/>
  <sheetViews>
    <sheetView tabSelected="1" zoomScale="80" zoomScaleNormal="80" workbookViewId="0">
      <selection activeCell="E18" sqref="E18"/>
    </sheetView>
  </sheetViews>
  <sheetFormatPr defaultRowHeight="15" x14ac:dyDescent="0.25"/>
  <cols>
    <col min="1" max="1" width="27.140625" bestFit="1" customWidth="1"/>
    <col min="2" max="6" width="12.7109375" bestFit="1" customWidth="1"/>
    <col min="7" max="7" width="11.5703125" bestFit="1" customWidth="1"/>
    <col min="8" max="9" width="13.42578125" bestFit="1" customWidth="1"/>
    <col min="10" max="10" width="12.28515625" bestFit="1" customWidth="1"/>
  </cols>
  <sheetData>
    <row r="1" spans="1:42" x14ac:dyDescent="0.25">
      <c r="A1" s="1" t="s">
        <v>0</v>
      </c>
      <c r="B1" s="1"/>
      <c r="C1" s="1"/>
    </row>
    <row r="2" spans="1:42" x14ac:dyDescent="0.25">
      <c r="B2" s="4" t="s">
        <v>4</v>
      </c>
      <c r="C2" s="4"/>
      <c r="D2" s="4"/>
      <c r="E2" s="4" t="s">
        <v>5</v>
      </c>
      <c r="F2" s="4"/>
      <c r="G2" s="4"/>
      <c r="H2" s="4" t="s">
        <v>6</v>
      </c>
      <c r="I2" s="4"/>
      <c r="J2" s="4"/>
      <c r="K2" s="4" t="s">
        <v>3</v>
      </c>
      <c r="L2" s="4"/>
      <c r="M2" s="4"/>
      <c r="N2" s="4"/>
      <c r="O2" s="4"/>
      <c r="P2" s="4"/>
      <c r="Q2" s="4" t="s">
        <v>2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25">
      <c r="A3" t="s">
        <v>1</v>
      </c>
      <c r="B3" s="2">
        <v>0.05</v>
      </c>
      <c r="C3" s="2">
        <v>0.12</v>
      </c>
      <c r="D3" s="2">
        <v>0.2</v>
      </c>
      <c r="E3" s="2">
        <v>0.05</v>
      </c>
      <c r="F3" s="2">
        <v>0.12</v>
      </c>
      <c r="G3" s="2">
        <v>0.2</v>
      </c>
      <c r="H3" s="2">
        <v>0.05</v>
      </c>
      <c r="I3" s="2">
        <v>0.12</v>
      </c>
      <c r="J3" s="2">
        <v>0.2</v>
      </c>
      <c r="K3">
        <v>2025</v>
      </c>
      <c r="L3">
        <v>2030</v>
      </c>
      <c r="M3">
        <v>2035</v>
      </c>
      <c r="N3">
        <v>2040</v>
      </c>
      <c r="O3">
        <v>2045</v>
      </c>
      <c r="P3">
        <v>2050</v>
      </c>
      <c r="Q3">
        <v>2025</v>
      </c>
      <c r="R3">
        <v>2026</v>
      </c>
      <c r="S3">
        <v>2027</v>
      </c>
      <c r="T3">
        <v>2028</v>
      </c>
      <c r="U3">
        <v>2029</v>
      </c>
      <c r="V3">
        <v>2030</v>
      </c>
      <c r="W3">
        <v>2031</v>
      </c>
      <c r="X3">
        <v>2032</v>
      </c>
      <c r="Y3">
        <v>2033</v>
      </c>
      <c r="Z3">
        <v>2034</v>
      </c>
      <c r="AA3">
        <v>2035</v>
      </c>
      <c r="AB3">
        <v>2036</v>
      </c>
      <c r="AC3">
        <v>2037</v>
      </c>
      <c r="AD3">
        <v>2038</v>
      </c>
      <c r="AE3">
        <v>2039</v>
      </c>
      <c r="AF3">
        <v>2040</v>
      </c>
      <c r="AG3">
        <v>2041</v>
      </c>
      <c r="AH3">
        <v>2042</v>
      </c>
      <c r="AI3">
        <v>2043</v>
      </c>
      <c r="AJ3">
        <v>2044</v>
      </c>
      <c r="AK3">
        <v>2045</v>
      </c>
      <c r="AL3">
        <v>2046</v>
      </c>
      <c r="AM3">
        <v>2047</v>
      </c>
      <c r="AN3">
        <v>2048</v>
      </c>
      <c r="AO3">
        <v>2049</v>
      </c>
      <c r="AP3">
        <v>2050</v>
      </c>
    </row>
    <row r="4" spans="1:42" x14ac:dyDescent="0.25">
      <c r="A4" t="s">
        <v>7</v>
      </c>
      <c r="B4" s="3">
        <v>293793.7861481891</v>
      </c>
      <c r="C4" s="3">
        <f>F$4</f>
        <v>107962.30340464083</v>
      </c>
      <c r="D4" s="3">
        <f>G$4</f>
        <v>48206.370647898213</v>
      </c>
      <c r="E4" s="3">
        <f>NPV(E$3,Q4:AP4)</f>
        <v>293793.7861481891</v>
      </c>
      <c r="F4" s="3">
        <f>NPV(F$3,Q4:AP4)</f>
        <v>107962.30340464083</v>
      </c>
      <c r="G4" s="3">
        <f>NPV(G$3,Q4:AP4)</f>
        <v>48206.370647898213</v>
      </c>
      <c r="H4" s="3">
        <f>E4-$B4</f>
        <v>0</v>
      </c>
      <c r="I4" s="3">
        <f>F4-$C4</f>
        <v>0</v>
      </c>
      <c r="J4" s="3">
        <f>G4-$D4</f>
        <v>0</v>
      </c>
      <c r="K4">
        <v>4773</v>
      </c>
      <c r="L4">
        <v>8116</v>
      </c>
      <c r="M4">
        <v>12582</v>
      </c>
      <c r="N4">
        <v>23832</v>
      </c>
      <c r="O4">
        <v>44799</v>
      </c>
      <c r="P4">
        <v>86435</v>
      </c>
      <c r="Q4">
        <f>K4</f>
        <v>4773</v>
      </c>
      <c r="R4">
        <f>Q4+0.2*(V4-Q4)</f>
        <v>5441.6</v>
      </c>
      <c r="S4">
        <f>Q4+0.4*(V4-Q4)</f>
        <v>6110.2</v>
      </c>
      <c r="T4">
        <f>Q4+0.6*(V4-Q4)</f>
        <v>6778.8</v>
      </c>
      <c r="U4">
        <f>Q4+0.8*(V4-Q4)</f>
        <v>7447.4</v>
      </c>
      <c r="V4">
        <f>L4</f>
        <v>8116</v>
      </c>
      <c r="W4">
        <f>V4+0.2*(AA4-V4)</f>
        <v>9009.2000000000007</v>
      </c>
      <c r="X4">
        <f>V4+0.4*(AA4-V4)</f>
        <v>9902.4</v>
      </c>
      <c r="Y4">
        <f>V4+0.6*(AA4-V4)</f>
        <v>10795.6</v>
      </c>
      <c r="Z4">
        <f>V4+0.8*(AA4-V4)</f>
        <v>11688.8</v>
      </c>
      <c r="AA4">
        <f>M4</f>
        <v>12582</v>
      </c>
      <c r="AB4">
        <f>AA4+0.2*(AF4-AA4)</f>
        <v>14832</v>
      </c>
      <c r="AC4">
        <f>AA4+0.4*(AF4-AA4)</f>
        <v>17082</v>
      </c>
      <c r="AD4">
        <f>AA4+0.6*(AF4-AA4)</f>
        <v>19332</v>
      </c>
      <c r="AE4">
        <f>AA4+0.8*(AF4-AA4)</f>
        <v>21582</v>
      </c>
      <c r="AF4">
        <f>N4</f>
        <v>23832</v>
      </c>
      <c r="AG4">
        <f>AF4+0.2*(AK4-AF4)</f>
        <v>28025.4</v>
      </c>
      <c r="AH4">
        <f>AF4+0.4*(AK4-AF4)</f>
        <v>32218.800000000003</v>
      </c>
      <c r="AI4">
        <f>AF4+0.6*(AK4-AF4)</f>
        <v>36412.199999999997</v>
      </c>
      <c r="AJ4">
        <f>AF4+0.8*(AK4-AF4)</f>
        <v>40605.600000000006</v>
      </c>
      <c r="AK4">
        <f>O4</f>
        <v>44799</v>
      </c>
      <c r="AL4">
        <f>AK4+0.2*(AP4-AK4)</f>
        <v>53126.2</v>
      </c>
      <c r="AM4">
        <f>AK4+0.4*(AP4-AK4)</f>
        <v>61453.4</v>
      </c>
      <c r="AN4">
        <f>AK4+0.6*(AP4-AK4)</f>
        <v>69780.600000000006</v>
      </c>
      <c r="AO4">
        <f>AK4+0.8*(AP4-AK4)</f>
        <v>78107.8</v>
      </c>
      <c r="AP4">
        <f>P4</f>
        <v>86435</v>
      </c>
    </row>
    <row r="5" spans="1:42" x14ac:dyDescent="0.25">
      <c r="A5" t="s">
        <v>8</v>
      </c>
      <c r="B5" s="3">
        <v>293793.7861481891</v>
      </c>
      <c r="C5" s="3">
        <f>F$4</f>
        <v>107962.30340464083</v>
      </c>
      <c r="D5" s="3">
        <f>G$4</f>
        <v>48206.370647898213</v>
      </c>
      <c r="E5" s="3">
        <f>NPV(E$3,Q5:AP5)</f>
        <v>283500.76322913246</v>
      </c>
      <c r="F5" s="3">
        <f>NPV(F$3,Q5:AP5)</f>
        <v>105466.18876267076</v>
      </c>
      <c r="G5" s="3">
        <f>NPV(G$3,Q5:AP5)</f>
        <v>47907.46558100274</v>
      </c>
      <c r="H5" s="3">
        <f>E5-$B5</f>
        <v>-10293.022919056646</v>
      </c>
      <c r="I5" s="3">
        <f>F5-$C5</f>
        <v>-2496.1146419700672</v>
      </c>
      <c r="J5" s="3">
        <f>G5-$D5</f>
        <v>-298.90506689547328</v>
      </c>
      <c r="K5">
        <v>5267</v>
      </c>
      <c r="L5">
        <v>7920</v>
      </c>
      <c r="M5">
        <v>12195</v>
      </c>
      <c r="N5">
        <v>22836</v>
      </c>
      <c r="O5">
        <v>42875</v>
      </c>
      <c r="P5">
        <v>82018</v>
      </c>
      <c r="Q5">
        <f>K5</f>
        <v>5267</v>
      </c>
      <c r="R5">
        <f>Q5+0.2*(V5-Q5)</f>
        <v>5797.6</v>
      </c>
      <c r="S5">
        <f>Q5+0.4*(V5-Q5)</f>
        <v>6328.2</v>
      </c>
      <c r="T5">
        <f>Q5+0.6*(V5-Q5)</f>
        <v>6858.8</v>
      </c>
      <c r="U5">
        <f>Q5+0.8*(V5-Q5)</f>
        <v>7389.4</v>
      </c>
      <c r="V5">
        <f>L5</f>
        <v>7920</v>
      </c>
      <c r="W5">
        <f>V5+0.2*(AA5-V5)</f>
        <v>8775</v>
      </c>
      <c r="X5">
        <f>V5+0.4*(AA5-V5)</f>
        <v>9630</v>
      </c>
      <c r="Y5">
        <f>V5+0.6*(AA5-V5)</f>
        <v>10485</v>
      </c>
      <c r="Z5">
        <f>V5+0.8*(AA5-V5)</f>
        <v>11340</v>
      </c>
      <c r="AA5">
        <f>M5</f>
        <v>12195</v>
      </c>
      <c r="AB5">
        <f>AA5+0.2*(AF5-AA5)</f>
        <v>14323.2</v>
      </c>
      <c r="AC5">
        <f>AA5+0.4*(AF5-AA5)</f>
        <v>16451.400000000001</v>
      </c>
      <c r="AD5">
        <f>AA5+0.6*(AF5-AA5)</f>
        <v>18579.599999999999</v>
      </c>
      <c r="AE5">
        <f>AA5+0.8*(AF5-AA5)</f>
        <v>20707.800000000003</v>
      </c>
      <c r="AF5">
        <f>N5</f>
        <v>22836</v>
      </c>
      <c r="AG5">
        <f>AF5+0.2*(AK5-AF5)</f>
        <v>26843.8</v>
      </c>
      <c r="AH5">
        <f>AF5+0.4*(AK5-AF5)</f>
        <v>30851.599999999999</v>
      </c>
      <c r="AI5">
        <f>AF5+0.6*(AK5-AF5)</f>
        <v>34859.4</v>
      </c>
      <c r="AJ5">
        <f>AF5+0.8*(AK5-AF5)</f>
        <v>38867.199999999997</v>
      </c>
      <c r="AK5">
        <f>O5</f>
        <v>42875</v>
      </c>
      <c r="AL5">
        <f>AK5+0.2*(AP5-AK5)</f>
        <v>50703.6</v>
      </c>
      <c r="AM5">
        <f>AK5+0.4*(AP5-AK5)</f>
        <v>58532.2</v>
      </c>
      <c r="AN5">
        <f>AK5+0.6*(AP5-AK5)</f>
        <v>66360.800000000003</v>
      </c>
      <c r="AO5">
        <f>AK5+0.8*(AP5-AK5)</f>
        <v>74189.399999999994</v>
      </c>
      <c r="AP5">
        <f>P5</f>
        <v>82018</v>
      </c>
    </row>
    <row r="6" spans="1:42" x14ac:dyDescent="0.25">
      <c r="A6" t="s">
        <v>9</v>
      </c>
      <c r="B6" s="3">
        <v>293793.7861481891</v>
      </c>
      <c r="C6" s="3">
        <f>F$4</f>
        <v>107962.30340464083</v>
      </c>
      <c r="D6" s="3">
        <f>G$4</f>
        <v>48206.370647898213</v>
      </c>
      <c r="E6" s="3">
        <f>NPV(E$3,Q6:AP6)</f>
        <v>278422.99151030829</v>
      </c>
      <c r="F6" s="3">
        <f>NPV(F$3,Q6:AP6)</f>
        <v>103470.97397508268</v>
      </c>
      <c r="G6" s="3">
        <f>NPV(G$3,Q6:AP6)</f>
        <v>46833.881821335468</v>
      </c>
      <c r="H6" s="3">
        <f>E6-$B6</f>
        <v>-15370.794637880812</v>
      </c>
      <c r="I6" s="3">
        <f>F6-$C6</f>
        <v>-4491.3294295581436</v>
      </c>
      <c r="J6" s="3">
        <f>G6-$D6</f>
        <v>-1372.4888265627451</v>
      </c>
      <c r="K6">
        <v>4818</v>
      </c>
      <c r="L6">
        <v>8028</v>
      </c>
      <c r="M6">
        <v>12060</v>
      </c>
      <c r="N6">
        <v>22482</v>
      </c>
      <c r="O6">
        <v>41853</v>
      </c>
      <c r="P6">
        <v>80661</v>
      </c>
      <c r="Q6">
        <f>K6</f>
        <v>4818</v>
      </c>
      <c r="R6">
        <f>Q6+0.2*(V6-Q6)</f>
        <v>5460</v>
      </c>
      <c r="S6">
        <f>Q6+0.4*(V6-Q6)</f>
        <v>6102</v>
      </c>
      <c r="T6">
        <f>Q6+0.6*(V6-Q6)</f>
        <v>6744</v>
      </c>
      <c r="U6">
        <f>Q6+0.8*(V6-Q6)</f>
        <v>7386</v>
      </c>
      <c r="V6">
        <f>L6</f>
        <v>8028</v>
      </c>
      <c r="W6">
        <f>V6+0.2*(AA6-V6)</f>
        <v>8834.4</v>
      </c>
      <c r="X6">
        <f>V6+0.4*(AA6-V6)</f>
        <v>9640.7999999999993</v>
      </c>
      <c r="Y6">
        <f>V6+0.6*(AA6-V6)</f>
        <v>10447.200000000001</v>
      </c>
      <c r="Z6">
        <f>V6+0.8*(AA6-V6)</f>
        <v>11253.6</v>
      </c>
      <c r="AA6">
        <f>M6</f>
        <v>12060</v>
      </c>
      <c r="AB6">
        <f>AA6+0.2*(AF6-AA6)</f>
        <v>14144.4</v>
      </c>
      <c r="AC6">
        <f>AA6+0.4*(AF6-AA6)</f>
        <v>16228.8</v>
      </c>
      <c r="AD6">
        <f>AA6+0.6*(AF6-AA6)</f>
        <v>18313.2</v>
      </c>
      <c r="AE6">
        <f>AA6+0.8*(AF6-AA6)</f>
        <v>20397.599999999999</v>
      </c>
      <c r="AF6">
        <f>N6</f>
        <v>22482</v>
      </c>
      <c r="AG6">
        <f>AF6+0.2*(AK6-AF6)</f>
        <v>26356.2</v>
      </c>
      <c r="AH6">
        <f>AF6+0.4*(AK6-AF6)</f>
        <v>30230.400000000001</v>
      </c>
      <c r="AI6">
        <f>AF6+0.6*(AK6-AF6)</f>
        <v>34104.6</v>
      </c>
      <c r="AJ6">
        <f>AF6+0.8*(AK6-AF6)</f>
        <v>37978.800000000003</v>
      </c>
      <c r="AK6">
        <f>O6</f>
        <v>41853</v>
      </c>
      <c r="AL6">
        <f>AK6+0.2*(AP6-AK6)</f>
        <v>49614.6</v>
      </c>
      <c r="AM6">
        <f>AK6+0.4*(AP6-AK6)</f>
        <v>57376.2</v>
      </c>
      <c r="AN6">
        <f>AK6+0.6*(AP6-AK6)</f>
        <v>65137.8</v>
      </c>
      <c r="AO6">
        <f>AK6+0.8*(AP6-AK6)</f>
        <v>72899.399999999994</v>
      </c>
      <c r="AP6">
        <f>P6</f>
        <v>80661</v>
      </c>
    </row>
    <row r="7" spans="1:42" x14ac:dyDescent="0.25">
      <c r="A7" t="s">
        <v>10</v>
      </c>
      <c r="B7" s="3">
        <v>293793.7861481891</v>
      </c>
      <c r="C7" s="3">
        <f>F$4</f>
        <v>107962.30340464083</v>
      </c>
      <c r="D7" s="3">
        <f>G$4</f>
        <v>48206.370647898213</v>
      </c>
      <c r="E7" s="3">
        <f>NPV(E$3,Q7:AP7)</f>
        <v>273015.36024418875</v>
      </c>
      <c r="F7" s="3">
        <f>NPV(F$3,Q7:AP7)</f>
        <v>102206.04500219243</v>
      </c>
      <c r="G7" s="3">
        <f>NPV(G$3,Q7:AP7)</f>
        <v>46682.096508819894</v>
      </c>
      <c r="H7" s="3">
        <f>E7-$B7</f>
        <v>-20778.425904000353</v>
      </c>
      <c r="I7" s="3">
        <f>F7-$C7</f>
        <v>-5756.2584024483949</v>
      </c>
      <c r="J7" s="3">
        <f>G7-$D7</f>
        <v>-1524.2741390783194</v>
      </c>
      <c r="K7">
        <v>4760</v>
      </c>
      <c r="L7">
        <v>8337</v>
      </c>
      <c r="M7">
        <v>11926</v>
      </c>
      <c r="N7">
        <v>21493</v>
      </c>
      <c r="O7">
        <v>40514</v>
      </c>
      <c r="P7">
        <v>79191</v>
      </c>
      <c r="Q7">
        <f>K7</f>
        <v>4760</v>
      </c>
      <c r="R7">
        <f>Q7+0.2*(V7-Q7)</f>
        <v>5475.4</v>
      </c>
      <c r="S7">
        <f>Q7+0.4*(V7-Q7)</f>
        <v>6190.8</v>
      </c>
      <c r="T7">
        <f>Q7+0.6*(V7-Q7)</f>
        <v>6906.2</v>
      </c>
      <c r="U7">
        <f>Q7+0.8*(V7-Q7)</f>
        <v>7621.6</v>
      </c>
      <c r="V7">
        <f>L7</f>
        <v>8337</v>
      </c>
      <c r="W7">
        <f>V7+0.2*(AA7-V7)</f>
        <v>9054.7999999999993</v>
      </c>
      <c r="X7">
        <f>V7+0.4*(AA7-V7)</f>
        <v>9772.6</v>
      </c>
      <c r="Y7">
        <f>V7+0.6*(AA7-V7)</f>
        <v>10490.4</v>
      </c>
      <c r="Z7">
        <f>V7+0.8*(AA7-V7)</f>
        <v>11208.2</v>
      </c>
      <c r="AA7">
        <f>M7</f>
        <v>11926</v>
      </c>
      <c r="AB7">
        <f>AA7+0.2*(AF7-AA7)</f>
        <v>13839.4</v>
      </c>
      <c r="AC7">
        <f>AA7+0.4*(AF7-AA7)</f>
        <v>15752.8</v>
      </c>
      <c r="AD7">
        <f>AA7+0.6*(AF7-AA7)</f>
        <v>17666.2</v>
      </c>
      <c r="AE7">
        <f>AA7+0.8*(AF7-AA7)</f>
        <v>19579.599999999999</v>
      </c>
      <c r="AF7">
        <f>N7</f>
        <v>21493</v>
      </c>
      <c r="AG7">
        <f>AF7+0.2*(AK7-AF7)</f>
        <v>25297.200000000001</v>
      </c>
      <c r="AH7">
        <f>AF7+0.4*(AK7-AF7)</f>
        <v>29101.4</v>
      </c>
      <c r="AI7">
        <f>AF7+0.6*(AK7-AF7)</f>
        <v>32905.599999999999</v>
      </c>
      <c r="AJ7">
        <f>AF7+0.8*(AK7-AF7)</f>
        <v>36709.800000000003</v>
      </c>
      <c r="AK7">
        <f>O7</f>
        <v>40514</v>
      </c>
      <c r="AL7">
        <f>AK7+0.2*(AP7-AK7)</f>
        <v>48249.4</v>
      </c>
      <c r="AM7">
        <f>AK7+0.4*(AP7-AK7)</f>
        <v>55984.800000000003</v>
      </c>
      <c r="AN7">
        <f>AK7+0.6*(AP7-AK7)</f>
        <v>63720.2</v>
      </c>
      <c r="AO7">
        <f>AK7+0.8*(AP7-AK7)</f>
        <v>71455.600000000006</v>
      </c>
      <c r="AP7">
        <f>P7</f>
        <v>79191</v>
      </c>
    </row>
    <row r="8" spans="1:42" x14ac:dyDescent="0.25">
      <c r="A8" t="s">
        <v>11</v>
      </c>
      <c r="B8" s="3">
        <v>293793.7861481891</v>
      </c>
      <c r="C8" s="3">
        <f>F$4</f>
        <v>107962.30340464083</v>
      </c>
      <c r="D8" s="3">
        <f>G$4</f>
        <v>48206.370647898213</v>
      </c>
      <c r="E8" s="3">
        <f>NPV(E$3,Q8:AP8)</f>
        <v>250266.65281942984</v>
      </c>
      <c r="F8" s="3">
        <f>NPV(F$3,Q8:AP8)</f>
        <v>96546.343351654796</v>
      </c>
      <c r="G8" s="3">
        <f>NPV(G$3,Q8:AP8)</f>
        <v>45658.881940529427</v>
      </c>
      <c r="H8" s="3">
        <f>E8-$B8</f>
        <v>-43527.133328759257</v>
      </c>
      <c r="I8" s="3">
        <f>F8-$C8</f>
        <v>-11415.960052986033</v>
      </c>
      <c r="J8" s="3">
        <f>G8-$D8</f>
        <v>-2547.488707368786</v>
      </c>
      <c r="K8">
        <v>4760</v>
      </c>
      <c r="L8">
        <v>8958</v>
      </c>
      <c r="M8">
        <v>11438</v>
      </c>
      <c r="N8">
        <v>18388</v>
      </c>
      <c r="O8">
        <v>35071</v>
      </c>
      <c r="P8">
        <v>71784</v>
      </c>
      <c r="Q8">
        <f>K8</f>
        <v>4760</v>
      </c>
      <c r="R8">
        <f>Q8+0.2*(V8-Q8)</f>
        <v>5599.6</v>
      </c>
      <c r="S8">
        <f>Q8+0.4*(V8-Q8)</f>
        <v>6439.2</v>
      </c>
      <c r="T8">
        <f>Q8+0.6*(V8-Q8)</f>
        <v>7278.7999999999993</v>
      </c>
      <c r="U8">
        <f>Q8+0.8*(V8-Q8)</f>
        <v>8118.4</v>
      </c>
      <c r="V8">
        <f>L8</f>
        <v>8958</v>
      </c>
      <c r="W8">
        <f>V8+0.2*(AA8-V8)</f>
        <v>9454</v>
      </c>
      <c r="X8">
        <f>V8+0.4*(AA8-V8)</f>
        <v>9950</v>
      </c>
      <c r="Y8">
        <f>V8+0.6*(AA8-V8)</f>
        <v>10446</v>
      </c>
      <c r="Z8">
        <f>V8+0.8*(AA8-V8)</f>
        <v>10942</v>
      </c>
      <c r="AA8">
        <f>M8</f>
        <v>11438</v>
      </c>
      <c r="AB8">
        <f>AA8+0.2*(AF8-AA8)</f>
        <v>12828</v>
      </c>
      <c r="AC8">
        <f>AA8+0.4*(AF8-AA8)</f>
        <v>14218</v>
      </c>
      <c r="AD8">
        <f>AA8+0.6*(AF8-AA8)</f>
        <v>15608</v>
      </c>
      <c r="AE8">
        <f>AA8+0.8*(AF8-AA8)</f>
        <v>16998</v>
      </c>
      <c r="AF8">
        <f>N8</f>
        <v>18388</v>
      </c>
      <c r="AG8">
        <f>AF8+0.2*(AK8-AF8)</f>
        <v>21724.6</v>
      </c>
      <c r="AH8">
        <f>AF8+0.4*(AK8-AF8)</f>
        <v>25061.200000000001</v>
      </c>
      <c r="AI8">
        <f>AF8+0.6*(AK8-AF8)</f>
        <v>28397.8</v>
      </c>
      <c r="AJ8">
        <f>AF8+0.8*(AK8-AF8)</f>
        <v>31734.400000000001</v>
      </c>
      <c r="AK8">
        <f>O8</f>
        <v>35071</v>
      </c>
      <c r="AL8">
        <f>AK8+0.2*(AP8-AK8)</f>
        <v>42413.599999999999</v>
      </c>
      <c r="AM8">
        <f>AK8+0.4*(AP8-AK8)</f>
        <v>49756.2</v>
      </c>
      <c r="AN8">
        <f>AK8+0.6*(AP8-AK8)</f>
        <v>57098.8</v>
      </c>
      <c r="AO8">
        <f>AK8+0.8*(AP8-AK8)</f>
        <v>64441.4</v>
      </c>
      <c r="AP8">
        <f>P8</f>
        <v>71784</v>
      </c>
    </row>
    <row r="9" spans="1:42" x14ac:dyDescent="0.25">
      <c r="A9" t="s">
        <v>12</v>
      </c>
      <c r="B9" s="3">
        <v>293793.7861481891</v>
      </c>
      <c r="C9" s="3">
        <f>F$4</f>
        <v>107962.30340464083</v>
      </c>
      <c r="D9" s="3">
        <f>G$4</f>
        <v>48206.370647898213</v>
      </c>
      <c r="E9" s="3">
        <f>NPV(E$3,Q9:AP9)</f>
        <v>270466.23569492984</v>
      </c>
      <c r="F9" s="3">
        <f>NPV(F$3,Q9:AP9)</f>
        <v>101432.6987637945</v>
      </c>
      <c r="G9" s="3">
        <f>NPV(G$3,Q9:AP9)</f>
        <v>46457.31850836378</v>
      </c>
      <c r="H9" s="3">
        <f>E9-$B9</f>
        <v>-23327.55045325926</v>
      </c>
      <c r="I9" s="3">
        <f>F9-$C9</f>
        <v>-6529.6046408463299</v>
      </c>
      <c r="J9" s="3">
        <f>G9-$D9</f>
        <v>-1749.0521395344331</v>
      </c>
      <c r="K9">
        <v>4983</v>
      </c>
      <c r="L9">
        <v>8056</v>
      </c>
      <c r="M9">
        <v>11752</v>
      </c>
      <c r="N9">
        <v>21662</v>
      </c>
      <c r="O9">
        <v>40115</v>
      </c>
      <c r="P9">
        <v>77803</v>
      </c>
      <c r="Q9">
        <f>K9</f>
        <v>4983</v>
      </c>
      <c r="R9">
        <f>Q9+0.2*(V9-Q9)</f>
        <v>5597.6</v>
      </c>
      <c r="S9">
        <f>Q9+0.4*(V9-Q9)</f>
        <v>6212.2</v>
      </c>
      <c r="T9">
        <f>Q9+0.6*(V9-Q9)</f>
        <v>6826.8</v>
      </c>
      <c r="U9">
        <f>Q9+0.8*(V9-Q9)</f>
        <v>7441.4</v>
      </c>
      <c r="V9">
        <f>L9</f>
        <v>8056</v>
      </c>
      <c r="W9">
        <f>V9+0.2*(AA9-V9)</f>
        <v>8795.2000000000007</v>
      </c>
      <c r="X9">
        <f>V9+0.4*(AA9-V9)</f>
        <v>9534.4</v>
      </c>
      <c r="Y9">
        <f>V9+0.6*(AA9-V9)</f>
        <v>10273.6</v>
      </c>
      <c r="Z9">
        <f>V9+0.8*(AA9-V9)</f>
        <v>11012.8</v>
      </c>
      <c r="AA9">
        <f>M9</f>
        <v>11752</v>
      </c>
      <c r="AB9">
        <f>AA9+0.2*(AF9-AA9)</f>
        <v>13734</v>
      </c>
      <c r="AC9">
        <f>AA9+0.4*(AF9-AA9)</f>
        <v>15716</v>
      </c>
      <c r="AD9">
        <f>AA9+0.6*(AF9-AA9)</f>
        <v>17698</v>
      </c>
      <c r="AE9">
        <f>AA9+0.8*(AF9-AA9)</f>
        <v>19680</v>
      </c>
      <c r="AF9">
        <f>N9</f>
        <v>21662</v>
      </c>
      <c r="AG9">
        <f>AF9+0.2*(AK9-AF9)</f>
        <v>25352.6</v>
      </c>
      <c r="AH9">
        <f>AF9+0.4*(AK9-AF9)</f>
        <v>29043.200000000001</v>
      </c>
      <c r="AI9">
        <f>AF9+0.6*(AK9-AF9)</f>
        <v>32733.8</v>
      </c>
      <c r="AJ9">
        <f>AF9+0.8*(AK9-AF9)</f>
        <v>36424.400000000001</v>
      </c>
      <c r="AK9">
        <f>O9</f>
        <v>40115</v>
      </c>
      <c r="AL9">
        <f>AK9+0.2*(AP9-AK9)</f>
        <v>47652.6</v>
      </c>
      <c r="AM9">
        <f>AK9+0.4*(AP9-AK9)</f>
        <v>55190.2</v>
      </c>
      <c r="AN9">
        <f>AK9+0.6*(AP9-AK9)</f>
        <v>62727.8</v>
      </c>
      <c r="AO9">
        <f>AK9+0.8*(AP9-AK9)</f>
        <v>70265.399999999994</v>
      </c>
      <c r="AP9">
        <f>P9</f>
        <v>77803</v>
      </c>
    </row>
    <row r="10" spans="1:42" x14ac:dyDescent="0.25">
      <c r="A10" t="s">
        <v>13</v>
      </c>
      <c r="B10" s="3">
        <v>293793.7861481891</v>
      </c>
      <c r="C10" s="3">
        <f>F$4</f>
        <v>107962.30340464083</v>
      </c>
      <c r="D10" s="3">
        <f>G$4</f>
        <v>48206.370647898213</v>
      </c>
      <c r="E10" s="3">
        <f>NPV(E$3,Q10:AP10)</f>
        <v>279143.13634098368</v>
      </c>
      <c r="F10" s="3">
        <f>NPV(F$3,Q10:AP10)</f>
        <v>99723.990035120369</v>
      </c>
      <c r="G10" s="3">
        <f>NPV(G$3,Q10:AP10)</f>
        <v>43216.211753049742</v>
      </c>
      <c r="H10" s="3">
        <f>E10-$B10</f>
        <v>-14650.649807205424</v>
      </c>
      <c r="I10" s="3">
        <f>F10-$C10</f>
        <v>-8238.3133695204597</v>
      </c>
      <c r="J10" s="3">
        <f>G10-$D10</f>
        <v>-4990.1588948484714</v>
      </c>
      <c r="K10">
        <v>4760</v>
      </c>
      <c r="L10">
        <v>5946</v>
      </c>
      <c r="M10">
        <v>11328</v>
      </c>
      <c r="N10">
        <v>23590</v>
      </c>
      <c r="O10">
        <v>44255</v>
      </c>
      <c r="P10">
        <v>85039</v>
      </c>
      <c r="Q10">
        <f>K10</f>
        <v>4760</v>
      </c>
      <c r="R10">
        <f>Q10+0.2*(V10-Q10)</f>
        <v>4997.2</v>
      </c>
      <c r="S10">
        <f>Q10+0.4*(V10-Q10)</f>
        <v>5234.3999999999996</v>
      </c>
      <c r="T10">
        <f>Q10+0.6*(V10-Q10)</f>
        <v>5471.6</v>
      </c>
      <c r="U10">
        <f>Q10+0.8*(V10-Q10)</f>
        <v>5708.8</v>
      </c>
      <c r="V10">
        <f>L10</f>
        <v>5946</v>
      </c>
      <c r="W10">
        <f>V10+0.2*(AA10-V10)</f>
        <v>7022.4</v>
      </c>
      <c r="X10">
        <f>V10+0.4*(AA10-V10)</f>
        <v>8098.8</v>
      </c>
      <c r="Y10">
        <f>V10+0.6*(AA10-V10)</f>
        <v>9175.2000000000007</v>
      </c>
      <c r="Z10">
        <f>V10+0.8*(AA10-V10)</f>
        <v>10251.6</v>
      </c>
      <c r="AA10">
        <f>M10</f>
        <v>11328</v>
      </c>
      <c r="AB10">
        <f>AA10+0.2*(AF10-AA10)</f>
        <v>13780.4</v>
      </c>
      <c r="AC10">
        <f>AA10+0.4*(AF10-AA10)</f>
        <v>16232.8</v>
      </c>
      <c r="AD10">
        <f>AA10+0.6*(AF10-AA10)</f>
        <v>18685.2</v>
      </c>
      <c r="AE10">
        <f>AA10+0.8*(AF10-AA10)</f>
        <v>21137.599999999999</v>
      </c>
      <c r="AF10">
        <f>N10</f>
        <v>23590</v>
      </c>
      <c r="AG10">
        <f>AF10+0.2*(AK10-AF10)</f>
        <v>27723</v>
      </c>
      <c r="AH10">
        <f>AF10+0.4*(AK10-AF10)</f>
        <v>31856</v>
      </c>
      <c r="AI10">
        <f>AF10+0.6*(AK10-AF10)</f>
        <v>35989</v>
      </c>
      <c r="AJ10">
        <f>AF10+0.8*(AK10-AF10)</f>
        <v>40122</v>
      </c>
      <c r="AK10">
        <f>O10</f>
        <v>44255</v>
      </c>
      <c r="AL10">
        <f>AK10+0.2*(AP10-AK10)</f>
        <v>52411.8</v>
      </c>
      <c r="AM10">
        <f>AK10+0.4*(AP10-AK10)</f>
        <v>60568.6</v>
      </c>
      <c r="AN10">
        <f>AK10+0.6*(AP10-AK10)</f>
        <v>68725.399999999994</v>
      </c>
      <c r="AO10">
        <f>AK10+0.8*(AP10-AK10)</f>
        <v>76882.2</v>
      </c>
      <c r="AP10">
        <f>P10</f>
        <v>85039</v>
      </c>
    </row>
    <row r="11" spans="1:42" x14ac:dyDescent="0.25">
      <c r="A11" t="s">
        <v>14</v>
      </c>
      <c r="B11" s="3">
        <v>293793.7861481891</v>
      </c>
      <c r="C11" s="3">
        <f>F$4</f>
        <v>107962.30340464083</v>
      </c>
      <c r="D11" s="3">
        <f>G$4</f>
        <v>48206.370647898213</v>
      </c>
      <c r="E11" s="3">
        <f>NPV(E$3,Q11:AP11)</f>
        <v>282990.15824733779</v>
      </c>
      <c r="F11" s="3">
        <f>NPV(F$3,Q11:AP11)</f>
        <v>102012.71801712934</v>
      </c>
      <c r="G11" s="3">
        <f>NPV(G$3,Q11:AP11)</f>
        <v>44592.323792587478</v>
      </c>
      <c r="H11" s="3">
        <f>E11-$B11</f>
        <v>-10803.627900851308</v>
      </c>
      <c r="I11" s="3">
        <f>F11-$C11</f>
        <v>-5949.5853875114844</v>
      </c>
      <c r="J11" s="3">
        <f>G11-$D11</f>
        <v>-3614.0468553107348</v>
      </c>
      <c r="K11">
        <v>4760</v>
      </c>
      <c r="L11">
        <v>6445</v>
      </c>
      <c r="M11">
        <v>12001</v>
      </c>
      <c r="N11">
        <v>23589</v>
      </c>
      <c r="O11">
        <v>44254</v>
      </c>
      <c r="P11">
        <v>85043</v>
      </c>
      <c r="Q11">
        <f>K11</f>
        <v>4760</v>
      </c>
      <c r="R11">
        <f>Q11+0.2*(V11-Q11)</f>
        <v>5097</v>
      </c>
      <c r="S11">
        <f>Q11+0.4*(V11-Q11)</f>
        <v>5434</v>
      </c>
      <c r="T11">
        <f>Q11+0.6*(V11-Q11)</f>
        <v>5771</v>
      </c>
      <c r="U11">
        <f>Q11+0.8*(V11-Q11)</f>
        <v>6108</v>
      </c>
      <c r="V11">
        <f>L11</f>
        <v>6445</v>
      </c>
      <c r="W11">
        <f>V11+0.2*(AA11-V11)</f>
        <v>7556.2</v>
      </c>
      <c r="X11">
        <f>V11+0.4*(AA11-V11)</f>
        <v>8667.4</v>
      </c>
      <c r="Y11">
        <f>V11+0.6*(AA11-V11)</f>
        <v>9778.6</v>
      </c>
      <c r="Z11">
        <f>V11+0.8*(AA11-V11)</f>
        <v>10889.8</v>
      </c>
      <c r="AA11">
        <f>M11</f>
        <v>12001</v>
      </c>
      <c r="AB11">
        <f>AA11+0.2*(AF11-AA11)</f>
        <v>14318.6</v>
      </c>
      <c r="AC11">
        <f>AA11+0.4*(AF11-AA11)</f>
        <v>16636.2</v>
      </c>
      <c r="AD11">
        <f>AA11+0.6*(AF11-AA11)</f>
        <v>18953.8</v>
      </c>
      <c r="AE11">
        <f>AA11+0.8*(AF11-AA11)</f>
        <v>21271.4</v>
      </c>
      <c r="AF11">
        <f>N11</f>
        <v>23589</v>
      </c>
      <c r="AG11">
        <f>AF11+0.2*(AK11-AF11)</f>
        <v>27722</v>
      </c>
      <c r="AH11">
        <f>AF11+0.4*(AK11-AF11)</f>
        <v>31855</v>
      </c>
      <c r="AI11">
        <f>AF11+0.6*(AK11-AF11)</f>
        <v>35988</v>
      </c>
      <c r="AJ11">
        <f>AF11+0.8*(AK11-AF11)</f>
        <v>40121</v>
      </c>
      <c r="AK11">
        <f>O11</f>
        <v>44254</v>
      </c>
      <c r="AL11">
        <f>AK11+0.2*(AP11-AK11)</f>
        <v>52411.8</v>
      </c>
      <c r="AM11">
        <f>AK11+0.4*(AP11-AK11)</f>
        <v>60569.599999999999</v>
      </c>
      <c r="AN11">
        <f>AK11+0.6*(AP11-AK11)</f>
        <v>68727.399999999994</v>
      </c>
      <c r="AO11">
        <f>AK11+0.8*(AP11-AK11)</f>
        <v>76885.2</v>
      </c>
      <c r="AP11">
        <f>P11</f>
        <v>85043</v>
      </c>
    </row>
    <row r="12" spans="1:42" x14ac:dyDescent="0.25">
      <c r="A12" t="s">
        <v>15</v>
      </c>
      <c r="B12" s="3">
        <v>293793.7861481891</v>
      </c>
      <c r="C12" s="3">
        <f>F$4</f>
        <v>107962.30340464083</v>
      </c>
      <c r="D12" s="3">
        <f>G$4</f>
        <v>48206.370647898213</v>
      </c>
      <c r="E12" s="3">
        <f>NPV(E$3,Q12:AP12)</f>
        <v>321808.78207936714</v>
      </c>
      <c r="F12" s="3">
        <f>NPV(F$3,Q12:AP12)</f>
        <v>128333.24482235417</v>
      </c>
      <c r="G12" s="3">
        <f>NPV(G$3,Q12:AP12)</f>
        <v>62937.437432503284</v>
      </c>
      <c r="H12" s="3">
        <f>E12-$B12</f>
        <v>28014.99593117804</v>
      </c>
      <c r="I12" s="3">
        <f>F12-$C12</f>
        <v>20370.941417713344</v>
      </c>
      <c r="J12" s="3">
        <f>G12-$D12</f>
        <v>14731.066784605071</v>
      </c>
      <c r="K12">
        <v>8076</v>
      </c>
      <c r="L12">
        <v>11446</v>
      </c>
      <c r="M12">
        <v>15809</v>
      </c>
      <c r="N12">
        <v>23586</v>
      </c>
      <c r="O12">
        <v>44253</v>
      </c>
      <c r="P12">
        <v>85043</v>
      </c>
      <c r="Q12">
        <f>K12</f>
        <v>8076</v>
      </c>
      <c r="R12">
        <f>Q12+0.2*(V12-Q12)</f>
        <v>8750</v>
      </c>
      <c r="S12">
        <f>Q12+0.4*(V12-Q12)</f>
        <v>9424</v>
      </c>
      <c r="T12">
        <f>Q12+0.6*(V12-Q12)</f>
        <v>10098</v>
      </c>
      <c r="U12">
        <f>Q12+0.8*(V12-Q12)</f>
        <v>10772</v>
      </c>
      <c r="V12">
        <f>L12</f>
        <v>11446</v>
      </c>
      <c r="W12">
        <f>V12+0.2*(AA12-V12)</f>
        <v>12318.6</v>
      </c>
      <c r="X12">
        <f>V12+0.4*(AA12-V12)</f>
        <v>13191.2</v>
      </c>
      <c r="Y12">
        <f>V12+0.6*(AA12-V12)</f>
        <v>14063.8</v>
      </c>
      <c r="Z12">
        <f>V12+0.8*(AA12-V12)</f>
        <v>14936.4</v>
      </c>
      <c r="AA12">
        <f>M12</f>
        <v>15809</v>
      </c>
      <c r="AB12">
        <f>AA12+0.2*(AF12-AA12)</f>
        <v>17364.400000000001</v>
      </c>
      <c r="AC12">
        <f>AA12+0.4*(AF12-AA12)</f>
        <v>18919.8</v>
      </c>
      <c r="AD12">
        <f>AA12+0.6*(AF12-AA12)</f>
        <v>20475.2</v>
      </c>
      <c r="AE12">
        <f>AA12+0.8*(AF12-AA12)</f>
        <v>22030.6</v>
      </c>
      <c r="AF12">
        <f>N12</f>
        <v>23586</v>
      </c>
      <c r="AG12">
        <f>AF12+0.2*(AK12-AF12)</f>
        <v>27719.4</v>
      </c>
      <c r="AH12">
        <f>AF12+0.4*(AK12-AF12)</f>
        <v>31852.800000000003</v>
      </c>
      <c r="AI12">
        <f>AF12+0.6*(AK12-AF12)</f>
        <v>35986.199999999997</v>
      </c>
      <c r="AJ12">
        <f>AF12+0.8*(AK12-AF12)</f>
        <v>40119.600000000006</v>
      </c>
      <c r="AK12">
        <f>O12</f>
        <v>44253</v>
      </c>
      <c r="AL12">
        <f>AK12+0.2*(AP12-AK12)</f>
        <v>52411</v>
      </c>
      <c r="AM12">
        <f>AK12+0.4*(AP12-AK12)</f>
        <v>60569</v>
      </c>
      <c r="AN12">
        <f>AK12+0.6*(AP12-AK12)</f>
        <v>68727</v>
      </c>
      <c r="AO12">
        <f>AK12+0.8*(AP12-AK12)</f>
        <v>76885</v>
      </c>
      <c r="AP12">
        <f>P12</f>
        <v>85043</v>
      </c>
    </row>
    <row r="13" spans="1:42" x14ac:dyDescent="0.25">
      <c r="A13" t="s">
        <v>16</v>
      </c>
      <c r="B13" s="3">
        <v>293793.7861481891</v>
      </c>
      <c r="C13" s="3">
        <f>F$4</f>
        <v>107962.30340464083</v>
      </c>
      <c r="D13" s="3">
        <f>G$4</f>
        <v>48206.370647898213</v>
      </c>
      <c r="E13" s="3">
        <f>NPV(E$3,Q13:AP13)</f>
        <v>821566.15491002449</v>
      </c>
      <c r="F13" s="3">
        <f>NPV(F$3,Q13:AP13)</f>
        <v>311513.58129351662</v>
      </c>
      <c r="G13" s="3">
        <f>NPV(G$3,Q13:AP13)</f>
        <v>137409.07322006184</v>
      </c>
      <c r="H13" s="3">
        <f>E13-$B13</f>
        <v>527772.36876183539</v>
      </c>
      <c r="I13" s="3">
        <f>F13-$C13</f>
        <v>203551.2778888758</v>
      </c>
      <c r="J13" s="3">
        <f>G13-$D13</f>
        <v>89202.702572163631</v>
      </c>
      <c r="K13">
        <v>4760</v>
      </c>
      <c r="L13">
        <v>28271</v>
      </c>
      <c r="M13">
        <v>48540</v>
      </c>
      <c r="N13">
        <v>75930</v>
      </c>
      <c r="O13">
        <v>121659</v>
      </c>
      <c r="P13">
        <v>184122</v>
      </c>
      <c r="Q13">
        <f>K13</f>
        <v>4760</v>
      </c>
      <c r="R13">
        <f>Q13+0.2*(V13-Q13)</f>
        <v>9462.2000000000007</v>
      </c>
      <c r="S13">
        <f>Q13+0.4*(V13-Q13)</f>
        <v>14164.4</v>
      </c>
      <c r="T13">
        <f>Q13+0.6*(V13-Q13)</f>
        <v>18866.599999999999</v>
      </c>
      <c r="U13">
        <f>Q13+0.8*(V13-Q13)</f>
        <v>23568.799999999999</v>
      </c>
      <c r="V13">
        <f>L13</f>
        <v>28271</v>
      </c>
      <c r="W13">
        <f>V13+0.2*(AA13-V13)</f>
        <v>32324.799999999999</v>
      </c>
      <c r="X13">
        <f>V13+0.4*(AA13-V13)</f>
        <v>36378.6</v>
      </c>
      <c r="Y13">
        <f>V13+0.6*(AA13-V13)</f>
        <v>40432.400000000001</v>
      </c>
      <c r="Z13">
        <f>V13+0.8*(AA13-V13)</f>
        <v>44486.2</v>
      </c>
      <c r="AA13">
        <f>M13</f>
        <v>48540</v>
      </c>
      <c r="AB13">
        <f>AA13+0.2*(AF13-AA13)</f>
        <v>54018</v>
      </c>
      <c r="AC13">
        <f>AA13+0.4*(AF13-AA13)</f>
        <v>59496</v>
      </c>
      <c r="AD13">
        <f>AA13+0.6*(AF13-AA13)</f>
        <v>64974</v>
      </c>
      <c r="AE13">
        <f>AA13+0.8*(AF13-AA13)</f>
        <v>70452</v>
      </c>
      <c r="AF13">
        <f>N13</f>
        <v>75930</v>
      </c>
      <c r="AG13">
        <f>AF13+0.2*(AK13-AF13)</f>
        <v>85075.8</v>
      </c>
      <c r="AH13">
        <f>AF13+0.4*(AK13-AF13)</f>
        <v>94221.6</v>
      </c>
      <c r="AI13">
        <f>AF13+0.6*(AK13-AF13)</f>
        <v>103367.4</v>
      </c>
      <c r="AJ13">
        <f>AF13+0.8*(AK13-AF13)</f>
        <v>112513.20000000001</v>
      </c>
      <c r="AK13">
        <f>O13</f>
        <v>121659</v>
      </c>
      <c r="AL13">
        <f>AK13+0.2*(AP13-AK13)</f>
        <v>134151.6</v>
      </c>
      <c r="AM13">
        <f>AK13+0.4*(AP13-AK13)</f>
        <v>146644.20000000001</v>
      </c>
      <c r="AN13">
        <f>AK13+0.6*(AP13-AK13)</f>
        <v>159136.79999999999</v>
      </c>
      <c r="AO13">
        <f>AK13+0.8*(AP13-AK13)</f>
        <v>171629.4</v>
      </c>
      <c r="AP13">
        <f>P13</f>
        <v>184122</v>
      </c>
    </row>
    <row r="14" spans="1:42" x14ac:dyDescent="0.25">
      <c r="A14" t="s">
        <v>17</v>
      </c>
      <c r="B14" s="3">
        <v>293793.7861481891</v>
      </c>
      <c r="C14" s="3">
        <f>F$4</f>
        <v>107962.30340464083</v>
      </c>
      <c r="D14" s="3">
        <f>G$4</f>
        <v>48206.370647898213</v>
      </c>
      <c r="E14" s="3">
        <f>NPV(E$3,Q14:AP14)</f>
        <v>302851.14557689353</v>
      </c>
      <c r="F14" s="3">
        <f>NPV(F$3,Q14:AP14)</f>
        <v>114260.76535691098</v>
      </c>
      <c r="G14" s="3">
        <f>NPV(G$3,Q14:AP14)</f>
        <v>52223.175487545093</v>
      </c>
      <c r="H14" s="3">
        <f>E14-$B14</f>
        <v>9057.3594287044252</v>
      </c>
      <c r="I14" s="3">
        <f>F14-$C14</f>
        <v>6298.4619522701541</v>
      </c>
      <c r="J14" s="3">
        <f>G14-$D14</f>
        <v>4016.8048396468803</v>
      </c>
      <c r="K14">
        <v>4778</v>
      </c>
      <c r="L14">
        <v>9596</v>
      </c>
      <c r="M14">
        <v>14725</v>
      </c>
      <c r="N14">
        <v>23590</v>
      </c>
      <c r="O14">
        <v>44254</v>
      </c>
      <c r="P14">
        <v>85039</v>
      </c>
      <c r="Q14">
        <f>K14</f>
        <v>4778</v>
      </c>
      <c r="R14">
        <f>Q14+0.2*(V14-Q14)</f>
        <v>5741.6</v>
      </c>
      <c r="S14">
        <f>Q14+0.4*(V14-Q14)</f>
        <v>6705.2</v>
      </c>
      <c r="T14">
        <f>Q14+0.6*(V14-Q14)</f>
        <v>7668.7999999999993</v>
      </c>
      <c r="U14">
        <f>Q14+0.8*(V14-Q14)</f>
        <v>8632.4</v>
      </c>
      <c r="V14">
        <f>L14</f>
        <v>9596</v>
      </c>
      <c r="W14">
        <f>V14+0.2*(AA14-V14)</f>
        <v>10621.8</v>
      </c>
      <c r="X14">
        <f>V14+0.4*(AA14-V14)</f>
        <v>11647.6</v>
      </c>
      <c r="Y14">
        <f>V14+0.6*(AA14-V14)</f>
        <v>12673.4</v>
      </c>
      <c r="Z14">
        <f>V14+0.8*(AA14-V14)</f>
        <v>13699.2</v>
      </c>
      <c r="AA14">
        <f>M14</f>
        <v>14725</v>
      </c>
      <c r="AB14">
        <f>AA14+0.2*(AF14-AA14)</f>
        <v>16498</v>
      </c>
      <c r="AC14">
        <f>AA14+0.4*(AF14-AA14)</f>
        <v>18271</v>
      </c>
      <c r="AD14">
        <f>AA14+0.6*(AF14-AA14)</f>
        <v>20044</v>
      </c>
      <c r="AE14">
        <f>AA14+0.8*(AF14-AA14)</f>
        <v>21817</v>
      </c>
      <c r="AF14">
        <f>N14</f>
        <v>23590</v>
      </c>
      <c r="AG14">
        <f>AF14+0.2*(AK14-AF14)</f>
        <v>27722.799999999999</v>
      </c>
      <c r="AH14">
        <f>AF14+0.4*(AK14-AF14)</f>
        <v>31855.599999999999</v>
      </c>
      <c r="AI14">
        <f>AF14+0.6*(AK14-AF14)</f>
        <v>35988.400000000001</v>
      </c>
      <c r="AJ14">
        <f>AF14+0.8*(AK14-AF14)</f>
        <v>40121.199999999997</v>
      </c>
      <c r="AK14">
        <f>O14</f>
        <v>44254</v>
      </c>
      <c r="AL14">
        <f>AK14+0.2*(AP14-AK14)</f>
        <v>52411</v>
      </c>
      <c r="AM14">
        <f>AK14+0.4*(AP14-AK14)</f>
        <v>60568</v>
      </c>
      <c r="AN14">
        <f>AK14+0.6*(AP14-AK14)</f>
        <v>68725</v>
      </c>
      <c r="AO14">
        <f>AK14+0.8*(AP14-AK14)</f>
        <v>76882</v>
      </c>
      <c r="AP14">
        <f>P14</f>
        <v>85039</v>
      </c>
    </row>
  </sheetData>
  <autoFilter ref="A3:AP3" xr:uid="{E1B4DBF1-F2D7-44F8-977D-1BE3C41C10B1}"/>
  <mergeCells count="5">
    <mergeCell ref="K2:P2"/>
    <mergeCell ref="E2:G2"/>
    <mergeCell ref="H2:J2"/>
    <mergeCell ref="Q2:AP2"/>
    <mergeCell ref="B2:D2"/>
  </mergeCells>
  <conditionalFormatting sqref="H4:J14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25FA5-7769-47FF-9EA0-8E472D7D4015}">
  <dimension ref="A1:AP13"/>
  <sheetViews>
    <sheetView workbookViewId="0">
      <selection activeCell="D17" sqref="D17"/>
    </sheetView>
  </sheetViews>
  <sheetFormatPr defaultRowHeight="15" x14ac:dyDescent="0.25"/>
  <cols>
    <col min="1" max="1" width="27.85546875" bestFit="1" customWidth="1"/>
    <col min="2" max="3" width="11.85546875" bestFit="1" customWidth="1"/>
    <col min="4" max="4" width="10.85546875" bestFit="1" customWidth="1"/>
    <col min="5" max="5" width="13.5703125" bestFit="1" customWidth="1"/>
    <col min="6" max="9" width="11.85546875" bestFit="1" customWidth="1"/>
    <col min="10" max="10" width="10.85546875" bestFit="1" customWidth="1"/>
  </cols>
  <sheetData>
    <row r="1" spans="1:42" x14ac:dyDescent="0.25">
      <c r="A1" s="1" t="s">
        <v>0</v>
      </c>
      <c r="B1" s="1"/>
      <c r="C1" s="1"/>
    </row>
    <row r="2" spans="1:42" x14ac:dyDescent="0.25">
      <c r="B2" s="4" t="s">
        <v>4</v>
      </c>
      <c r="C2" s="4"/>
      <c r="D2" s="4"/>
      <c r="E2" s="4" t="s">
        <v>5</v>
      </c>
      <c r="F2" s="4"/>
      <c r="G2" s="4"/>
      <c r="H2" s="4" t="s">
        <v>6</v>
      </c>
      <c r="I2" s="4"/>
      <c r="J2" s="4"/>
      <c r="K2" s="4" t="s">
        <v>3</v>
      </c>
      <c r="L2" s="4"/>
      <c r="M2" s="4"/>
      <c r="N2" s="4"/>
      <c r="O2" s="4"/>
      <c r="P2" s="4"/>
      <c r="Q2" s="4" t="s">
        <v>2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25">
      <c r="A3" t="s">
        <v>1</v>
      </c>
      <c r="B3" s="2">
        <v>0.05</v>
      </c>
      <c r="C3" s="2">
        <v>0.12</v>
      </c>
      <c r="D3" s="2">
        <v>0.2</v>
      </c>
      <c r="E3" s="2">
        <v>0.05</v>
      </c>
      <c r="F3" s="2">
        <v>0.12</v>
      </c>
      <c r="G3" s="2">
        <v>0.2</v>
      </c>
      <c r="H3" s="2">
        <v>0.05</v>
      </c>
      <c r="I3" s="2">
        <v>0.12</v>
      </c>
      <c r="J3" s="2">
        <v>0.2</v>
      </c>
      <c r="K3">
        <v>2025</v>
      </c>
      <c r="L3">
        <v>2030</v>
      </c>
      <c r="M3">
        <v>2035</v>
      </c>
      <c r="N3">
        <v>2040</v>
      </c>
      <c r="O3">
        <v>2045</v>
      </c>
      <c r="P3">
        <v>2050</v>
      </c>
      <c r="Q3">
        <v>2025</v>
      </c>
      <c r="R3">
        <v>2026</v>
      </c>
      <c r="S3">
        <v>2027</v>
      </c>
      <c r="T3">
        <v>2028</v>
      </c>
      <c r="U3">
        <v>2029</v>
      </c>
      <c r="V3">
        <v>2030</v>
      </c>
      <c r="W3">
        <v>2031</v>
      </c>
      <c r="X3">
        <v>2032</v>
      </c>
      <c r="Y3">
        <v>2033</v>
      </c>
      <c r="Z3">
        <v>2034</v>
      </c>
      <c r="AA3">
        <v>2035</v>
      </c>
      <c r="AB3">
        <v>2036</v>
      </c>
      <c r="AC3">
        <v>2037</v>
      </c>
      <c r="AD3">
        <v>2038</v>
      </c>
      <c r="AE3">
        <v>2039</v>
      </c>
      <c r="AF3">
        <v>2040</v>
      </c>
      <c r="AG3">
        <v>2041</v>
      </c>
      <c r="AH3">
        <v>2042</v>
      </c>
      <c r="AI3">
        <v>2043</v>
      </c>
      <c r="AJ3">
        <v>2044</v>
      </c>
      <c r="AK3">
        <v>2045</v>
      </c>
      <c r="AL3">
        <v>2046</v>
      </c>
      <c r="AM3">
        <v>2047</v>
      </c>
      <c r="AN3">
        <v>2048</v>
      </c>
      <c r="AO3">
        <v>2049</v>
      </c>
      <c r="AP3">
        <v>2050</v>
      </c>
    </row>
    <row r="4" spans="1:42" x14ac:dyDescent="0.25">
      <c r="A4" t="s">
        <v>18</v>
      </c>
      <c r="B4" s="3">
        <f t="shared" ref="B4:B13" si="0">E$4</f>
        <v>709776.91212891659</v>
      </c>
      <c r="C4" s="3">
        <f t="shared" ref="C4:C13" si="1">F$4</f>
        <v>219041.54431546232</v>
      </c>
      <c r="D4" s="3">
        <f t="shared" ref="D4:D13" si="2">G$4</f>
        <v>79692.853169511349</v>
      </c>
      <c r="E4" s="3">
        <f>NPV(Low!E$3,Q4:AP4)</f>
        <v>709776.91212891659</v>
      </c>
      <c r="F4" s="3">
        <f>NPV(Low!F$3,Q4:AP4)</f>
        <v>219041.54431546232</v>
      </c>
      <c r="G4" s="3">
        <f>NPV(Low!G$3,Q4:AP4)</f>
        <v>79692.853169511349</v>
      </c>
      <c r="H4" s="3">
        <f t="shared" ref="H4:H13" si="3">E4-$B4</f>
        <v>0</v>
      </c>
      <c r="I4" s="3">
        <f t="shared" ref="I4:I13" si="4">F4-$C4</f>
        <v>0</v>
      </c>
      <c r="J4" s="3">
        <f t="shared" ref="J4:J13" si="5">G4-$D4</f>
        <v>0</v>
      </c>
      <c r="K4">
        <v>4773</v>
      </c>
      <c r="L4">
        <v>10152</v>
      </c>
      <c r="M4">
        <v>19707</v>
      </c>
      <c r="N4">
        <v>46855</v>
      </c>
      <c r="O4">
        <v>115249</v>
      </c>
      <c r="P4">
        <v>316331</v>
      </c>
      <c r="Q4">
        <f t="shared" ref="Q4:Q13" si="6">K4</f>
        <v>4773</v>
      </c>
      <c r="R4">
        <f t="shared" ref="R4:R13" si="7">Q4+0.2*(V4-Q4)</f>
        <v>5848.8</v>
      </c>
      <c r="S4">
        <f t="shared" ref="S4:S13" si="8">Q4+0.4*(V4-Q4)</f>
        <v>6924.6</v>
      </c>
      <c r="T4">
        <f t="shared" ref="T4:T13" si="9">Q4+0.6*(V4-Q4)</f>
        <v>8000.4</v>
      </c>
      <c r="U4">
        <f t="shared" ref="U4:U13" si="10">Q4+0.8*(V4-Q4)</f>
        <v>9076.2000000000007</v>
      </c>
      <c r="V4">
        <f t="shared" ref="V4:V13" si="11">L4</f>
        <v>10152</v>
      </c>
      <c r="W4">
        <f t="shared" ref="W4:W13" si="12">V4+0.2*(AA4-V4)</f>
        <v>12063</v>
      </c>
      <c r="X4">
        <f t="shared" ref="X4:X13" si="13">V4+0.4*(AA4-V4)</f>
        <v>13974</v>
      </c>
      <c r="Y4">
        <f t="shared" ref="Y4:Y13" si="14">V4+0.6*(AA4-V4)</f>
        <v>15885</v>
      </c>
      <c r="Z4">
        <f t="shared" ref="Z4:Z13" si="15">V4+0.8*(AA4-V4)</f>
        <v>17796</v>
      </c>
      <c r="AA4">
        <f t="shared" ref="AA4:AA13" si="16">M4</f>
        <v>19707</v>
      </c>
      <c r="AB4">
        <f t="shared" ref="AB4:AB13" si="17">AA4+0.2*(AF4-AA4)</f>
        <v>25136.6</v>
      </c>
      <c r="AC4">
        <f t="shared" ref="AC4:AC13" si="18">AA4+0.4*(AF4-AA4)</f>
        <v>30566.2</v>
      </c>
      <c r="AD4">
        <f t="shared" ref="AD4:AD13" si="19">AA4+0.6*(AF4-AA4)</f>
        <v>35995.800000000003</v>
      </c>
      <c r="AE4">
        <f t="shared" ref="AE4:AE13" si="20">AA4+0.8*(AF4-AA4)</f>
        <v>41425.4</v>
      </c>
      <c r="AF4">
        <f t="shared" ref="AF4:AF13" si="21">N4</f>
        <v>46855</v>
      </c>
      <c r="AG4">
        <f t="shared" ref="AG4:AG13" si="22">AF4+0.2*(AK4-AF4)</f>
        <v>60533.8</v>
      </c>
      <c r="AH4">
        <f t="shared" ref="AH4:AH13" si="23">AF4+0.4*(AK4-AF4)</f>
        <v>74212.600000000006</v>
      </c>
      <c r="AI4">
        <f t="shared" ref="AI4:AI13" si="24">AF4+0.6*(AK4-AF4)</f>
        <v>87891.4</v>
      </c>
      <c r="AJ4">
        <f t="shared" ref="AJ4:AJ13" si="25">AF4+0.8*(AK4-AF4)</f>
        <v>101570.20000000001</v>
      </c>
      <c r="AK4">
        <f t="shared" ref="AK4:AK13" si="26">O4</f>
        <v>115249</v>
      </c>
      <c r="AL4">
        <f t="shared" ref="AL4:AL13" si="27">AK4+0.2*(AP4-AK4)</f>
        <v>155465.4</v>
      </c>
      <c r="AM4">
        <f t="shared" ref="AM4:AM13" si="28">AK4+0.4*(AP4-AK4)</f>
        <v>195681.8</v>
      </c>
      <c r="AN4">
        <f t="shared" ref="AN4:AN13" si="29">AK4+0.6*(AP4-AK4)</f>
        <v>235898.2</v>
      </c>
      <c r="AO4">
        <f t="shared" ref="AO4:AO13" si="30">AK4+0.8*(AP4-AK4)</f>
        <v>276114.59999999998</v>
      </c>
      <c r="AP4">
        <f t="shared" ref="AP4:AP13" si="31">P4</f>
        <v>316331</v>
      </c>
    </row>
    <row r="5" spans="1:42" x14ac:dyDescent="0.25">
      <c r="A5" t="s">
        <v>19</v>
      </c>
      <c r="B5" s="3">
        <f t="shared" si="0"/>
        <v>709776.91212891659</v>
      </c>
      <c r="C5" s="3">
        <f t="shared" si="1"/>
        <v>219041.54431546232</v>
      </c>
      <c r="D5" s="3">
        <f t="shared" si="2"/>
        <v>79692.853169511349</v>
      </c>
      <c r="E5" s="3">
        <f>NPV(Low!E$3,Q5:AP5)</f>
        <v>669833.87711968913</v>
      </c>
      <c r="F5" s="3">
        <f>NPV(Low!F$3,Q5:AP5)</f>
        <v>209253.70682841452</v>
      </c>
      <c r="G5" s="3">
        <f>NPV(Low!G$3,Q5:AP5)</f>
        <v>77596.349178421689</v>
      </c>
      <c r="H5" s="3">
        <f t="shared" si="3"/>
        <v>-39943.03500922746</v>
      </c>
      <c r="I5" s="3">
        <f t="shared" si="4"/>
        <v>-9787.8374870478001</v>
      </c>
      <c r="J5" s="3">
        <f t="shared" si="5"/>
        <v>-2096.5039910896594</v>
      </c>
      <c r="K5">
        <v>5267</v>
      </c>
      <c r="L5">
        <v>9921</v>
      </c>
      <c r="M5">
        <v>19069</v>
      </c>
      <c r="N5">
        <v>44735</v>
      </c>
      <c r="O5">
        <v>108417</v>
      </c>
      <c r="P5">
        <v>292688</v>
      </c>
      <c r="Q5">
        <f t="shared" si="6"/>
        <v>5267</v>
      </c>
      <c r="R5">
        <f t="shared" si="7"/>
        <v>6197.8</v>
      </c>
      <c r="S5">
        <f t="shared" si="8"/>
        <v>7128.6</v>
      </c>
      <c r="T5">
        <f t="shared" si="9"/>
        <v>8059.4</v>
      </c>
      <c r="U5">
        <f t="shared" si="10"/>
        <v>8990.2000000000007</v>
      </c>
      <c r="V5">
        <f t="shared" si="11"/>
        <v>9921</v>
      </c>
      <c r="W5">
        <f t="shared" si="12"/>
        <v>11750.6</v>
      </c>
      <c r="X5">
        <f t="shared" si="13"/>
        <v>13580.2</v>
      </c>
      <c r="Y5">
        <f t="shared" si="14"/>
        <v>15409.8</v>
      </c>
      <c r="Z5">
        <f t="shared" si="15"/>
        <v>17239.400000000001</v>
      </c>
      <c r="AA5">
        <f t="shared" si="16"/>
        <v>19069</v>
      </c>
      <c r="AB5">
        <f t="shared" si="17"/>
        <v>24202.2</v>
      </c>
      <c r="AC5">
        <f t="shared" si="18"/>
        <v>29335.4</v>
      </c>
      <c r="AD5">
        <f t="shared" si="19"/>
        <v>34468.6</v>
      </c>
      <c r="AE5">
        <f t="shared" si="20"/>
        <v>39601.800000000003</v>
      </c>
      <c r="AF5">
        <f t="shared" si="21"/>
        <v>44735</v>
      </c>
      <c r="AG5">
        <f t="shared" si="22"/>
        <v>57471.4</v>
      </c>
      <c r="AH5">
        <f t="shared" si="23"/>
        <v>70207.8</v>
      </c>
      <c r="AI5">
        <f t="shared" si="24"/>
        <v>82944.2</v>
      </c>
      <c r="AJ5">
        <f t="shared" si="25"/>
        <v>95680.6</v>
      </c>
      <c r="AK5">
        <f t="shared" si="26"/>
        <v>108417</v>
      </c>
      <c r="AL5">
        <f t="shared" si="27"/>
        <v>145271.20000000001</v>
      </c>
      <c r="AM5">
        <f t="shared" si="28"/>
        <v>182125.40000000002</v>
      </c>
      <c r="AN5">
        <f t="shared" si="29"/>
        <v>218979.59999999998</v>
      </c>
      <c r="AO5">
        <f t="shared" si="30"/>
        <v>255833.80000000002</v>
      </c>
      <c r="AP5">
        <f t="shared" si="31"/>
        <v>292688</v>
      </c>
    </row>
    <row r="6" spans="1:42" x14ac:dyDescent="0.25">
      <c r="A6" t="s">
        <v>20</v>
      </c>
      <c r="B6" s="3">
        <f t="shared" si="0"/>
        <v>709776.91212891659</v>
      </c>
      <c r="C6" s="3">
        <f t="shared" si="1"/>
        <v>219041.54431546232</v>
      </c>
      <c r="D6" s="3">
        <f t="shared" si="2"/>
        <v>79692.853169511349</v>
      </c>
      <c r="E6" s="3">
        <f>NPV(Low!E$3,Q6:AP6)</f>
        <v>671431.14266356512</v>
      </c>
      <c r="F6" s="3">
        <f>NPV(Low!F$3,Q6:AP6)</f>
        <v>208574.58097099949</v>
      </c>
      <c r="G6" s="3">
        <f>NPV(Low!G$3,Q6:AP6)</f>
        <v>76722.386938542259</v>
      </c>
      <c r="H6" s="3">
        <f t="shared" si="3"/>
        <v>-38345.769465351477</v>
      </c>
      <c r="I6" s="3">
        <f t="shared" si="4"/>
        <v>-10466.963344462827</v>
      </c>
      <c r="J6" s="3">
        <f t="shared" si="5"/>
        <v>-2970.4662309690902</v>
      </c>
      <c r="K6">
        <v>4818</v>
      </c>
      <c r="L6">
        <v>10026</v>
      </c>
      <c r="M6">
        <v>18845</v>
      </c>
      <c r="N6">
        <v>44141</v>
      </c>
      <c r="O6">
        <v>108509</v>
      </c>
      <c r="P6">
        <v>297418</v>
      </c>
      <c r="Q6">
        <f t="shared" si="6"/>
        <v>4818</v>
      </c>
      <c r="R6">
        <f t="shared" si="7"/>
        <v>5859.6</v>
      </c>
      <c r="S6">
        <f t="shared" si="8"/>
        <v>6901.2000000000007</v>
      </c>
      <c r="T6">
        <f t="shared" si="9"/>
        <v>7942.7999999999993</v>
      </c>
      <c r="U6">
        <f t="shared" si="10"/>
        <v>8984.4000000000015</v>
      </c>
      <c r="V6">
        <f t="shared" si="11"/>
        <v>10026</v>
      </c>
      <c r="W6">
        <f t="shared" si="12"/>
        <v>11789.8</v>
      </c>
      <c r="X6">
        <f t="shared" si="13"/>
        <v>13553.6</v>
      </c>
      <c r="Y6">
        <f t="shared" si="14"/>
        <v>15317.4</v>
      </c>
      <c r="Z6">
        <f t="shared" si="15"/>
        <v>17081.2</v>
      </c>
      <c r="AA6">
        <f t="shared" si="16"/>
        <v>18845</v>
      </c>
      <c r="AB6">
        <f t="shared" si="17"/>
        <v>23904.2</v>
      </c>
      <c r="AC6">
        <f t="shared" si="18"/>
        <v>28963.4</v>
      </c>
      <c r="AD6">
        <f t="shared" si="19"/>
        <v>34022.6</v>
      </c>
      <c r="AE6">
        <f t="shared" si="20"/>
        <v>39081.800000000003</v>
      </c>
      <c r="AF6">
        <f t="shared" si="21"/>
        <v>44141</v>
      </c>
      <c r="AG6">
        <f t="shared" si="22"/>
        <v>57014.6</v>
      </c>
      <c r="AH6">
        <f t="shared" si="23"/>
        <v>69888.2</v>
      </c>
      <c r="AI6">
        <f t="shared" si="24"/>
        <v>82761.799999999988</v>
      </c>
      <c r="AJ6">
        <f t="shared" si="25"/>
        <v>95635.4</v>
      </c>
      <c r="AK6">
        <f t="shared" si="26"/>
        <v>108509</v>
      </c>
      <c r="AL6">
        <f t="shared" si="27"/>
        <v>146290.79999999999</v>
      </c>
      <c r="AM6">
        <f t="shared" si="28"/>
        <v>184072.6</v>
      </c>
      <c r="AN6">
        <f t="shared" si="29"/>
        <v>221854.4</v>
      </c>
      <c r="AO6">
        <f t="shared" si="30"/>
        <v>259636.2</v>
      </c>
      <c r="AP6">
        <f t="shared" si="31"/>
        <v>297418</v>
      </c>
    </row>
    <row r="7" spans="1:42" x14ac:dyDescent="0.25">
      <c r="A7" t="s">
        <v>21</v>
      </c>
      <c r="B7" s="3">
        <f t="shared" si="0"/>
        <v>709776.91212891659</v>
      </c>
      <c r="C7" s="3">
        <f t="shared" si="1"/>
        <v>219041.54431546232</v>
      </c>
      <c r="D7" s="3">
        <f t="shared" si="2"/>
        <v>79692.853169511349</v>
      </c>
      <c r="E7" s="3">
        <f>NPV(Low!E$3,Q7:AP7)</f>
        <v>660081.35238457972</v>
      </c>
      <c r="F7" s="3">
        <f>NPV(Low!F$3,Q7:AP7)</f>
        <v>205412.25551962425</v>
      </c>
      <c r="G7" s="3">
        <f>NPV(Low!G$3,Q7:AP7)</f>
        <v>75916.94206260475</v>
      </c>
      <c r="H7" s="3">
        <f t="shared" si="3"/>
        <v>-49695.559744336875</v>
      </c>
      <c r="I7" s="3">
        <f t="shared" si="4"/>
        <v>-13629.288795838074</v>
      </c>
      <c r="J7" s="3">
        <f t="shared" si="5"/>
        <v>-3775.9111069065984</v>
      </c>
      <c r="K7">
        <v>4760</v>
      </c>
      <c r="L7">
        <v>10303</v>
      </c>
      <c r="M7">
        <v>18381</v>
      </c>
      <c r="N7">
        <v>42482</v>
      </c>
      <c r="O7">
        <v>106335</v>
      </c>
      <c r="P7">
        <v>293947</v>
      </c>
      <c r="Q7">
        <f t="shared" si="6"/>
        <v>4760</v>
      </c>
      <c r="R7">
        <f t="shared" si="7"/>
        <v>5868.6</v>
      </c>
      <c r="S7">
        <f t="shared" si="8"/>
        <v>6977.2000000000007</v>
      </c>
      <c r="T7">
        <f t="shared" si="9"/>
        <v>8085.7999999999993</v>
      </c>
      <c r="U7">
        <f t="shared" si="10"/>
        <v>9194.4000000000015</v>
      </c>
      <c r="V7">
        <f t="shared" si="11"/>
        <v>10303</v>
      </c>
      <c r="W7">
        <f t="shared" si="12"/>
        <v>11918.6</v>
      </c>
      <c r="X7">
        <f t="shared" si="13"/>
        <v>13534.2</v>
      </c>
      <c r="Y7">
        <f t="shared" si="14"/>
        <v>15149.8</v>
      </c>
      <c r="Z7">
        <f t="shared" si="15"/>
        <v>16765.400000000001</v>
      </c>
      <c r="AA7">
        <f t="shared" si="16"/>
        <v>18381</v>
      </c>
      <c r="AB7">
        <f t="shared" si="17"/>
        <v>23201.200000000001</v>
      </c>
      <c r="AC7">
        <f t="shared" si="18"/>
        <v>28021.4</v>
      </c>
      <c r="AD7">
        <f t="shared" si="19"/>
        <v>32841.599999999999</v>
      </c>
      <c r="AE7">
        <f t="shared" si="20"/>
        <v>37661.800000000003</v>
      </c>
      <c r="AF7">
        <f t="shared" si="21"/>
        <v>42482</v>
      </c>
      <c r="AG7">
        <f t="shared" si="22"/>
        <v>55252.6</v>
      </c>
      <c r="AH7">
        <f t="shared" si="23"/>
        <v>68023.199999999997</v>
      </c>
      <c r="AI7">
        <f t="shared" si="24"/>
        <v>80793.799999999988</v>
      </c>
      <c r="AJ7">
        <f t="shared" si="25"/>
        <v>93564.4</v>
      </c>
      <c r="AK7">
        <f t="shared" si="26"/>
        <v>106335</v>
      </c>
      <c r="AL7">
        <f t="shared" si="27"/>
        <v>143857.4</v>
      </c>
      <c r="AM7">
        <f t="shared" si="28"/>
        <v>181379.8</v>
      </c>
      <c r="AN7">
        <f t="shared" si="29"/>
        <v>218902.2</v>
      </c>
      <c r="AO7">
        <f t="shared" si="30"/>
        <v>256424.6</v>
      </c>
      <c r="AP7">
        <f t="shared" si="31"/>
        <v>293947</v>
      </c>
    </row>
    <row r="8" spans="1:42" x14ac:dyDescent="0.25">
      <c r="A8" t="s">
        <v>22</v>
      </c>
      <c r="B8" s="3">
        <f t="shared" si="0"/>
        <v>709776.91212891659</v>
      </c>
      <c r="C8" s="3">
        <f t="shared" si="1"/>
        <v>219041.54431546232</v>
      </c>
      <c r="D8" s="3">
        <f t="shared" si="2"/>
        <v>79692.853169511349</v>
      </c>
      <c r="E8" s="3">
        <f>NPV(Low!E$3,Q8:AP8)</f>
        <v>610393.41138717486</v>
      </c>
      <c r="F8" s="3">
        <f>NPV(Low!F$3,Q8:AP8)</f>
        <v>191841.31092022394</v>
      </c>
      <c r="G8" s="3">
        <f>NPV(Low!G$3,Q8:AP8)</f>
        <v>72371.19339976694</v>
      </c>
      <c r="H8" s="3">
        <f t="shared" si="3"/>
        <v>-99383.500741741736</v>
      </c>
      <c r="I8" s="3">
        <f t="shared" si="4"/>
        <v>-27200.233395238378</v>
      </c>
      <c r="J8" s="3">
        <f t="shared" si="5"/>
        <v>-7321.6597697444085</v>
      </c>
      <c r="K8">
        <v>4760</v>
      </c>
      <c r="L8">
        <v>10778</v>
      </c>
      <c r="M8">
        <v>16890</v>
      </c>
      <c r="N8">
        <v>37005</v>
      </c>
      <c r="O8">
        <v>97298</v>
      </c>
      <c r="P8">
        <v>273786</v>
      </c>
      <c r="Q8">
        <f t="shared" si="6"/>
        <v>4760</v>
      </c>
      <c r="R8">
        <f t="shared" si="7"/>
        <v>5963.6</v>
      </c>
      <c r="S8">
        <f t="shared" si="8"/>
        <v>7167.2000000000007</v>
      </c>
      <c r="T8">
        <f t="shared" si="9"/>
        <v>8370.7999999999993</v>
      </c>
      <c r="U8">
        <f t="shared" si="10"/>
        <v>9574.4000000000015</v>
      </c>
      <c r="V8">
        <f t="shared" si="11"/>
        <v>10778</v>
      </c>
      <c r="W8">
        <f t="shared" si="12"/>
        <v>12000.4</v>
      </c>
      <c r="X8">
        <f t="shared" si="13"/>
        <v>13222.8</v>
      </c>
      <c r="Y8">
        <f t="shared" si="14"/>
        <v>14445.2</v>
      </c>
      <c r="Z8">
        <f t="shared" si="15"/>
        <v>15667.6</v>
      </c>
      <c r="AA8">
        <f t="shared" si="16"/>
        <v>16890</v>
      </c>
      <c r="AB8">
        <f t="shared" si="17"/>
        <v>20913</v>
      </c>
      <c r="AC8">
        <f t="shared" si="18"/>
        <v>24936</v>
      </c>
      <c r="AD8">
        <f t="shared" si="19"/>
        <v>28959</v>
      </c>
      <c r="AE8">
        <f t="shared" si="20"/>
        <v>32982</v>
      </c>
      <c r="AF8">
        <f t="shared" si="21"/>
        <v>37005</v>
      </c>
      <c r="AG8">
        <f t="shared" si="22"/>
        <v>49063.6</v>
      </c>
      <c r="AH8">
        <f t="shared" si="23"/>
        <v>61122.2</v>
      </c>
      <c r="AI8">
        <f t="shared" si="24"/>
        <v>73180.799999999988</v>
      </c>
      <c r="AJ8">
        <f t="shared" si="25"/>
        <v>85239.4</v>
      </c>
      <c r="AK8">
        <f t="shared" si="26"/>
        <v>97298</v>
      </c>
      <c r="AL8">
        <f t="shared" si="27"/>
        <v>132595.6</v>
      </c>
      <c r="AM8">
        <f t="shared" si="28"/>
        <v>167893.2</v>
      </c>
      <c r="AN8">
        <f t="shared" si="29"/>
        <v>203190.8</v>
      </c>
      <c r="AO8">
        <f t="shared" si="30"/>
        <v>238488.4</v>
      </c>
      <c r="AP8">
        <f t="shared" si="31"/>
        <v>273786</v>
      </c>
    </row>
    <row r="9" spans="1:42" x14ac:dyDescent="0.25">
      <c r="A9" t="s">
        <v>23</v>
      </c>
      <c r="B9" s="3">
        <f t="shared" si="0"/>
        <v>709776.91212891659</v>
      </c>
      <c r="C9" s="3">
        <f t="shared" si="1"/>
        <v>219041.54431546232</v>
      </c>
      <c r="D9" s="3">
        <f t="shared" si="2"/>
        <v>79692.853169511349</v>
      </c>
      <c r="E9" s="3">
        <f>NPV(Low!E$3,Q9:AP9)</f>
        <v>653793.26372496597</v>
      </c>
      <c r="F9" s="3">
        <f>NPV(Low!F$3,Q9:AP9)</f>
        <v>203771.48782098692</v>
      </c>
      <c r="G9" s="3">
        <f>NPV(Low!G$3,Q9:AP9)</f>
        <v>75499.851497461423</v>
      </c>
      <c r="H9" s="3">
        <f t="shared" si="3"/>
        <v>-55983.648403950618</v>
      </c>
      <c r="I9" s="3">
        <f t="shared" si="4"/>
        <v>-15270.056494475401</v>
      </c>
      <c r="J9" s="3">
        <f t="shared" si="5"/>
        <v>-4193.0016720499261</v>
      </c>
      <c r="K9">
        <v>4983</v>
      </c>
      <c r="L9">
        <v>10012</v>
      </c>
      <c r="M9">
        <v>18246</v>
      </c>
      <c r="N9">
        <v>42519</v>
      </c>
      <c r="O9">
        <v>105290</v>
      </c>
      <c r="P9">
        <v>289957</v>
      </c>
      <c r="Q9">
        <f t="shared" si="6"/>
        <v>4983</v>
      </c>
      <c r="R9">
        <f t="shared" si="7"/>
        <v>5988.8</v>
      </c>
      <c r="S9">
        <f t="shared" si="8"/>
        <v>6994.6</v>
      </c>
      <c r="T9">
        <f t="shared" si="9"/>
        <v>8000.4</v>
      </c>
      <c r="U9">
        <f t="shared" si="10"/>
        <v>9006.2000000000007</v>
      </c>
      <c r="V9">
        <f t="shared" si="11"/>
        <v>10012</v>
      </c>
      <c r="W9">
        <f t="shared" si="12"/>
        <v>11658.8</v>
      </c>
      <c r="X9">
        <f t="shared" si="13"/>
        <v>13305.6</v>
      </c>
      <c r="Y9">
        <f t="shared" si="14"/>
        <v>14952.4</v>
      </c>
      <c r="Z9">
        <f t="shared" si="15"/>
        <v>16599.2</v>
      </c>
      <c r="AA9">
        <f t="shared" si="16"/>
        <v>18246</v>
      </c>
      <c r="AB9">
        <f t="shared" si="17"/>
        <v>23100.6</v>
      </c>
      <c r="AC9">
        <f t="shared" si="18"/>
        <v>27955.200000000001</v>
      </c>
      <c r="AD9">
        <f t="shared" si="19"/>
        <v>32809.800000000003</v>
      </c>
      <c r="AE9">
        <f t="shared" si="20"/>
        <v>37664.400000000001</v>
      </c>
      <c r="AF9">
        <f t="shared" si="21"/>
        <v>42519</v>
      </c>
      <c r="AG9">
        <f t="shared" si="22"/>
        <v>55073.2</v>
      </c>
      <c r="AH9">
        <f t="shared" si="23"/>
        <v>67627.399999999994</v>
      </c>
      <c r="AI9">
        <f t="shared" si="24"/>
        <v>80181.600000000006</v>
      </c>
      <c r="AJ9">
        <f t="shared" si="25"/>
        <v>92735.8</v>
      </c>
      <c r="AK9">
        <f t="shared" si="26"/>
        <v>105290</v>
      </c>
      <c r="AL9">
        <f t="shared" si="27"/>
        <v>142223.4</v>
      </c>
      <c r="AM9">
        <f t="shared" si="28"/>
        <v>179156.8</v>
      </c>
      <c r="AN9">
        <f t="shared" si="29"/>
        <v>216090.2</v>
      </c>
      <c r="AO9">
        <f t="shared" si="30"/>
        <v>253023.6</v>
      </c>
      <c r="AP9">
        <f t="shared" si="31"/>
        <v>289957</v>
      </c>
    </row>
    <row r="10" spans="1:42" x14ac:dyDescent="0.25">
      <c r="A10" t="s">
        <v>24</v>
      </c>
      <c r="B10" s="3">
        <f t="shared" si="0"/>
        <v>709776.91212891659</v>
      </c>
      <c r="C10" s="3">
        <f t="shared" si="1"/>
        <v>219041.54431546232</v>
      </c>
      <c r="D10" s="3">
        <f t="shared" si="2"/>
        <v>79692.853169511349</v>
      </c>
      <c r="E10" s="3">
        <f>NPV(Low!E$3,Q10:AP10)</f>
        <v>681911.24412630848</v>
      </c>
      <c r="F10" s="3">
        <f>NPV(Low!F$3,Q10:AP10)</f>
        <v>206410.49019170052</v>
      </c>
      <c r="G10" s="3">
        <f>NPV(Low!G$3,Q10:AP10)</f>
        <v>72905.393296508759</v>
      </c>
      <c r="H10" s="3">
        <f t="shared" si="3"/>
        <v>-27865.668002608116</v>
      </c>
      <c r="I10" s="3">
        <f t="shared" si="4"/>
        <v>-12631.054123761802</v>
      </c>
      <c r="J10" s="3">
        <f t="shared" si="5"/>
        <v>-6787.45987300259</v>
      </c>
      <c r="K10">
        <v>4760</v>
      </c>
      <c r="L10">
        <v>7497</v>
      </c>
      <c r="M10">
        <v>17858</v>
      </c>
      <c r="N10">
        <v>46325</v>
      </c>
      <c r="O10">
        <v>113086</v>
      </c>
      <c r="P10">
        <v>308210</v>
      </c>
      <c r="Q10">
        <f t="shared" si="6"/>
        <v>4760</v>
      </c>
      <c r="R10">
        <f t="shared" si="7"/>
        <v>5307.4</v>
      </c>
      <c r="S10">
        <f t="shared" si="8"/>
        <v>5854.8</v>
      </c>
      <c r="T10">
        <f t="shared" si="9"/>
        <v>6402.2</v>
      </c>
      <c r="U10">
        <f t="shared" si="10"/>
        <v>6949.6</v>
      </c>
      <c r="V10">
        <f t="shared" si="11"/>
        <v>7497</v>
      </c>
      <c r="W10">
        <f t="shared" si="12"/>
        <v>9569.2000000000007</v>
      </c>
      <c r="X10">
        <f t="shared" si="13"/>
        <v>11641.400000000001</v>
      </c>
      <c r="Y10">
        <f t="shared" si="14"/>
        <v>13713.599999999999</v>
      </c>
      <c r="Z10">
        <f t="shared" si="15"/>
        <v>15785.800000000001</v>
      </c>
      <c r="AA10">
        <f t="shared" si="16"/>
        <v>17858</v>
      </c>
      <c r="AB10">
        <f t="shared" si="17"/>
        <v>23551.4</v>
      </c>
      <c r="AC10">
        <f t="shared" si="18"/>
        <v>29244.800000000003</v>
      </c>
      <c r="AD10">
        <f t="shared" si="19"/>
        <v>34938.199999999997</v>
      </c>
      <c r="AE10">
        <f t="shared" si="20"/>
        <v>40631.600000000006</v>
      </c>
      <c r="AF10">
        <f t="shared" si="21"/>
        <v>46325</v>
      </c>
      <c r="AG10">
        <f t="shared" si="22"/>
        <v>59677.2</v>
      </c>
      <c r="AH10">
        <f t="shared" si="23"/>
        <v>73029.399999999994</v>
      </c>
      <c r="AI10">
        <f t="shared" si="24"/>
        <v>86381.6</v>
      </c>
      <c r="AJ10">
        <f t="shared" si="25"/>
        <v>99733.8</v>
      </c>
      <c r="AK10">
        <f t="shared" si="26"/>
        <v>113086</v>
      </c>
      <c r="AL10">
        <f t="shared" si="27"/>
        <v>152110.79999999999</v>
      </c>
      <c r="AM10">
        <f t="shared" si="28"/>
        <v>191135.6</v>
      </c>
      <c r="AN10">
        <f t="shared" si="29"/>
        <v>230160.4</v>
      </c>
      <c r="AO10">
        <f t="shared" si="30"/>
        <v>269185.2</v>
      </c>
      <c r="AP10">
        <f t="shared" si="31"/>
        <v>308210</v>
      </c>
    </row>
    <row r="11" spans="1:42" x14ac:dyDescent="0.25">
      <c r="A11" t="s">
        <v>25</v>
      </c>
      <c r="B11" s="3">
        <f t="shared" si="0"/>
        <v>709776.91212891659</v>
      </c>
      <c r="C11" s="3">
        <f t="shared" si="1"/>
        <v>219041.54431546232</v>
      </c>
      <c r="D11" s="3">
        <f t="shared" si="2"/>
        <v>79692.853169511349</v>
      </c>
      <c r="E11" s="3">
        <f>NPV(Low!E$3,Q11:AP11)</f>
        <v>734009.41550491587</v>
      </c>
      <c r="F11" s="3">
        <f>NPV(Low!F$3,Q11:AP11)</f>
        <v>241223.14058155214</v>
      </c>
      <c r="G11" s="3">
        <f>NPV(Low!G$3,Q11:AP11)</f>
        <v>96722.886654337548</v>
      </c>
      <c r="H11" s="3">
        <f t="shared" si="3"/>
        <v>24232.50337599928</v>
      </c>
      <c r="I11" s="3">
        <f t="shared" si="4"/>
        <v>22181.596266089822</v>
      </c>
      <c r="J11" s="3">
        <f t="shared" si="5"/>
        <v>17030.033484826199</v>
      </c>
      <c r="K11">
        <v>8076</v>
      </c>
      <c r="L11">
        <v>15052</v>
      </c>
      <c r="M11">
        <v>22929</v>
      </c>
      <c r="N11">
        <v>46303</v>
      </c>
      <c r="O11">
        <v>113085</v>
      </c>
      <c r="P11">
        <v>308253</v>
      </c>
      <c r="Q11">
        <f t="shared" si="6"/>
        <v>8076</v>
      </c>
      <c r="R11">
        <f t="shared" si="7"/>
        <v>9471.2000000000007</v>
      </c>
      <c r="S11">
        <f t="shared" si="8"/>
        <v>10866.4</v>
      </c>
      <c r="T11">
        <f t="shared" si="9"/>
        <v>12261.599999999999</v>
      </c>
      <c r="U11">
        <f t="shared" si="10"/>
        <v>13656.8</v>
      </c>
      <c r="V11">
        <f t="shared" si="11"/>
        <v>15052</v>
      </c>
      <c r="W11">
        <f t="shared" si="12"/>
        <v>16627.400000000001</v>
      </c>
      <c r="X11">
        <f t="shared" si="13"/>
        <v>18202.8</v>
      </c>
      <c r="Y11">
        <f t="shared" si="14"/>
        <v>19778.2</v>
      </c>
      <c r="Z11">
        <f t="shared" si="15"/>
        <v>21353.599999999999</v>
      </c>
      <c r="AA11">
        <f t="shared" si="16"/>
        <v>22929</v>
      </c>
      <c r="AB11">
        <f t="shared" si="17"/>
        <v>27603.8</v>
      </c>
      <c r="AC11">
        <f t="shared" si="18"/>
        <v>32278.6</v>
      </c>
      <c r="AD11">
        <f t="shared" si="19"/>
        <v>36953.4</v>
      </c>
      <c r="AE11">
        <f t="shared" si="20"/>
        <v>41628.199999999997</v>
      </c>
      <c r="AF11">
        <f t="shared" si="21"/>
        <v>46303</v>
      </c>
      <c r="AG11">
        <f t="shared" si="22"/>
        <v>59659.4</v>
      </c>
      <c r="AH11">
        <f t="shared" si="23"/>
        <v>73015.8</v>
      </c>
      <c r="AI11">
        <f t="shared" si="24"/>
        <v>86372.2</v>
      </c>
      <c r="AJ11">
        <f t="shared" si="25"/>
        <v>99728.6</v>
      </c>
      <c r="AK11">
        <f t="shared" si="26"/>
        <v>113085</v>
      </c>
      <c r="AL11">
        <f t="shared" si="27"/>
        <v>152118.6</v>
      </c>
      <c r="AM11">
        <f t="shared" si="28"/>
        <v>191152.2</v>
      </c>
      <c r="AN11">
        <f t="shared" si="29"/>
        <v>230185.8</v>
      </c>
      <c r="AO11">
        <f t="shared" si="30"/>
        <v>269219.40000000002</v>
      </c>
      <c r="AP11">
        <f t="shared" si="31"/>
        <v>308253</v>
      </c>
    </row>
    <row r="12" spans="1:42" x14ac:dyDescent="0.25">
      <c r="A12" t="s">
        <v>26</v>
      </c>
      <c r="B12" s="3">
        <f t="shared" si="0"/>
        <v>709776.91212891659</v>
      </c>
      <c r="C12" s="3">
        <f t="shared" si="1"/>
        <v>219041.54431546232</v>
      </c>
      <c r="D12" s="3">
        <f t="shared" si="2"/>
        <v>79692.853169511349</v>
      </c>
      <c r="E12" s="3">
        <f>NPV(Low!E$3,Q12:AP12)</f>
        <v>1278873.774874843</v>
      </c>
      <c r="F12" s="3">
        <f>NPV(Low!F$3,Q12:AP12)</f>
        <v>434102.83066392638</v>
      </c>
      <c r="G12" s="3">
        <f>NPV(Low!G$3,Q12:AP12)</f>
        <v>172113.39439421654</v>
      </c>
      <c r="H12" s="3">
        <f t="shared" si="3"/>
        <v>569096.86274592637</v>
      </c>
      <c r="I12" s="3">
        <f t="shared" si="4"/>
        <v>215061.28634846405</v>
      </c>
      <c r="J12" s="3">
        <f t="shared" si="5"/>
        <v>92420.541224705186</v>
      </c>
      <c r="K12">
        <v>4760</v>
      </c>
      <c r="L12">
        <v>30320</v>
      </c>
      <c r="M12">
        <v>56240</v>
      </c>
      <c r="N12">
        <v>102823</v>
      </c>
      <c r="O12">
        <v>202550</v>
      </c>
      <c r="P12">
        <v>427156</v>
      </c>
      <c r="Q12">
        <f t="shared" si="6"/>
        <v>4760</v>
      </c>
      <c r="R12">
        <f t="shared" si="7"/>
        <v>9872</v>
      </c>
      <c r="S12">
        <f t="shared" si="8"/>
        <v>14984</v>
      </c>
      <c r="T12">
        <f t="shared" si="9"/>
        <v>20096</v>
      </c>
      <c r="U12">
        <f t="shared" si="10"/>
        <v>25208</v>
      </c>
      <c r="V12">
        <f t="shared" si="11"/>
        <v>30320</v>
      </c>
      <c r="W12">
        <f t="shared" si="12"/>
        <v>35504</v>
      </c>
      <c r="X12">
        <f t="shared" si="13"/>
        <v>40688</v>
      </c>
      <c r="Y12">
        <f t="shared" si="14"/>
        <v>45872</v>
      </c>
      <c r="Z12">
        <f t="shared" si="15"/>
        <v>51056</v>
      </c>
      <c r="AA12">
        <f t="shared" si="16"/>
        <v>56240</v>
      </c>
      <c r="AB12">
        <f t="shared" si="17"/>
        <v>65556.600000000006</v>
      </c>
      <c r="AC12">
        <f t="shared" si="18"/>
        <v>74873.2</v>
      </c>
      <c r="AD12">
        <f t="shared" si="19"/>
        <v>84189.8</v>
      </c>
      <c r="AE12">
        <f t="shared" si="20"/>
        <v>93506.4</v>
      </c>
      <c r="AF12">
        <f t="shared" si="21"/>
        <v>102823</v>
      </c>
      <c r="AG12">
        <f t="shared" si="22"/>
        <v>122768.4</v>
      </c>
      <c r="AH12">
        <f t="shared" si="23"/>
        <v>142713.79999999999</v>
      </c>
      <c r="AI12">
        <f t="shared" si="24"/>
        <v>162659.20000000001</v>
      </c>
      <c r="AJ12">
        <f t="shared" si="25"/>
        <v>182604.6</v>
      </c>
      <c r="AK12">
        <f t="shared" si="26"/>
        <v>202550</v>
      </c>
      <c r="AL12">
        <f t="shared" si="27"/>
        <v>247471.2</v>
      </c>
      <c r="AM12">
        <f t="shared" si="28"/>
        <v>292392.40000000002</v>
      </c>
      <c r="AN12">
        <f t="shared" si="29"/>
        <v>337313.6</v>
      </c>
      <c r="AO12">
        <f t="shared" si="30"/>
        <v>382234.80000000005</v>
      </c>
      <c r="AP12">
        <f t="shared" si="31"/>
        <v>427156</v>
      </c>
    </row>
    <row r="13" spans="1:42" x14ac:dyDescent="0.25">
      <c r="A13" t="s">
        <v>27</v>
      </c>
      <c r="B13" s="3">
        <f t="shared" si="0"/>
        <v>709776.91212891659</v>
      </c>
      <c r="C13" s="3">
        <f t="shared" si="1"/>
        <v>219041.54431546232</v>
      </c>
      <c r="D13" s="3">
        <f t="shared" si="2"/>
        <v>79692.853169511349</v>
      </c>
      <c r="E13" s="3">
        <f>NPV(Low!E$3,Q13:AP13)</f>
        <v>709056.11549308815</v>
      </c>
      <c r="F13" s="3">
        <f>NPV(Low!F$3,Q13:AP13)</f>
        <v>223086.85836226802</v>
      </c>
      <c r="G13" s="3">
        <f>NPV(Low!G$3,Q13:AP13)</f>
        <v>83232.990658578477</v>
      </c>
      <c r="H13" s="3">
        <f t="shared" si="3"/>
        <v>-720.7966358284466</v>
      </c>
      <c r="I13" s="3">
        <f t="shared" si="4"/>
        <v>4045.3140468056954</v>
      </c>
      <c r="J13" s="3">
        <f t="shared" si="5"/>
        <v>3540.1374890671286</v>
      </c>
      <c r="K13">
        <v>4778</v>
      </c>
      <c r="L13">
        <v>11655</v>
      </c>
      <c r="M13">
        <v>21847</v>
      </c>
      <c r="N13">
        <v>46307</v>
      </c>
      <c r="O13">
        <v>113040</v>
      </c>
      <c r="P13">
        <v>308117</v>
      </c>
      <c r="Q13">
        <f t="shared" si="6"/>
        <v>4778</v>
      </c>
      <c r="R13">
        <f t="shared" si="7"/>
        <v>6153.4</v>
      </c>
      <c r="S13">
        <f t="shared" si="8"/>
        <v>7528.8</v>
      </c>
      <c r="T13">
        <f t="shared" si="9"/>
        <v>8904.2000000000007</v>
      </c>
      <c r="U13">
        <f t="shared" si="10"/>
        <v>10279.6</v>
      </c>
      <c r="V13">
        <f t="shared" si="11"/>
        <v>11655</v>
      </c>
      <c r="W13">
        <f t="shared" si="12"/>
        <v>13693.4</v>
      </c>
      <c r="X13">
        <f t="shared" si="13"/>
        <v>15731.8</v>
      </c>
      <c r="Y13">
        <f t="shared" si="14"/>
        <v>17770.2</v>
      </c>
      <c r="Z13">
        <f t="shared" si="15"/>
        <v>19808.599999999999</v>
      </c>
      <c r="AA13">
        <f t="shared" si="16"/>
        <v>21847</v>
      </c>
      <c r="AB13">
        <f t="shared" si="17"/>
        <v>26739</v>
      </c>
      <c r="AC13">
        <f t="shared" si="18"/>
        <v>31631</v>
      </c>
      <c r="AD13">
        <f t="shared" si="19"/>
        <v>36523</v>
      </c>
      <c r="AE13">
        <f t="shared" si="20"/>
        <v>41415</v>
      </c>
      <c r="AF13">
        <f t="shared" si="21"/>
        <v>46307</v>
      </c>
      <c r="AG13">
        <f t="shared" si="22"/>
        <v>59653.599999999999</v>
      </c>
      <c r="AH13">
        <f t="shared" si="23"/>
        <v>73000.2</v>
      </c>
      <c r="AI13">
        <f t="shared" si="24"/>
        <v>86346.799999999988</v>
      </c>
      <c r="AJ13">
        <f t="shared" si="25"/>
        <v>99693.4</v>
      </c>
      <c r="AK13">
        <f t="shared" si="26"/>
        <v>113040</v>
      </c>
      <c r="AL13">
        <f t="shared" si="27"/>
        <v>152055.4</v>
      </c>
      <c r="AM13">
        <f t="shared" si="28"/>
        <v>191070.8</v>
      </c>
      <c r="AN13">
        <f t="shared" si="29"/>
        <v>230086.2</v>
      </c>
      <c r="AO13">
        <f t="shared" si="30"/>
        <v>269101.59999999998</v>
      </c>
      <c r="AP13">
        <f t="shared" si="31"/>
        <v>308117</v>
      </c>
    </row>
  </sheetData>
  <mergeCells count="5">
    <mergeCell ref="B2:D2"/>
    <mergeCell ref="E2:G2"/>
    <mergeCell ref="H2:J2"/>
    <mergeCell ref="K2:P2"/>
    <mergeCell ref="Q2:AP2"/>
  </mergeCells>
  <conditionalFormatting sqref="H4:J13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Low</vt:lpstr>
      <vt:lpstr>High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2025-10-29T16:38:10Z</dcterms:created>
  <dcterms:modified xsi:type="dcterms:W3CDTF">2025-11-07T14:43:22Z</dcterms:modified>
</cp:coreProperties>
</file>